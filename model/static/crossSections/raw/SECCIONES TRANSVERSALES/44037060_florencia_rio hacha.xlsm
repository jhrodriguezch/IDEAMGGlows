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14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5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17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18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19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charts/chart21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22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charts/chart23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charts/chart24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25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charts/chart26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27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charts/chart28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charts/chart29.xml" ContentType="application/vnd.openxmlformats-officedocument.drawingml.chart+xml"/>
  <Override PartName="/xl/drawings/drawing5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.shortcut-targets-by-id\1-2khaLc_OuDJ92_Ixj1UE4SHFErjN8tk\Z\HIDROLOGIA_2021\Topografias_2021_actualizadas a 17-XI-2021\caqueta\terrestre\"/>
    </mc:Choice>
  </mc:AlternateContent>
  <bookViews>
    <workbookView xWindow="0" yWindow="0" windowWidth="28800" windowHeight="12330" firstSheet="20" activeTab="28"/>
  </bookViews>
  <sheets>
    <sheet name="FECHA2005-10-31" sheetId="24" r:id="rId1"/>
    <sheet name="Fecha 2006-10-26" sheetId="21" r:id="rId2"/>
    <sheet name="fecha 2007-03-23" sheetId="23" r:id="rId3"/>
    <sheet name="Fecha 2007-10-25" sheetId="20" r:id="rId4"/>
    <sheet name="Fecha 2009-03-24" sheetId="26" r:id="rId5"/>
    <sheet name="Fecha 2009-11-28" sheetId="27" r:id="rId6"/>
    <sheet name="Fecha 2010-03-24" sheetId="29" r:id="rId7"/>
    <sheet name="Fecha 2010-05-18" sheetId="28" r:id="rId8"/>
    <sheet name="Fecha 2010-10-06" sheetId="30" r:id="rId9"/>
    <sheet name="Fecha 2011-03-08" sheetId="31" r:id="rId10"/>
    <sheet name="Fecha 2011-08-28" sheetId="32" r:id="rId11"/>
    <sheet name="Fecha 2011-12-05)" sheetId="33" r:id="rId12"/>
    <sheet name="Fecha 2013-06-04" sheetId="34" r:id="rId13"/>
    <sheet name="Fecha 2013-10-01" sheetId="35" r:id="rId14"/>
    <sheet name="Fecha 2014-08-19" sheetId="36" r:id="rId15"/>
    <sheet name="Fecha 2015-07-27" sheetId="38" r:id="rId16"/>
    <sheet name="Fecha 2016-05-19 " sheetId="39" r:id="rId17"/>
    <sheet name="Fecha 2016-09-15" sheetId="40" r:id="rId18"/>
    <sheet name="Fecha 2016-11-21" sheetId="41" r:id="rId19"/>
    <sheet name="PLANTILLA NAOI-NAOD" sheetId="42" r:id="rId20"/>
    <sheet name="2017-3-21" sheetId="43" r:id="rId21"/>
    <sheet name="2017-9-11" sheetId="44" r:id="rId22"/>
    <sheet name="2018-4-4" sheetId="45" r:id="rId23"/>
    <sheet name="2018-7-19" sheetId="46" r:id="rId24"/>
    <sheet name="2019-03-13" sheetId="47" r:id="rId25"/>
    <sheet name="2019-5-24" sheetId="48" r:id="rId26"/>
    <sheet name="2019-07-20" sheetId="49" r:id="rId27"/>
    <sheet name="2020-03-04" sheetId="50" r:id="rId28"/>
    <sheet name="2021-10-13" sheetId="51" r:id="rId29"/>
  </sheets>
  <calcPr calcId="162913"/>
</workbook>
</file>

<file path=xl/calcChain.xml><?xml version="1.0" encoding="utf-8"?>
<calcChain xmlns="http://schemas.openxmlformats.org/spreadsheetml/2006/main">
  <c r="C62" i="51" l="1"/>
  <c r="B58" i="51"/>
  <c r="A58" i="51"/>
  <c r="AO51" i="51"/>
  <c r="AN51" i="51"/>
  <c r="AM51" i="51"/>
  <c r="AL51" i="51"/>
  <c r="AI51" i="51"/>
  <c r="C51" i="51"/>
  <c r="AO50" i="51"/>
  <c r="AN50" i="51"/>
  <c r="AM50" i="51"/>
  <c r="AL50" i="51"/>
  <c r="AI50" i="51"/>
  <c r="C50" i="51"/>
  <c r="AO49" i="51"/>
  <c r="AN49" i="51"/>
  <c r="AM49" i="51"/>
  <c r="AL49" i="51"/>
  <c r="AI49" i="51"/>
  <c r="C49" i="51"/>
  <c r="AO48" i="51"/>
  <c r="AN48" i="51"/>
  <c r="AM48" i="51"/>
  <c r="AL48" i="51"/>
  <c r="AI48" i="51"/>
  <c r="C48" i="51"/>
  <c r="AO47" i="51"/>
  <c r="AN47" i="51"/>
  <c r="AM47" i="51"/>
  <c r="AL47" i="51"/>
  <c r="AI47" i="51"/>
  <c r="C47" i="51"/>
  <c r="AO46" i="51"/>
  <c r="AN46" i="51"/>
  <c r="AM46" i="51"/>
  <c r="AL46" i="51"/>
  <c r="AI46" i="51"/>
  <c r="AO45" i="51"/>
  <c r="AN45" i="51"/>
  <c r="AM45" i="51"/>
  <c r="AL45" i="51"/>
  <c r="AI45" i="51"/>
  <c r="AO44" i="51"/>
  <c r="AN44" i="51"/>
  <c r="AM44" i="51"/>
  <c r="AL44" i="51"/>
  <c r="AI44" i="51"/>
  <c r="AO43" i="51"/>
  <c r="AN43" i="51"/>
  <c r="AM43" i="51"/>
  <c r="AL43" i="51"/>
  <c r="AI43" i="51"/>
  <c r="AO42" i="51"/>
  <c r="AN42" i="51"/>
  <c r="AM42" i="51"/>
  <c r="AL42" i="51"/>
  <c r="AI42" i="51"/>
  <c r="AO41" i="51"/>
  <c r="AN41" i="51"/>
  <c r="AM41" i="51"/>
  <c r="AL41" i="51"/>
  <c r="AI41" i="51"/>
  <c r="AO40" i="51"/>
  <c r="AN40" i="51"/>
  <c r="AM40" i="51"/>
  <c r="AL40" i="51"/>
  <c r="AI40" i="51"/>
  <c r="AO39" i="51"/>
  <c r="AN39" i="51"/>
  <c r="AM39" i="51"/>
  <c r="AL39" i="51"/>
  <c r="AI39" i="51"/>
  <c r="AO38" i="51"/>
  <c r="AN38" i="51"/>
  <c r="AM38" i="51"/>
  <c r="AL38" i="51"/>
  <c r="AI38" i="51"/>
  <c r="AO37" i="51"/>
  <c r="AN37" i="51"/>
  <c r="AM37" i="51"/>
  <c r="AL37" i="51"/>
  <c r="AI37" i="51"/>
  <c r="AO36" i="51"/>
  <c r="AN36" i="51"/>
  <c r="AM36" i="51"/>
  <c r="AL36" i="51"/>
  <c r="AI36" i="51"/>
  <c r="C36" i="51"/>
  <c r="AO35" i="51"/>
  <c r="AN35" i="51"/>
  <c r="AM35" i="51"/>
  <c r="AL35" i="51"/>
  <c r="C35" i="51"/>
  <c r="AO34" i="51"/>
  <c r="AN34" i="51"/>
  <c r="AM34" i="51"/>
  <c r="AL34" i="51"/>
  <c r="C34" i="51"/>
  <c r="AO33" i="51"/>
  <c r="AN33" i="51"/>
  <c r="AM33" i="51"/>
  <c r="AL33" i="51"/>
  <c r="C33" i="51"/>
  <c r="AO32" i="51"/>
  <c r="AN32" i="51"/>
  <c r="AM32" i="51"/>
  <c r="AL32" i="51"/>
  <c r="C32" i="51"/>
  <c r="AO31" i="51"/>
  <c r="AN31" i="51"/>
  <c r="AM31" i="51"/>
  <c r="AL31" i="51"/>
  <c r="C31" i="51"/>
  <c r="AO30" i="51"/>
  <c r="AN30" i="51"/>
  <c r="AM30" i="51"/>
  <c r="AL30" i="51"/>
  <c r="C30" i="51"/>
  <c r="AM29" i="51"/>
  <c r="AL29" i="51"/>
  <c r="C29" i="51"/>
  <c r="AO28" i="51"/>
  <c r="AN28" i="51"/>
  <c r="AM28" i="51"/>
  <c r="AL28" i="51"/>
  <c r="C28" i="51"/>
  <c r="AO27" i="51"/>
  <c r="AN27" i="51"/>
  <c r="AM27" i="51"/>
  <c r="AL27" i="51"/>
  <c r="C27" i="51"/>
  <c r="AO26" i="51"/>
  <c r="AN26" i="51"/>
  <c r="AM26" i="51"/>
  <c r="AL26" i="51"/>
  <c r="C26" i="51"/>
  <c r="AO25" i="51"/>
  <c r="AN25" i="51"/>
  <c r="AM25" i="51"/>
  <c r="AL25" i="51"/>
  <c r="C25" i="51"/>
  <c r="AO24" i="51"/>
  <c r="AN24" i="51"/>
  <c r="AM24" i="51"/>
  <c r="AL24" i="51"/>
  <c r="C24" i="51"/>
  <c r="AO23" i="51"/>
  <c r="AN23" i="51"/>
  <c r="AM23" i="51"/>
  <c r="AL23" i="51"/>
  <c r="C23" i="51"/>
  <c r="AO22" i="51"/>
  <c r="AN22" i="51"/>
  <c r="AM22" i="51"/>
  <c r="AL22" i="51"/>
  <c r="C22" i="51"/>
  <c r="AO21" i="51"/>
  <c r="AN21" i="51"/>
  <c r="AM21" i="51"/>
  <c r="AL21" i="51"/>
  <c r="C21" i="51"/>
  <c r="AO20" i="51"/>
  <c r="AN20" i="51"/>
  <c r="AM20" i="51"/>
  <c r="AL20" i="51"/>
  <c r="C20" i="51"/>
  <c r="AO19" i="51"/>
  <c r="AN19" i="51"/>
  <c r="AM19" i="51"/>
  <c r="AL19" i="51"/>
  <c r="C19" i="51"/>
  <c r="AO18" i="51"/>
  <c r="AN18" i="51"/>
  <c r="AM18" i="51"/>
  <c r="AL18" i="51"/>
  <c r="C18" i="51"/>
  <c r="AO17" i="51"/>
  <c r="AN17" i="51"/>
  <c r="AM17" i="51"/>
  <c r="AL17" i="51"/>
  <c r="C17" i="51"/>
  <c r="AO16" i="51"/>
  <c r="AN16" i="51"/>
  <c r="AM16" i="51"/>
  <c r="AL16" i="51"/>
  <c r="C16" i="51"/>
  <c r="AO15" i="51"/>
  <c r="AN15" i="51"/>
  <c r="AM15" i="51"/>
  <c r="AL15" i="51"/>
  <c r="C15" i="51"/>
  <c r="AO14" i="51"/>
  <c r="AN14" i="51"/>
  <c r="AM14" i="51"/>
  <c r="AL14" i="51"/>
  <c r="C14" i="51"/>
  <c r="AO13" i="51"/>
  <c r="AN13" i="51"/>
  <c r="AM13" i="51"/>
  <c r="AL13" i="51"/>
  <c r="C13" i="51"/>
  <c r="AO12" i="51"/>
  <c r="AN12" i="51"/>
  <c r="AM12" i="51"/>
  <c r="AL12" i="51"/>
  <c r="C12" i="51"/>
  <c r="AO11" i="51"/>
  <c r="AN11" i="51"/>
  <c r="C11" i="51"/>
  <c r="AO10" i="51"/>
  <c r="AN10" i="51"/>
  <c r="AM10" i="51"/>
  <c r="AL10" i="51"/>
  <c r="C10" i="51"/>
  <c r="AO9" i="51"/>
  <c r="AN9" i="51"/>
  <c r="AM9" i="51"/>
  <c r="AL9" i="51"/>
  <c r="C9" i="51"/>
  <c r="AO8" i="51"/>
  <c r="AN8" i="51"/>
  <c r="AM8" i="51"/>
  <c r="AL8" i="51"/>
  <c r="C8" i="51"/>
  <c r="AO7" i="51"/>
  <c r="AN7" i="51"/>
  <c r="AM7" i="51"/>
  <c r="AL7" i="51"/>
  <c r="C7" i="51"/>
  <c r="AO6" i="51"/>
  <c r="AN6" i="51"/>
  <c r="AM6" i="51"/>
  <c r="AL6" i="51"/>
  <c r="AF6" i="51"/>
  <c r="C6" i="51"/>
  <c r="AO5" i="51"/>
  <c r="AN5" i="51"/>
  <c r="AM5" i="51"/>
  <c r="AL5" i="51"/>
  <c r="AJ5" i="51"/>
  <c r="AJ6" i="51" s="1"/>
  <c r="AJ7" i="51" s="1"/>
  <c r="AC5" i="51"/>
  <c r="AI5" i="51" s="1"/>
  <c r="C5" i="51"/>
  <c r="B5" i="51"/>
  <c r="A5" i="51"/>
  <c r="AH4" i="51"/>
  <c r="AI4" i="51" s="1"/>
  <c r="AH5" i="51" l="1"/>
  <c r="AD6" i="51" s="1"/>
  <c r="AC6" i="51" s="1"/>
  <c r="AI6" i="51" s="1"/>
  <c r="A6" i="51"/>
  <c r="AF7" i="51"/>
  <c r="AJ8" i="51"/>
  <c r="AK5" i="51"/>
  <c r="C62" i="50"/>
  <c r="B58" i="50"/>
  <c r="A58" i="50"/>
  <c r="AO51" i="50"/>
  <c r="AN51" i="50"/>
  <c r="AM51" i="50"/>
  <c r="AL51" i="50"/>
  <c r="AI51" i="50"/>
  <c r="C51" i="50"/>
  <c r="AO50" i="50"/>
  <c r="AN50" i="50"/>
  <c r="AM50" i="50"/>
  <c r="AL50" i="50"/>
  <c r="AI50" i="50"/>
  <c r="C50" i="50"/>
  <c r="AO49" i="50"/>
  <c r="AN49" i="50"/>
  <c r="AM49" i="50"/>
  <c r="AL49" i="50"/>
  <c r="AI49" i="50"/>
  <c r="C49" i="50"/>
  <c r="AO48" i="50"/>
  <c r="AN48" i="50"/>
  <c r="AM48" i="50"/>
  <c r="AL48" i="50"/>
  <c r="AI48" i="50"/>
  <c r="C48" i="50"/>
  <c r="AO47" i="50"/>
  <c r="AN47" i="50"/>
  <c r="AM47" i="50"/>
  <c r="AL47" i="50"/>
  <c r="AI47" i="50"/>
  <c r="C47" i="50"/>
  <c r="AO46" i="50"/>
  <c r="AN46" i="50"/>
  <c r="AM46" i="50"/>
  <c r="AL46" i="50"/>
  <c r="AI46" i="50"/>
  <c r="AO45" i="50"/>
  <c r="AN45" i="50"/>
  <c r="AM45" i="50"/>
  <c r="AL45" i="50"/>
  <c r="AI45" i="50"/>
  <c r="AO44" i="50"/>
  <c r="AN44" i="50"/>
  <c r="AM44" i="50"/>
  <c r="AL44" i="50"/>
  <c r="AI44" i="50"/>
  <c r="AO43" i="50"/>
  <c r="AN43" i="50"/>
  <c r="AM43" i="50"/>
  <c r="AL43" i="50"/>
  <c r="AI43" i="50"/>
  <c r="AO42" i="50"/>
  <c r="AN42" i="50"/>
  <c r="AM42" i="50"/>
  <c r="AL42" i="50"/>
  <c r="AI42" i="50"/>
  <c r="AO41" i="50"/>
  <c r="AN41" i="50"/>
  <c r="AM41" i="50"/>
  <c r="AL41" i="50"/>
  <c r="AI41" i="50"/>
  <c r="AO40" i="50"/>
  <c r="AN40" i="50"/>
  <c r="AM40" i="50"/>
  <c r="AL40" i="50"/>
  <c r="AI40" i="50"/>
  <c r="AO39" i="50"/>
  <c r="AN39" i="50"/>
  <c r="AM39" i="50"/>
  <c r="AL39" i="50"/>
  <c r="AI39" i="50"/>
  <c r="AO38" i="50"/>
  <c r="AN38" i="50"/>
  <c r="AM38" i="50"/>
  <c r="AL38" i="50"/>
  <c r="AI38" i="50"/>
  <c r="AO37" i="50"/>
  <c r="AN37" i="50"/>
  <c r="AM37" i="50"/>
  <c r="AL37" i="50"/>
  <c r="AI37" i="50"/>
  <c r="AO36" i="50"/>
  <c r="AN36" i="50"/>
  <c r="AM36" i="50"/>
  <c r="AL36" i="50"/>
  <c r="AI36" i="50"/>
  <c r="C36" i="50"/>
  <c r="AO35" i="50"/>
  <c r="AN35" i="50"/>
  <c r="AM35" i="50"/>
  <c r="AL35" i="50"/>
  <c r="AJ35" i="50"/>
  <c r="AC35" i="50"/>
  <c r="C35" i="50"/>
  <c r="AO34" i="50"/>
  <c r="AN34" i="50"/>
  <c r="AM34" i="50"/>
  <c r="AL34" i="50"/>
  <c r="C34" i="50"/>
  <c r="AO33" i="50"/>
  <c r="AN33" i="50"/>
  <c r="AM33" i="50"/>
  <c r="AL33" i="50"/>
  <c r="AC33" i="50"/>
  <c r="C33" i="50"/>
  <c r="AO32" i="50"/>
  <c r="AN32" i="50"/>
  <c r="AM32" i="50"/>
  <c r="AL32" i="50"/>
  <c r="AC32" i="50"/>
  <c r="C32" i="50"/>
  <c r="AO31" i="50"/>
  <c r="AN31" i="50"/>
  <c r="AM31" i="50"/>
  <c r="AL31" i="50"/>
  <c r="AC31" i="50"/>
  <c r="C31" i="50"/>
  <c r="AO30" i="50"/>
  <c r="AN30" i="50"/>
  <c r="AM30" i="50"/>
  <c r="AL30" i="50"/>
  <c r="AC30" i="50"/>
  <c r="C30" i="50"/>
  <c r="AM29" i="50"/>
  <c r="AL29" i="50"/>
  <c r="AJ29" i="50"/>
  <c r="AP30" i="50" s="1"/>
  <c r="AC29" i="50"/>
  <c r="C29" i="50"/>
  <c r="AO28" i="50"/>
  <c r="AN28" i="50"/>
  <c r="AM28" i="50"/>
  <c r="AL28" i="50"/>
  <c r="AC28" i="50"/>
  <c r="C28" i="50"/>
  <c r="AO27" i="50"/>
  <c r="AN27" i="50"/>
  <c r="AM27" i="50"/>
  <c r="AL27" i="50"/>
  <c r="AC27" i="50"/>
  <c r="C27" i="50"/>
  <c r="AO26" i="50"/>
  <c r="AN26" i="50"/>
  <c r="AM26" i="50"/>
  <c r="AL26" i="50"/>
  <c r="AC26" i="50"/>
  <c r="C26" i="50"/>
  <c r="AO25" i="50"/>
  <c r="AN25" i="50"/>
  <c r="AM25" i="50"/>
  <c r="AL25" i="50"/>
  <c r="AC25" i="50"/>
  <c r="C25" i="50"/>
  <c r="AO24" i="50"/>
  <c r="AN24" i="50"/>
  <c r="AM24" i="50"/>
  <c r="AL24" i="50"/>
  <c r="AC24" i="50"/>
  <c r="C24" i="50"/>
  <c r="AO23" i="50"/>
  <c r="AN23" i="50"/>
  <c r="AM23" i="50"/>
  <c r="AL23" i="50"/>
  <c r="AC23" i="50"/>
  <c r="C23" i="50"/>
  <c r="AO22" i="50"/>
  <c r="AN22" i="50"/>
  <c r="AM22" i="50"/>
  <c r="AL22" i="50"/>
  <c r="AC22" i="50"/>
  <c r="C22" i="50"/>
  <c r="AO21" i="50"/>
  <c r="AN21" i="50"/>
  <c r="AM21" i="50"/>
  <c r="AL21" i="50"/>
  <c r="AC21" i="50"/>
  <c r="C21" i="50"/>
  <c r="AO20" i="50"/>
  <c r="AN20" i="50"/>
  <c r="AM20" i="50"/>
  <c r="AL20" i="50"/>
  <c r="AC20" i="50"/>
  <c r="C20" i="50"/>
  <c r="AO19" i="50"/>
  <c r="AN19" i="50"/>
  <c r="AM19" i="50"/>
  <c r="AL19" i="50"/>
  <c r="AC19" i="50"/>
  <c r="C19" i="50"/>
  <c r="AO18" i="50"/>
  <c r="AN18" i="50"/>
  <c r="AM18" i="50"/>
  <c r="AL18" i="50"/>
  <c r="AC18" i="50"/>
  <c r="C18" i="50"/>
  <c r="AO17" i="50"/>
  <c r="AN17" i="50"/>
  <c r="AM17" i="50"/>
  <c r="AL17" i="50"/>
  <c r="AC17" i="50"/>
  <c r="C17" i="50"/>
  <c r="AO16" i="50"/>
  <c r="AN16" i="50"/>
  <c r="AM16" i="50"/>
  <c r="AL16" i="50"/>
  <c r="AC16" i="50"/>
  <c r="C16" i="50"/>
  <c r="AO15" i="50"/>
  <c r="AN15" i="50"/>
  <c r="AM15" i="50"/>
  <c r="AL15" i="50"/>
  <c r="AC15" i="50"/>
  <c r="C15" i="50"/>
  <c r="AO14" i="50"/>
  <c r="AN14" i="50"/>
  <c r="AM14" i="50"/>
  <c r="AL14" i="50"/>
  <c r="AC14" i="50"/>
  <c r="C14" i="50"/>
  <c r="AO13" i="50"/>
  <c r="AN13" i="50"/>
  <c r="AM13" i="50"/>
  <c r="AL13" i="50"/>
  <c r="AC13" i="50"/>
  <c r="C13" i="50"/>
  <c r="AO12" i="50"/>
  <c r="AN12" i="50"/>
  <c r="AM12" i="50"/>
  <c r="AL12" i="50"/>
  <c r="AC12" i="50"/>
  <c r="C12" i="50"/>
  <c r="AO11" i="50"/>
  <c r="AN11" i="50"/>
  <c r="AJ11" i="50"/>
  <c r="AC11" i="50"/>
  <c r="C11" i="50"/>
  <c r="AO10" i="50"/>
  <c r="AN10" i="50"/>
  <c r="C10" i="50"/>
  <c r="AO9" i="50"/>
  <c r="AN9" i="50"/>
  <c r="AM9" i="50"/>
  <c r="AL9" i="50"/>
  <c r="C9" i="50"/>
  <c r="AO8" i="50"/>
  <c r="AN8" i="50"/>
  <c r="AM8" i="50"/>
  <c r="AL8" i="50"/>
  <c r="AC8" i="50"/>
  <c r="C8" i="50"/>
  <c r="AO7" i="50"/>
  <c r="AN7" i="50"/>
  <c r="AM7" i="50"/>
  <c r="AL7" i="50"/>
  <c r="AC7" i="50"/>
  <c r="C7" i="50"/>
  <c r="AO6" i="50"/>
  <c r="AN6" i="50"/>
  <c r="AM6" i="50"/>
  <c r="AL6" i="50"/>
  <c r="AJ6" i="50"/>
  <c r="AJ7" i="50" s="1"/>
  <c r="AJ8" i="50" s="1"/>
  <c r="AF6" i="50"/>
  <c r="A6" i="50" s="1"/>
  <c r="AC6" i="50"/>
  <c r="C6" i="50"/>
  <c r="AO5" i="50"/>
  <c r="AN5" i="50"/>
  <c r="AM5" i="50"/>
  <c r="AL5" i="50"/>
  <c r="AJ5" i="50"/>
  <c r="AC5" i="50"/>
  <c r="AI5" i="50" s="1"/>
  <c r="AI6" i="50" s="1"/>
  <c r="C5" i="50"/>
  <c r="B5" i="50"/>
  <c r="A5" i="50"/>
  <c r="AH4" i="50"/>
  <c r="AI4" i="50" s="1"/>
  <c r="AF7" i="50" l="1"/>
  <c r="AH6" i="51"/>
  <c r="AD7" i="51" s="1"/>
  <c r="AF8" i="51"/>
  <c r="A7" i="51"/>
  <c r="AJ9" i="51"/>
  <c r="B6" i="51"/>
  <c r="AK6" i="51"/>
  <c r="AI7" i="50"/>
  <c r="AI8" i="50" s="1"/>
  <c r="AH6" i="50"/>
  <c r="AD7" i="50" s="1"/>
  <c r="AH5" i="50"/>
  <c r="AD6" i="50" s="1"/>
  <c r="B6" i="50" s="1"/>
  <c r="AJ9" i="50"/>
  <c r="AH8" i="50"/>
  <c r="AD9" i="50" s="1"/>
  <c r="AK5" i="50"/>
  <c r="AJ12" i="50"/>
  <c r="AP12" i="50"/>
  <c r="AJ36" i="50"/>
  <c r="AP36" i="50"/>
  <c r="A7" i="50"/>
  <c r="AF8" i="50"/>
  <c r="AJ30" i="50"/>
  <c r="C62" i="49"/>
  <c r="B58" i="49"/>
  <c r="A58" i="49"/>
  <c r="AO51" i="49"/>
  <c r="AN51" i="49"/>
  <c r="AM51" i="49"/>
  <c r="AL51" i="49"/>
  <c r="AI51" i="49"/>
  <c r="C51" i="49"/>
  <c r="AO50" i="49"/>
  <c r="AN50" i="49"/>
  <c r="AM50" i="49"/>
  <c r="AL50" i="49"/>
  <c r="AI50" i="49"/>
  <c r="C50" i="49"/>
  <c r="AO49" i="49"/>
  <c r="AN49" i="49"/>
  <c r="AM49" i="49"/>
  <c r="AL49" i="49"/>
  <c r="AI49" i="49"/>
  <c r="C49" i="49"/>
  <c r="AO48" i="49"/>
  <c r="AN48" i="49"/>
  <c r="AM48" i="49"/>
  <c r="AL48" i="49"/>
  <c r="AI48" i="49"/>
  <c r="C48" i="49"/>
  <c r="AO47" i="49"/>
  <c r="AN47" i="49"/>
  <c r="AM47" i="49"/>
  <c r="AL47" i="49"/>
  <c r="AI47" i="49"/>
  <c r="C47" i="49"/>
  <c r="AO46" i="49"/>
  <c r="AN46" i="49"/>
  <c r="AM46" i="49"/>
  <c r="AL46" i="49"/>
  <c r="AI46" i="49"/>
  <c r="AO45" i="49"/>
  <c r="AN45" i="49"/>
  <c r="AM45" i="49"/>
  <c r="AL45" i="49"/>
  <c r="AI45" i="49"/>
  <c r="AO44" i="49"/>
  <c r="AN44" i="49"/>
  <c r="AM44" i="49"/>
  <c r="AL44" i="49"/>
  <c r="AI44" i="49"/>
  <c r="AO43" i="49"/>
  <c r="AN43" i="49"/>
  <c r="AM43" i="49"/>
  <c r="AL43" i="49"/>
  <c r="AI43" i="49"/>
  <c r="AO42" i="49"/>
  <c r="AN42" i="49"/>
  <c r="AM42" i="49"/>
  <c r="AL42" i="49"/>
  <c r="AI42" i="49"/>
  <c r="AO41" i="49"/>
  <c r="AN41" i="49"/>
  <c r="AM41" i="49"/>
  <c r="AL41" i="49"/>
  <c r="AI41" i="49"/>
  <c r="AO40" i="49"/>
  <c r="AN40" i="49"/>
  <c r="AM40" i="49"/>
  <c r="AL40" i="49"/>
  <c r="AI40" i="49"/>
  <c r="AO39" i="49"/>
  <c r="AN39" i="49"/>
  <c r="AM39" i="49"/>
  <c r="AL39" i="49"/>
  <c r="AI39" i="49"/>
  <c r="AO38" i="49"/>
  <c r="AN38" i="49"/>
  <c r="AM38" i="49"/>
  <c r="AL38" i="49"/>
  <c r="AI38" i="49"/>
  <c r="AO37" i="49"/>
  <c r="AN37" i="49"/>
  <c r="AM37" i="49"/>
  <c r="AL37" i="49"/>
  <c r="AO36" i="49"/>
  <c r="AN36" i="49"/>
  <c r="AM36" i="49"/>
  <c r="AL36" i="49"/>
  <c r="C36" i="49"/>
  <c r="AO35" i="49"/>
  <c r="AN35" i="49"/>
  <c r="AM35" i="49"/>
  <c r="AL35" i="49"/>
  <c r="C35" i="49"/>
  <c r="AO34" i="49"/>
  <c r="AN34" i="49"/>
  <c r="AM34" i="49"/>
  <c r="AL34" i="49"/>
  <c r="C34" i="49"/>
  <c r="AO33" i="49"/>
  <c r="AN33" i="49"/>
  <c r="AM33" i="49"/>
  <c r="AL33" i="49"/>
  <c r="AC33" i="49"/>
  <c r="C33" i="49"/>
  <c r="AO32" i="49"/>
  <c r="AN32" i="49"/>
  <c r="AM32" i="49"/>
  <c r="AL32" i="49"/>
  <c r="C32" i="49"/>
  <c r="AM31" i="49"/>
  <c r="AL31" i="49"/>
  <c r="AC31" i="49"/>
  <c r="C31" i="49"/>
  <c r="AO30" i="49"/>
  <c r="AM30" i="49"/>
  <c r="AL30" i="49"/>
  <c r="AC30" i="49"/>
  <c r="C30" i="49"/>
  <c r="AM29" i="49"/>
  <c r="AL29" i="49"/>
  <c r="AC29" i="49"/>
  <c r="C29" i="49"/>
  <c r="AO28" i="49"/>
  <c r="AN28" i="49"/>
  <c r="AM28" i="49"/>
  <c r="AL28" i="49"/>
  <c r="AC28" i="49"/>
  <c r="C28" i="49"/>
  <c r="AO27" i="49"/>
  <c r="AN27" i="49"/>
  <c r="AM27" i="49"/>
  <c r="AL27" i="49"/>
  <c r="AC27" i="49"/>
  <c r="C27" i="49"/>
  <c r="AO26" i="49"/>
  <c r="AN26" i="49"/>
  <c r="AM26" i="49"/>
  <c r="AL26" i="49"/>
  <c r="AC26" i="49"/>
  <c r="C26" i="49"/>
  <c r="AO25" i="49"/>
  <c r="AN25" i="49"/>
  <c r="AM25" i="49"/>
  <c r="AL25" i="49"/>
  <c r="AC25" i="49"/>
  <c r="C25" i="49"/>
  <c r="AO24" i="49"/>
  <c r="AN24" i="49"/>
  <c r="AM24" i="49"/>
  <c r="AL24" i="49"/>
  <c r="AC24" i="49"/>
  <c r="C24" i="49"/>
  <c r="AO23" i="49"/>
  <c r="AN23" i="49"/>
  <c r="AM23" i="49"/>
  <c r="AL23" i="49"/>
  <c r="AC23" i="49"/>
  <c r="C23" i="49"/>
  <c r="AO22" i="49"/>
  <c r="AN22" i="49"/>
  <c r="AM22" i="49"/>
  <c r="AL22" i="49"/>
  <c r="AC22" i="49"/>
  <c r="C22" i="49"/>
  <c r="AO21" i="49"/>
  <c r="AN21" i="49"/>
  <c r="AM21" i="49"/>
  <c r="AL21" i="49"/>
  <c r="AC21" i="49"/>
  <c r="C21" i="49"/>
  <c r="AO20" i="49"/>
  <c r="AN20" i="49"/>
  <c r="AM20" i="49"/>
  <c r="AL20" i="49"/>
  <c r="AC20" i="49"/>
  <c r="C20" i="49"/>
  <c r="AO19" i="49"/>
  <c r="AN19" i="49"/>
  <c r="AM19" i="49"/>
  <c r="AL19" i="49"/>
  <c r="AC19" i="49"/>
  <c r="C19" i="49"/>
  <c r="AO18" i="49"/>
  <c r="AN18" i="49"/>
  <c r="AM18" i="49"/>
  <c r="AL18" i="49"/>
  <c r="AC18" i="49"/>
  <c r="C18" i="49"/>
  <c r="AO17" i="49"/>
  <c r="AN17" i="49"/>
  <c r="AM17" i="49"/>
  <c r="AL17" i="49"/>
  <c r="AC17" i="49"/>
  <c r="C17" i="49"/>
  <c r="AO16" i="49"/>
  <c r="AN16" i="49"/>
  <c r="AM16" i="49"/>
  <c r="AL16" i="49"/>
  <c r="AC16" i="49"/>
  <c r="C16" i="49"/>
  <c r="AO15" i="49"/>
  <c r="AN15" i="49"/>
  <c r="AM15" i="49"/>
  <c r="AL15" i="49"/>
  <c r="AC15" i="49"/>
  <c r="C15" i="49"/>
  <c r="AO14" i="49"/>
  <c r="AN14" i="49"/>
  <c r="AM14" i="49"/>
  <c r="AL14" i="49"/>
  <c r="AC14" i="49"/>
  <c r="C14" i="49"/>
  <c r="AO13" i="49"/>
  <c r="AN13" i="49"/>
  <c r="AM13" i="49"/>
  <c r="AL13" i="49"/>
  <c r="AC13" i="49"/>
  <c r="C13" i="49"/>
  <c r="AO12" i="49"/>
  <c r="AN12" i="49"/>
  <c r="AM12" i="49"/>
  <c r="AL12" i="49"/>
  <c r="AC12" i="49"/>
  <c r="C12" i="49"/>
  <c r="AO11" i="49"/>
  <c r="AN11" i="49"/>
  <c r="AJ11" i="49"/>
  <c r="AP12" i="49" s="1"/>
  <c r="AC11" i="49"/>
  <c r="C11" i="49"/>
  <c r="AO10" i="49"/>
  <c r="AN10" i="49"/>
  <c r="AM10" i="49"/>
  <c r="AL10" i="49"/>
  <c r="C10" i="49"/>
  <c r="AO9" i="49"/>
  <c r="AN9" i="49"/>
  <c r="AM9" i="49"/>
  <c r="AL9" i="49"/>
  <c r="AC9" i="49"/>
  <c r="C9" i="49"/>
  <c r="AO8" i="49"/>
  <c r="AN8" i="49"/>
  <c r="AM8" i="49"/>
  <c r="AL8" i="49"/>
  <c r="AC8" i="49"/>
  <c r="C8" i="49"/>
  <c r="AO7" i="49"/>
  <c r="AN7" i="49"/>
  <c r="AM7" i="49"/>
  <c r="AL7" i="49"/>
  <c r="AC7" i="49"/>
  <c r="C7" i="49"/>
  <c r="AO6" i="49"/>
  <c r="AN6" i="49"/>
  <c r="AM6" i="49"/>
  <c r="AL6" i="49"/>
  <c r="AJ6" i="49"/>
  <c r="AJ7" i="49" s="1"/>
  <c r="AF6" i="49"/>
  <c r="A6" i="49" s="1"/>
  <c r="AC6" i="49"/>
  <c r="C6" i="49"/>
  <c r="AO5" i="49"/>
  <c r="AN5" i="49"/>
  <c r="AM5" i="49"/>
  <c r="AL5" i="49"/>
  <c r="AJ5" i="49"/>
  <c r="AC5" i="49"/>
  <c r="AI5" i="49" s="1"/>
  <c r="AI6" i="49" s="1"/>
  <c r="C5" i="49"/>
  <c r="B5" i="49"/>
  <c r="A5" i="49"/>
  <c r="AH4" i="49"/>
  <c r="AI4" i="49" s="1"/>
  <c r="AH5" i="49" l="1"/>
  <c r="AD6" i="49" s="1"/>
  <c r="AJ12" i="49"/>
  <c r="B7" i="51"/>
  <c r="AC7" i="51"/>
  <c r="AI7" i="51" s="1"/>
  <c r="AK7" i="51"/>
  <c r="AJ10" i="51"/>
  <c r="AJ11" i="51" s="1"/>
  <c r="AF9" i="51"/>
  <c r="A8" i="51"/>
  <c r="B9" i="50"/>
  <c r="AC9" i="50"/>
  <c r="AI9" i="50" s="1"/>
  <c r="AK6" i="50"/>
  <c r="AP31" i="50"/>
  <c r="AJ31" i="50"/>
  <c r="AJ37" i="50"/>
  <c r="AH36" i="50" s="1"/>
  <c r="AK36" i="50"/>
  <c r="AP37" i="50"/>
  <c r="AJ13" i="50"/>
  <c r="AP13" i="50"/>
  <c r="AJ10" i="50"/>
  <c r="AK9" i="50"/>
  <c r="AH7" i="50"/>
  <c r="AD8" i="50" s="1"/>
  <c r="AK7" i="50"/>
  <c r="B7" i="50"/>
  <c r="A8" i="50"/>
  <c r="AF9" i="50"/>
  <c r="AH6" i="49"/>
  <c r="AD7" i="49" s="1"/>
  <c r="B7" i="49" s="1"/>
  <c r="AI7" i="49"/>
  <c r="AI8" i="49" s="1"/>
  <c r="AI9" i="49" s="1"/>
  <c r="AK6" i="49"/>
  <c r="B6" i="49"/>
  <c r="AK5" i="49"/>
  <c r="AF7" i="49"/>
  <c r="AJ8" i="49"/>
  <c r="AJ13" i="49"/>
  <c r="AP13" i="49"/>
  <c r="AJ33" i="49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AC45" i="48"/>
  <c r="AC48" i="48"/>
  <c r="AC50" i="48"/>
  <c r="AC14" i="48"/>
  <c r="AC15" i="48"/>
  <c r="AC16" i="48"/>
  <c r="AC17" i="48"/>
  <c r="AC18" i="48"/>
  <c r="AC19" i="48"/>
  <c r="AC20" i="48"/>
  <c r="AC21" i="48"/>
  <c r="AC22" i="48"/>
  <c r="AC23" i="48"/>
  <c r="AC24" i="48"/>
  <c r="AC25" i="48"/>
  <c r="AC26" i="48"/>
  <c r="AC27" i="48"/>
  <c r="AC28" i="48"/>
  <c r="AC29" i="48"/>
  <c r="AC30" i="48"/>
  <c r="AC31" i="48"/>
  <c r="AC32" i="48"/>
  <c r="AC33" i="48"/>
  <c r="AC34" i="48"/>
  <c r="AC35" i="48"/>
  <c r="AC36" i="48"/>
  <c r="AC37" i="48"/>
  <c r="AC38" i="48"/>
  <c r="AC39" i="48"/>
  <c r="AC40" i="48"/>
  <c r="AC41" i="48"/>
  <c r="AC42" i="48"/>
  <c r="AC43" i="48"/>
  <c r="AC44" i="48"/>
  <c r="C62" i="48"/>
  <c r="B58" i="48"/>
  <c r="A58" i="48"/>
  <c r="AO51" i="48"/>
  <c r="AN51" i="48"/>
  <c r="AM51" i="48"/>
  <c r="AL51" i="48"/>
  <c r="AI51" i="48"/>
  <c r="C51" i="48"/>
  <c r="AO50" i="48"/>
  <c r="AN50" i="48"/>
  <c r="AM50" i="48"/>
  <c r="AL50" i="48"/>
  <c r="AO49" i="48"/>
  <c r="AN49" i="48"/>
  <c r="AM49" i="48"/>
  <c r="AL49" i="48"/>
  <c r="AO48" i="48"/>
  <c r="AN48" i="48"/>
  <c r="AM48" i="48"/>
  <c r="AL48" i="48"/>
  <c r="AO47" i="48"/>
  <c r="AN47" i="48"/>
  <c r="AM47" i="48"/>
  <c r="AL47" i="48"/>
  <c r="AO46" i="48"/>
  <c r="AN46" i="48"/>
  <c r="AM46" i="48"/>
  <c r="AL46" i="48"/>
  <c r="AO45" i="48"/>
  <c r="AN45" i="48"/>
  <c r="AM45" i="48"/>
  <c r="AL45" i="48"/>
  <c r="AO44" i="48"/>
  <c r="AN44" i="48"/>
  <c r="AM44" i="48"/>
  <c r="AL44" i="48"/>
  <c r="AO43" i="48"/>
  <c r="AN43" i="48"/>
  <c r="AM43" i="48"/>
  <c r="AL43" i="48"/>
  <c r="AM42" i="48"/>
  <c r="AL42" i="48"/>
  <c r="AO41" i="48"/>
  <c r="AN41" i="48"/>
  <c r="AM41" i="48"/>
  <c r="AL41" i="48"/>
  <c r="AO40" i="48"/>
  <c r="AN40" i="48"/>
  <c r="AM40" i="48"/>
  <c r="AL40" i="48"/>
  <c r="AO39" i="48"/>
  <c r="AN39" i="48"/>
  <c r="AM39" i="48"/>
  <c r="AL39" i="48"/>
  <c r="AO38" i="48"/>
  <c r="AN38" i="48"/>
  <c r="AM38" i="48"/>
  <c r="AL38" i="48"/>
  <c r="AO37" i="48"/>
  <c r="AN37" i="48"/>
  <c r="AM37" i="48"/>
  <c r="AL37" i="48"/>
  <c r="AM36" i="48"/>
  <c r="AL36" i="48"/>
  <c r="AO35" i="48"/>
  <c r="AN35" i="48"/>
  <c r="AM35" i="48"/>
  <c r="AL35" i="48"/>
  <c r="AO34" i="48"/>
  <c r="AN34" i="48"/>
  <c r="AM34" i="48"/>
  <c r="AL34" i="48"/>
  <c r="AO33" i="48"/>
  <c r="AN33" i="48"/>
  <c r="AM33" i="48"/>
  <c r="AL33" i="48"/>
  <c r="AO32" i="48"/>
  <c r="AN32" i="48"/>
  <c r="AM32" i="48"/>
  <c r="AL32" i="48"/>
  <c r="AO31" i="48"/>
  <c r="AN31" i="48"/>
  <c r="AM31" i="48"/>
  <c r="AL31" i="48"/>
  <c r="AO30" i="48"/>
  <c r="AN30" i="48"/>
  <c r="AM30" i="48"/>
  <c r="AL30" i="48"/>
  <c r="AO29" i="48"/>
  <c r="AN29" i="48"/>
  <c r="AM29" i="48"/>
  <c r="AL29" i="48"/>
  <c r="AO28" i="48"/>
  <c r="AN28" i="48"/>
  <c r="AM28" i="48"/>
  <c r="AL28" i="48"/>
  <c r="AO27" i="48"/>
  <c r="AN27" i="48"/>
  <c r="AM27" i="48"/>
  <c r="AL27" i="48"/>
  <c r="AO26" i="48"/>
  <c r="AN26" i="48"/>
  <c r="AM26" i="48"/>
  <c r="AL26" i="48"/>
  <c r="AO25" i="48"/>
  <c r="AN25" i="48"/>
  <c r="AM25" i="48"/>
  <c r="AL25" i="48"/>
  <c r="AO24" i="48"/>
  <c r="AN24" i="48"/>
  <c r="AM24" i="48"/>
  <c r="AL24" i="48"/>
  <c r="AO23" i="48"/>
  <c r="AN23" i="48"/>
  <c r="AM23" i="48"/>
  <c r="AL23" i="48"/>
  <c r="AO22" i="48"/>
  <c r="AN22" i="48"/>
  <c r="AM22" i="48"/>
  <c r="AL22" i="48"/>
  <c r="AO21" i="48"/>
  <c r="AN21" i="48"/>
  <c r="AM21" i="48"/>
  <c r="AL21" i="48"/>
  <c r="AO20" i="48"/>
  <c r="AN20" i="48"/>
  <c r="AM20" i="48"/>
  <c r="AL20" i="48"/>
  <c r="AO19" i="48"/>
  <c r="AN19" i="48"/>
  <c r="AM19" i="48"/>
  <c r="AL19" i="48"/>
  <c r="AO18" i="48"/>
  <c r="AN18" i="48"/>
  <c r="AM18" i="48"/>
  <c r="AL18" i="48"/>
  <c r="AO17" i="48"/>
  <c r="AN17" i="48"/>
  <c r="AM17" i="48"/>
  <c r="AL17" i="48"/>
  <c r="AO16" i="48"/>
  <c r="AN16" i="48"/>
  <c r="AO15" i="48"/>
  <c r="AN15" i="48"/>
  <c r="AM15" i="48"/>
  <c r="AL15" i="48"/>
  <c r="AO14" i="48"/>
  <c r="AN14" i="48"/>
  <c r="AM14" i="48"/>
  <c r="AL14" i="48"/>
  <c r="AO13" i="48"/>
  <c r="AN13" i="48"/>
  <c r="AM13" i="48"/>
  <c r="AL13" i="48"/>
  <c r="AO12" i="48"/>
  <c r="AN12" i="48"/>
  <c r="AC12" i="48"/>
  <c r="AO11" i="48"/>
  <c r="AN11" i="48"/>
  <c r="AM11" i="48"/>
  <c r="AL11" i="48"/>
  <c r="AO10" i="48"/>
  <c r="AN10" i="48"/>
  <c r="AM10" i="48"/>
  <c r="AL10" i="48"/>
  <c r="AC10" i="48"/>
  <c r="AO9" i="48"/>
  <c r="AN9" i="48"/>
  <c r="AM9" i="48"/>
  <c r="AL9" i="48"/>
  <c r="AO8" i="48"/>
  <c r="AN8" i="48"/>
  <c r="AM8" i="48"/>
  <c r="AL8" i="48"/>
  <c r="AO7" i="48"/>
  <c r="AN7" i="48"/>
  <c r="AM7" i="48"/>
  <c r="AL7" i="48"/>
  <c r="AF7" i="48"/>
  <c r="A7" i="48" s="1"/>
  <c r="AC7" i="48"/>
  <c r="AO6" i="48"/>
  <c r="AN6" i="48"/>
  <c r="AM6" i="48"/>
  <c r="AL6" i="48"/>
  <c r="AF6" i="48"/>
  <c r="A6" i="48" s="1"/>
  <c r="AO5" i="48"/>
  <c r="AN5" i="48"/>
  <c r="AM5" i="48"/>
  <c r="AL5" i="48"/>
  <c r="AJ5" i="48"/>
  <c r="AK5" i="48" s="1"/>
  <c r="AC5" i="48"/>
  <c r="AI5" i="48" s="1"/>
  <c r="C5" i="48"/>
  <c r="B5" i="48"/>
  <c r="A5" i="48"/>
  <c r="AI4" i="48"/>
  <c r="AH4" i="48"/>
  <c r="AJ6" i="48" l="1"/>
  <c r="AH9" i="50"/>
  <c r="AD10" i="50" s="1"/>
  <c r="AL10" i="50" s="1"/>
  <c r="AJ12" i="51"/>
  <c r="AP12" i="51"/>
  <c r="AH7" i="51"/>
  <c r="AD8" i="51" s="1"/>
  <c r="AP11" i="51"/>
  <c r="A9" i="51"/>
  <c r="AF10" i="51"/>
  <c r="AC10" i="50"/>
  <c r="AI10" i="50" s="1"/>
  <c r="AI11" i="50" s="1"/>
  <c r="AI12" i="50" s="1"/>
  <c r="AI13" i="50" s="1"/>
  <c r="AI14" i="50" s="1"/>
  <c r="AI15" i="50" s="1"/>
  <c r="AI16" i="50" s="1"/>
  <c r="AI17" i="50" s="1"/>
  <c r="AI18" i="50" s="1"/>
  <c r="AI19" i="50" s="1"/>
  <c r="AI20" i="50" s="1"/>
  <c r="AI21" i="50" s="1"/>
  <c r="AI22" i="50" s="1"/>
  <c r="AI23" i="50" s="1"/>
  <c r="AI24" i="50" s="1"/>
  <c r="AI25" i="50" s="1"/>
  <c r="AI26" i="50" s="1"/>
  <c r="AI27" i="50" s="1"/>
  <c r="AI28" i="50" s="1"/>
  <c r="AI29" i="50" s="1"/>
  <c r="AP14" i="50"/>
  <c r="AJ14" i="50"/>
  <c r="AF10" i="50"/>
  <c r="AM10" i="50" s="1"/>
  <c r="A9" i="50"/>
  <c r="B8" i="50"/>
  <c r="AK8" i="50"/>
  <c r="AK10" i="50"/>
  <c r="AP11" i="50"/>
  <c r="AJ32" i="50"/>
  <c r="AJ33" i="50" s="1"/>
  <c r="AP32" i="50"/>
  <c r="AP38" i="50"/>
  <c r="AK37" i="50"/>
  <c r="AJ38" i="50"/>
  <c r="AJ14" i="49"/>
  <c r="AP14" i="49"/>
  <c r="AH8" i="49"/>
  <c r="AD9" i="49" s="1"/>
  <c r="B9" i="49" s="1"/>
  <c r="AJ9" i="49"/>
  <c r="AJ34" i="49"/>
  <c r="AP34" i="49"/>
  <c r="AK7" i="49"/>
  <c r="A7" i="49"/>
  <c r="AF8" i="49"/>
  <c r="AH7" i="49"/>
  <c r="AD8" i="49" s="1"/>
  <c r="B8" i="49" s="1"/>
  <c r="AJ7" i="48"/>
  <c r="AH5" i="48"/>
  <c r="AD6" i="48" s="1"/>
  <c r="AF8" i="48"/>
  <c r="A8" i="48" s="1"/>
  <c r="AC13" i="47"/>
  <c r="AC14" i="47"/>
  <c r="AC15" i="47"/>
  <c r="AC16" i="47"/>
  <c r="AC17" i="47"/>
  <c r="AC18" i="47"/>
  <c r="AC19" i="47"/>
  <c r="AC20" i="47"/>
  <c r="AC21" i="47"/>
  <c r="AC22" i="47"/>
  <c r="AC23" i="47"/>
  <c r="AC24" i="47"/>
  <c r="AC25" i="47"/>
  <c r="AC26" i="47"/>
  <c r="AC27" i="47"/>
  <c r="AC28" i="47"/>
  <c r="AC29" i="47"/>
  <c r="AC30" i="47"/>
  <c r="AC31" i="47"/>
  <c r="AC32" i="47"/>
  <c r="AC33" i="47"/>
  <c r="AC34" i="47"/>
  <c r="AC36" i="47"/>
  <c r="AC37" i="47"/>
  <c r="AK6" i="48" l="1"/>
  <c r="B6" i="48"/>
  <c r="B10" i="50"/>
  <c r="AP13" i="51"/>
  <c r="AJ13" i="51"/>
  <c r="B8" i="51"/>
  <c r="AC8" i="51"/>
  <c r="AI8" i="51" s="1"/>
  <c r="AK8" i="51"/>
  <c r="A10" i="51"/>
  <c r="AF11" i="51"/>
  <c r="AP34" i="50"/>
  <c r="AJ34" i="50"/>
  <c r="AP35" i="50" s="1"/>
  <c r="AP39" i="50"/>
  <c r="AJ39" i="50"/>
  <c r="AK38" i="50"/>
  <c r="AP33" i="50"/>
  <c r="AI30" i="50"/>
  <c r="AH29" i="50"/>
  <c r="AD30" i="50" s="1"/>
  <c r="AP15" i="50"/>
  <c r="AJ15" i="50"/>
  <c r="AH37" i="50"/>
  <c r="AH10" i="50"/>
  <c r="AD11" i="50" s="1"/>
  <c r="AF11" i="50"/>
  <c r="A10" i="50"/>
  <c r="AP35" i="49"/>
  <c r="AJ35" i="49"/>
  <c r="AJ36" i="49" s="1"/>
  <c r="AF9" i="49"/>
  <c r="A8" i="49"/>
  <c r="AJ10" i="49"/>
  <c r="AH9" i="49"/>
  <c r="AD10" i="49" s="1"/>
  <c r="AK9" i="49"/>
  <c r="AP15" i="49"/>
  <c r="AJ15" i="49"/>
  <c r="AK8" i="49"/>
  <c r="AC6" i="48"/>
  <c r="AI6" i="48" s="1"/>
  <c r="AJ16" i="48"/>
  <c r="AJ8" i="48"/>
  <c r="AF9" i="48"/>
  <c r="A9" i="48" s="1"/>
  <c r="AC11" i="47"/>
  <c r="AC12" i="47"/>
  <c r="C62" i="47"/>
  <c r="B58" i="47"/>
  <c r="A58" i="47"/>
  <c r="AO51" i="47"/>
  <c r="AN51" i="47"/>
  <c r="AM51" i="47"/>
  <c r="AL51" i="47"/>
  <c r="AI51" i="47"/>
  <c r="C51" i="47"/>
  <c r="AO50" i="47"/>
  <c r="AN50" i="47"/>
  <c r="AM50" i="47"/>
  <c r="AL50" i="47"/>
  <c r="AI50" i="47"/>
  <c r="C50" i="47"/>
  <c r="AO49" i="47"/>
  <c r="AN49" i="47"/>
  <c r="AM49" i="47"/>
  <c r="AL49" i="47"/>
  <c r="AI49" i="47"/>
  <c r="C49" i="47"/>
  <c r="AO48" i="47"/>
  <c r="AN48" i="47"/>
  <c r="AM48" i="47"/>
  <c r="AL48" i="47"/>
  <c r="AI48" i="47"/>
  <c r="C48" i="47"/>
  <c r="AO47" i="47"/>
  <c r="AN47" i="47"/>
  <c r="AM47" i="47"/>
  <c r="AL47" i="47"/>
  <c r="AI47" i="47"/>
  <c r="C47" i="47"/>
  <c r="AO46" i="47"/>
  <c r="AN46" i="47"/>
  <c r="AM46" i="47"/>
  <c r="AL46" i="47"/>
  <c r="AI46" i="47"/>
  <c r="AO45" i="47"/>
  <c r="AN45" i="47"/>
  <c r="AM45" i="47"/>
  <c r="AL45" i="47"/>
  <c r="AI45" i="47"/>
  <c r="AO44" i="47"/>
  <c r="AN44" i="47"/>
  <c r="AM44" i="47"/>
  <c r="AL44" i="47"/>
  <c r="AO43" i="47"/>
  <c r="AN43" i="47"/>
  <c r="AM43" i="47"/>
  <c r="AL43" i="47"/>
  <c r="AO42" i="47"/>
  <c r="AN42" i="47"/>
  <c r="AM42" i="47"/>
  <c r="AL42" i="47"/>
  <c r="AO41" i="47"/>
  <c r="AN41" i="47"/>
  <c r="AM41" i="47"/>
  <c r="AL41" i="47"/>
  <c r="AO40" i="47"/>
  <c r="AN40" i="47"/>
  <c r="AM40" i="47"/>
  <c r="AL40" i="47"/>
  <c r="AO39" i="47"/>
  <c r="AN39" i="47"/>
  <c r="AM39" i="47"/>
  <c r="AL39" i="47"/>
  <c r="AO38" i="47"/>
  <c r="AN38" i="47"/>
  <c r="AM38" i="47"/>
  <c r="AL38" i="47"/>
  <c r="AO37" i="47"/>
  <c r="AN37" i="47"/>
  <c r="AM37" i="47"/>
  <c r="AL37" i="47"/>
  <c r="AM36" i="47"/>
  <c r="AL36" i="47"/>
  <c r="AJ36" i="47"/>
  <c r="C36" i="47"/>
  <c r="AO35" i="47"/>
  <c r="AN35" i="47"/>
  <c r="AM35" i="47"/>
  <c r="AL35" i="47"/>
  <c r="C35" i="47"/>
  <c r="AO34" i="47"/>
  <c r="AN34" i="47"/>
  <c r="AM34" i="47"/>
  <c r="AL34" i="47"/>
  <c r="C34" i="47"/>
  <c r="AO33" i="47"/>
  <c r="AN33" i="47"/>
  <c r="AM33" i="47"/>
  <c r="AL33" i="47"/>
  <c r="C33" i="47"/>
  <c r="AO32" i="47"/>
  <c r="AN32" i="47"/>
  <c r="AM32" i="47"/>
  <c r="AL32" i="47"/>
  <c r="C32" i="47"/>
  <c r="AM31" i="47"/>
  <c r="AL31" i="47"/>
  <c r="C31" i="47"/>
  <c r="AO30" i="47"/>
  <c r="AM30" i="47"/>
  <c r="AL30" i="47"/>
  <c r="C30" i="47"/>
  <c r="AO29" i="47"/>
  <c r="AN29" i="47"/>
  <c r="AM29" i="47"/>
  <c r="AL29" i="47"/>
  <c r="C29" i="47"/>
  <c r="AO28" i="47"/>
  <c r="AN28" i="47"/>
  <c r="AM28" i="47"/>
  <c r="AL28" i="47"/>
  <c r="C28" i="47"/>
  <c r="AO27" i="47"/>
  <c r="AN27" i="47"/>
  <c r="AM27" i="47"/>
  <c r="AL27" i="47"/>
  <c r="C27" i="47"/>
  <c r="AO26" i="47"/>
  <c r="AN26" i="47"/>
  <c r="AM26" i="47"/>
  <c r="AL26" i="47"/>
  <c r="C26" i="47"/>
  <c r="AO25" i="47"/>
  <c r="AN25" i="47"/>
  <c r="AM25" i="47"/>
  <c r="AL25" i="47"/>
  <c r="C25" i="47"/>
  <c r="AO24" i="47"/>
  <c r="AN24" i="47"/>
  <c r="AM24" i="47"/>
  <c r="AL24" i="47"/>
  <c r="C24" i="47"/>
  <c r="AO23" i="47"/>
  <c r="AN23" i="47"/>
  <c r="AM23" i="47"/>
  <c r="AL23" i="47"/>
  <c r="C23" i="47"/>
  <c r="AO22" i="47"/>
  <c r="AN22" i="47"/>
  <c r="AM22" i="47"/>
  <c r="AL22" i="47"/>
  <c r="C22" i="47"/>
  <c r="AO21" i="47"/>
  <c r="AN21" i="47"/>
  <c r="AM21" i="47"/>
  <c r="AL21" i="47"/>
  <c r="C21" i="47"/>
  <c r="AO20" i="47"/>
  <c r="AN20" i="47"/>
  <c r="AM20" i="47"/>
  <c r="AL20" i="47"/>
  <c r="C20" i="47"/>
  <c r="AO19" i="47"/>
  <c r="AN19" i="47"/>
  <c r="AM19" i="47"/>
  <c r="AL19" i="47"/>
  <c r="C19" i="47"/>
  <c r="AO18" i="47"/>
  <c r="AN18" i="47"/>
  <c r="AM18" i="47"/>
  <c r="AL18" i="47"/>
  <c r="C18" i="47"/>
  <c r="AO17" i="47"/>
  <c r="AN17" i="47"/>
  <c r="AM17" i="47"/>
  <c r="AL17" i="47"/>
  <c r="C17" i="47"/>
  <c r="AO16" i="47"/>
  <c r="AN16" i="47"/>
  <c r="AM16" i="47"/>
  <c r="AL16" i="47"/>
  <c r="C16" i="47"/>
  <c r="AO15" i="47"/>
  <c r="AN15" i="47"/>
  <c r="AM15" i="47"/>
  <c r="AL15" i="47"/>
  <c r="C15" i="47"/>
  <c r="AO14" i="47"/>
  <c r="AN14" i="47"/>
  <c r="AM14" i="47"/>
  <c r="AL14" i="47"/>
  <c r="C14" i="47"/>
  <c r="AO13" i="47"/>
  <c r="AN13" i="47"/>
  <c r="AM13" i="47"/>
  <c r="AL13" i="47"/>
  <c r="C13" i="47"/>
  <c r="AO12" i="47"/>
  <c r="AN12" i="47"/>
  <c r="C12" i="47"/>
  <c r="AO11" i="47"/>
  <c r="AN11" i="47"/>
  <c r="C11" i="47"/>
  <c r="AO10" i="47"/>
  <c r="AN10" i="47"/>
  <c r="AM10" i="47"/>
  <c r="AL10" i="47"/>
  <c r="C10" i="47"/>
  <c r="AO9" i="47"/>
  <c r="AN9" i="47"/>
  <c r="AM9" i="47"/>
  <c r="AL9" i="47"/>
  <c r="AC9" i="47"/>
  <c r="C9" i="47"/>
  <c r="AO8" i="47"/>
  <c r="AN8" i="47"/>
  <c r="AM8" i="47"/>
  <c r="AL8" i="47"/>
  <c r="AC8" i="47"/>
  <c r="C8" i="47"/>
  <c r="AO7" i="47"/>
  <c r="AN7" i="47"/>
  <c r="AM7" i="47"/>
  <c r="AL7" i="47"/>
  <c r="AC7" i="47"/>
  <c r="C7" i="47"/>
  <c r="AO6" i="47"/>
  <c r="AN6" i="47"/>
  <c r="AM6" i="47"/>
  <c r="AL6" i="47"/>
  <c r="AJ6" i="47"/>
  <c r="AJ7" i="47" s="1"/>
  <c r="AF6" i="47"/>
  <c r="AF7" i="47" s="1"/>
  <c r="A7" i="47" s="1"/>
  <c r="AC6" i="47"/>
  <c r="C6" i="47"/>
  <c r="AO5" i="47"/>
  <c r="AN5" i="47"/>
  <c r="AM5" i="47"/>
  <c r="AL5" i="47"/>
  <c r="AK5" i="47"/>
  <c r="AJ5" i="47"/>
  <c r="AC5" i="47"/>
  <c r="AI5" i="47" s="1"/>
  <c r="C5" i="47"/>
  <c r="B5" i="47"/>
  <c r="A5" i="47"/>
  <c r="AH4" i="47"/>
  <c r="AI4" i="47" s="1"/>
  <c r="A6" i="47" l="1"/>
  <c r="AP14" i="51"/>
  <c r="AJ14" i="51"/>
  <c r="AH8" i="51"/>
  <c r="AD9" i="51" s="1"/>
  <c r="A11" i="51"/>
  <c r="AM11" i="51"/>
  <c r="AM4" i="51" s="1"/>
  <c r="AF12" i="51"/>
  <c r="AL11" i="50"/>
  <c r="AL4" i="50" s="1"/>
  <c r="B53" i="50" s="1"/>
  <c r="B11" i="50"/>
  <c r="AK11" i="50"/>
  <c r="B30" i="50"/>
  <c r="AK30" i="50"/>
  <c r="AJ40" i="50"/>
  <c r="AK39" i="50"/>
  <c r="AP40" i="50"/>
  <c r="AI31" i="50"/>
  <c r="AH30" i="50"/>
  <c r="AD31" i="50" s="1"/>
  <c r="AH38" i="50"/>
  <c r="AM11" i="50"/>
  <c r="AM4" i="50" s="1"/>
  <c r="A53" i="50" s="1"/>
  <c r="AF12" i="50"/>
  <c r="A11" i="50"/>
  <c r="AJ16" i="50"/>
  <c r="AP16" i="50"/>
  <c r="AP37" i="49"/>
  <c r="AJ37" i="49"/>
  <c r="B10" i="49"/>
  <c r="AC10" i="49"/>
  <c r="AI10" i="49" s="1"/>
  <c r="AI11" i="49" s="1"/>
  <c r="AI12" i="49" s="1"/>
  <c r="AI13" i="49" s="1"/>
  <c r="AI14" i="49" s="1"/>
  <c r="AI15" i="49" s="1"/>
  <c r="AI16" i="49" s="1"/>
  <c r="AI17" i="49" s="1"/>
  <c r="AI18" i="49" s="1"/>
  <c r="AI19" i="49" s="1"/>
  <c r="AI20" i="49" s="1"/>
  <c r="AI21" i="49" s="1"/>
  <c r="AI22" i="49" s="1"/>
  <c r="AI23" i="49" s="1"/>
  <c r="AI24" i="49" s="1"/>
  <c r="AI25" i="49" s="1"/>
  <c r="AI26" i="49" s="1"/>
  <c r="AI27" i="49" s="1"/>
  <c r="AI28" i="49" s="1"/>
  <c r="AI29" i="49" s="1"/>
  <c r="AI30" i="49" s="1"/>
  <c r="AI31" i="49" s="1"/>
  <c r="AP36" i="49"/>
  <c r="AP16" i="49"/>
  <c r="AJ16" i="49"/>
  <c r="A9" i="49"/>
  <c r="AF10" i="49"/>
  <c r="AP11" i="49"/>
  <c r="AK10" i="49"/>
  <c r="AJ48" i="48"/>
  <c r="AJ49" i="48" s="1"/>
  <c r="AI7" i="48"/>
  <c r="AH6" i="48"/>
  <c r="AD7" i="48" s="1"/>
  <c r="B7" i="48" s="1"/>
  <c r="AJ9" i="48"/>
  <c r="AP17" i="48"/>
  <c r="AJ17" i="48"/>
  <c r="AF10" i="48"/>
  <c r="A10" i="48" s="1"/>
  <c r="AJ37" i="47"/>
  <c r="AP38" i="47" s="1"/>
  <c r="AJ8" i="47"/>
  <c r="AI6" i="47"/>
  <c r="AI7" i="47" s="1"/>
  <c r="AI8" i="47" s="1"/>
  <c r="AI9" i="47" s="1"/>
  <c r="AH5" i="47"/>
  <c r="AD6" i="47" s="1"/>
  <c r="B6" i="47" s="1"/>
  <c r="AJ38" i="47"/>
  <c r="AF8" i="47"/>
  <c r="AH6" i="47"/>
  <c r="AD7" i="47" s="1"/>
  <c r="B7" i="47" s="1"/>
  <c r="AP37" i="47"/>
  <c r="C62" i="46"/>
  <c r="B58" i="46"/>
  <c r="A58" i="46"/>
  <c r="AO51" i="46"/>
  <c r="AN51" i="46"/>
  <c r="AM51" i="46"/>
  <c r="AL51" i="46"/>
  <c r="AI51" i="46"/>
  <c r="C51" i="46"/>
  <c r="AO50" i="46"/>
  <c r="AN50" i="46"/>
  <c r="AM50" i="46"/>
  <c r="AL50" i="46"/>
  <c r="AI50" i="46"/>
  <c r="C50" i="46"/>
  <c r="AO49" i="46"/>
  <c r="AN49" i="46"/>
  <c r="AM49" i="46"/>
  <c r="AL49" i="46"/>
  <c r="AI49" i="46"/>
  <c r="C49" i="46"/>
  <c r="AO48" i="46"/>
  <c r="AN48" i="46"/>
  <c r="AM48" i="46"/>
  <c r="AL48" i="46"/>
  <c r="AI48" i="46"/>
  <c r="C48" i="46"/>
  <c r="AO47" i="46"/>
  <c r="AN47" i="46"/>
  <c r="AM47" i="46"/>
  <c r="AL47" i="46"/>
  <c r="AI47" i="46"/>
  <c r="C47" i="46"/>
  <c r="AO46" i="46"/>
  <c r="AN46" i="46"/>
  <c r="AM46" i="46"/>
  <c r="AL46" i="46"/>
  <c r="AI46" i="46"/>
  <c r="C46" i="46"/>
  <c r="AO45" i="46"/>
  <c r="AN45" i="46"/>
  <c r="AM45" i="46"/>
  <c r="AL45" i="46"/>
  <c r="AI45" i="46"/>
  <c r="AO44" i="46"/>
  <c r="AN44" i="46"/>
  <c r="AM44" i="46"/>
  <c r="AL44" i="46"/>
  <c r="AO43" i="46"/>
  <c r="AN43" i="46"/>
  <c r="AM43" i="46"/>
  <c r="AL43" i="46"/>
  <c r="AI43" i="46"/>
  <c r="AI44" i="46" s="1"/>
  <c r="AO42" i="46"/>
  <c r="AN42" i="46"/>
  <c r="AM42" i="46"/>
  <c r="AL42" i="46"/>
  <c r="AI42" i="46"/>
  <c r="AO41" i="46"/>
  <c r="AN41" i="46"/>
  <c r="AM41" i="46"/>
  <c r="AL41" i="46"/>
  <c r="AI41" i="46"/>
  <c r="AO40" i="46"/>
  <c r="AN40" i="46"/>
  <c r="AM40" i="46"/>
  <c r="AL40" i="46"/>
  <c r="AI40" i="46"/>
  <c r="AO39" i="46"/>
  <c r="AN39" i="46"/>
  <c r="AM39" i="46"/>
  <c r="AL39" i="46"/>
  <c r="C39" i="46"/>
  <c r="AO38" i="46"/>
  <c r="AN38" i="46"/>
  <c r="AM38" i="46"/>
  <c r="AL38" i="46"/>
  <c r="C38" i="46"/>
  <c r="AO37" i="46"/>
  <c r="AN37" i="46"/>
  <c r="AM37" i="46"/>
  <c r="AL37" i="46"/>
  <c r="C37" i="46"/>
  <c r="AM36" i="46"/>
  <c r="AL36" i="46"/>
  <c r="AJ36" i="46"/>
  <c r="C36" i="46"/>
  <c r="AO35" i="46"/>
  <c r="AN35" i="46"/>
  <c r="AM35" i="46"/>
  <c r="AL35" i="46"/>
  <c r="AC35" i="46"/>
  <c r="C35" i="46"/>
  <c r="AO34" i="46"/>
  <c r="AN34" i="46"/>
  <c r="AM34" i="46"/>
  <c r="AL34" i="46"/>
  <c r="C34" i="46"/>
  <c r="AO33" i="46"/>
  <c r="AN33" i="46"/>
  <c r="AM33" i="46"/>
  <c r="AL33" i="46"/>
  <c r="AC33" i="46"/>
  <c r="C33" i="46"/>
  <c r="AO32" i="46"/>
  <c r="AN32" i="46"/>
  <c r="AM32" i="46"/>
  <c r="AL32" i="46"/>
  <c r="AC32" i="46"/>
  <c r="C32" i="46"/>
  <c r="AM31" i="46"/>
  <c r="AL31" i="46"/>
  <c r="AC31" i="46"/>
  <c r="C31" i="46"/>
  <c r="AO30" i="46"/>
  <c r="AN30" i="46"/>
  <c r="AM30" i="46"/>
  <c r="AL30" i="46"/>
  <c r="AC30" i="46"/>
  <c r="C30" i="46"/>
  <c r="AO29" i="46"/>
  <c r="AN29" i="46"/>
  <c r="AM29" i="46"/>
  <c r="AL29" i="46"/>
  <c r="AC29" i="46"/>
  <c r="C29" i="46"/>
  <c r="AO28" i="46"/>
  <c r="AN28" i="46"/>
  <c r="AM28" i="46"/>
  <c r="AL28" i="46"/>
  <c r="AC28" i="46"/>
  <c r="C28" i="46"/>
  <c r="AO27" i="46"/>
  <c r="AN27" i="46"/>
  <c r="AM27" i="46"/>
  <c r="AL27" i="46"/>
  <c r="AC27" i="46"/>
  <c r="C27" i="46"/>
  <c r="AO26" i="46"/>
  <c r="AN26" i="46"/>
  <c r="AM26" i="46"/>
  <c r="AL26" i="46"/>
  <c r="AC26" i="46"/>
  <c r="C26" i="46"/>
  <c r="AO25" i="46"/>
  <c r="AN25" i="46"/>
  <c r="AM25" i="46"/>
  <c r="AL25" i="46"/>
  <c r="AC25" i="46"/>
  <c r="C25" i="46"/>
  <c r="AO24" i="46"/>
  <c r="AN24" i="46"/>
  <c r="AM24" i="46"/>
  <c r="AL24" i="46"/>
  <c r="AC24" i="46"/>
  <c r="C24" i="46"/>
  <c r="AO23" i="46"/>
  <c r="AN23" i="46"/>
  <c r="AM23" i="46"/>
  <c r="AL23" i="46"/>
  <c r="AC23" i="46"/>
  <c r="C23" i="46"/>
  <c r="AO22" i="46"/>
  <c r="AN22" i="46"/>
  <c r="AM22" i="46"/>
  <c r="AL22" i="46"/>
  <c r="AC22" i="46"/>
  <c r="C22" i="46"/>
  <c r="AO21" i="46"/>
  <c r="AN21" i="46"/>
  <c r="AM21" i="46"/>
  <c r="AL21" i="46"/>
  <c r="AC21" i="46"/>
  <c r="C21" i="46"/>
  <c r="AO20" i="46"/>
  <c r="AN20" i="46"/>
  <c r="AM20" i="46"/>
  <c r="AL20" i="46"/>
  <c r="AC20" i="46"/>
  <c r="C20" i="46"/>
  <c r="AO19" i="46"/>
  <c r="AN19" i="46"/>
  <c r="AM19" i="46"/>
  <c r="AL19" i="46"/>
  <c r="AC19" i="46"/>
  <c r="C19" i="46"/>
  <c r="AO18" i="46"/>
  <c r="AN18" i="46"/>
  <c r="AM18" i="46"/>
  <c r="AL18" i="46"/>
  <c r="AC18" i="46"/>
  <c r="C18" i="46"/>
  <c r="AO17" i="46"/>
  <c r="AN17" i="46"/>
  <c r="AM17" i="46"/>
  <c r="AL17" i="46"/>
  <c r="AC17" i="46"/>
  <c r="C17" i="46"/>
  <c r="AO16" i="46"/>
  <c r="AN16" i="46"/>
  <c r="AM16" i="46"/>
  <c r="AL16" i="46"/>
  <c r="AC16" i="46"/>
  <c r="C16" i="46"/>
  <c r="AO15" i="46"/>
  <c r="AN15" i="46"/>
  <c r="AM15" i="46"/>
  <c r="AL15" i="46"/>
  <c r="AC15" i="46"/>
  <c r="C15" i="46"/>
  <c r="AO14" i="46"/>
  <c r="AN14" i="46"/>
  <c r="AM14" i="46"/>
  <c r="AL14" i="46"/>
  <c r="AC14" i="46"/>
  <c r="C14" i="46"/>
  <c r="AO13" i="46"/>
  <c r="AN13" i="46"/>
  <c r="AM13" i="46"/>
  <c r="AL13" i="46"/>
  <c r="AC13" i="46"/>
  <c r="C13" i="46"/>
  <c r="AO12" i="46"/>
  <c r="AN12" i="46"/>
  <c r="AJ12" i="46"/>
  <c r="AC12" i="46"/>
  <c r="C12" i="46"/>
  <c r="AO11" i="46"/>
  <c r="AN11" i="46"/>
  <c r="C11" i="46"/>
  <c r="AO10" i="46"/>
  <c r="AN10" i="46"/>
  <c r="AM10" i="46"/>
  <c r="AL10" i="46"/>
  <c r="C10" i="46"/>
  <c r="AO9" i="46"/>
  <c r="AN9" i="46"/>
  <c r="AM9" i="46"/>
  <c r="AL9" i="46"/>
  <c r="AC9" i="46"/>
  <c r="C9" i="46"/>
  <c r="AO8" i="46"/>
  <c r="AN8" i="46"/>
  <c r="AM8" i="46"/>
  <c r="AL8" i="46"/>
  <c r="AC8" i="46"/>
  <c r="C8" i="46"/>
  <c r="AO7" i="46"/>
  <c r="AN7" i="46"/>
  <c r="AM7" i="46"/>
  <c r="AL7" i="46"/>
  <c r="AC7" i="46"/>
  <c r="C7" i="46"/>
  <c r="AO6" i="46"/>
  <c r="AN6" i="46"/>
  <c r="AM6" i="46"/>
  <c r="AL6" i="46"/>
  <c r="AJ6" i="46"/>
  <c r="AJ7" i="46" s="1"/>
  <c r="AF6" i="46"/>
  <c r="AF7" i="46" s="1"/>
  <c r="AF8" i="46" s="1"/>
  <c r="AC6" i="46"/>
  <c r="C6" i="46"/>
  <c r="AO5" i="46"/>
  <c r="AN5" i="46"/>
  <c r="AM5" i="46"/>
  <c r="AL5" i="46"/>
  <c r="AJ5" i="46"/>
  <c r="AK5" i="46" s="1"/>
  <c r="AC5" i="46"/>
  <c r="AI5" i="46" s="1"/>
  <c r="C5" i="46"/>
  <c r="B5" i="46"/>
  <c r="A5" i="46"/>
  <c r="AH4" i="46"/>
  <c r="AI4" i="46" s="1"/>
  <c r="A6" i="46" l="1"/>
  <c r="AJ15" i="51"/>
  <c r="AP15" i="51"/>
  <c r="B9" i="51"/>
  <c r="AC9" i="51"/>
  <c r="AI9" i="51" s="1"/>
  <c r="AH9" i="51" s="1"/>
  <c r="AD10" i="51" s="1"/>
  <c r="AK9" i="51"/>
  <c r="AF13" i="51"/>
  <c r="A12" i="51"/>
  <c r="B31" i="50"/>
  <c r="AK31" i="50"/>
  <c r="AJ41" i="50"/>
  <c r="AK40" i="50"/>
  <c r="AP41" i="50"/>
  <c r="AH11" i="50"/>
  <c r="AD12" i="50" s="1"/>
  <c r="B12" i="50" s="1"/>
  <c r="AK12" i="50"/>
  <c r="AF13" i="50"/>
  <c r="A12" i="50"/>
  <c r="AI32" i="50"/>
  <c r="AH31" i="50"/>
  <c r="AD32" i="50" s="1"/>
  <c r="AH39" i="50"/>
  <c r="AJ17" i="50"/>
  <c r="AP17" i="50"/>
  <c r="AJ38" i="49"/>
  <c r="AP38" i="49"/>
  <c r="AF11" i="49"/>
  <c r="A10" i="49"/>
  <c r="AI32" i="49"/>
  <c r="AH10" i="49"/>
  <c r="AD11" i="49" s="1"/>
  <c r="AJ17" i="49"/>
  <c r="AP17" i="49"/>
  <c r="AP49" i="48"/>
  <c r="AH7" i="48"/>
  <c r="AD8" i="48" s="1"/>
  <c r="B8" i="48" s="1"/>
  <c r="AK7" i="48"/>
  <c r="AP18" i="48"/>
  <c r="AJ18" i="48"/>
  <c r="AJ10" i="48"/>
  <c r="AF11" i="48"/>
  <c r="A11" i="48" s="1"/>
  <c r="AP50" i="48"/>
  <c r="AJ50" i="48"/>
  <c r="AK6" i="47"/>
  <c r="AJ39" i="47"/>
  <c r="AP39" i="47"/>
  <c r="AJ9" i="47"/>
  <c r="AF9" i="47"/>
  <c r="AF10" i="47" s="1"/>
  <c r="A8" i="47"/>
  <c r="AH7" i="47"/>
  <c r="AD8" i="47" s="1"/>
  <c r="B8" i="47" s="1"/>
  <c r="AK7" i="47"/>
  <c r="AI6" i="46"/>
  <c r="AI7" i="46" s="1"/>
  <c r="AI8" i="46" s="1"/>
  <c r="AI9" i="46" s="1"/>
  <c r="AH5" i="46"/>
  <c r="AD6" i="46" s="1"/>
  <c r="B6" i="46" s="1"/>
  <c r="AF9" i="46"/>
  <c r="A8" i="46"/>
  <c r="AJ8" i="46"/>
  <c r="AK6" i="46"/>
  <c r="A7" i="46"/>
  <c r="AJ13" i="46"/>
  <c r="AP13" i="46"/>
  <c r="AJ37" i="46"/>
  <c r="AP37" i="46"/>
  <c r="C62" i="45"/>
  <c r="B58" i="45"/>
  <c r="A58" i="45"/>
  <c r="AO51" i="45"/>
  <c r="AN51" i="45"/>
  <c r="AM51" i="45"/>
  <c r="AL51" i="45"/>
  <c r="C51" i="45"/>
  <c r="AO50" i="45"/>
  <c r="AN50" i="45"/>
  <c r="AM50" i="45"/>
  <c r="AL50" i="45"/>
  <c r="C50" i="45"/>
  <c r="AO49" i="45"/>
  <c r="AN49" i="45"/>
  <c r="AM49" i="45"/>
  <c r="AL49" i="45"/>
  <c r="C49" i="45"/>
  <c r="AO48" i="45"/>
  <c r="AN48" i="45"/>
  <c r="AM48" i="45"/>
  <c r="AL48" i="45"/>
  <c r="C48" i="45"/>
  <c r="AO47" i="45"/>
  <c r="AN47" i="45"/>
  <c r="AM47" i="45"/>
  <c r="AL47" i="45"/>
  <c r="C47" i="45"/>
  <c r="AO46" i="45"/>
  <c r="AN46" i="45"/>
  <c r="AM46" i="45"/>
  <c r="AL46" i="45"/>
  <c r="C46" i="45"/>
  <c r="AO45" i="45"/>
  <c r="AN45" i="45"/>
  <c r="AM45" i="45"/>
  <c r="AL45" i="45"/>
  <c r="C45" i="45"/>
  <c r="AO44" i="45"/>
  <c r="AN44" i="45"/>
  <c r="AM44" i="45"/>
  <c r="AL44" i="45"/>
  <c r="C44" i="45"/>
  <c r="AO43" i="45"/>
  <c r="AN43" i="45"/>
  <c r="AM43" i="45"/>
  <c r="AL43" i="45"/>
  <c r="C43" i="45"/>
  <c r="AO42" i="45"/>
  <c r="AN42" i="45"/>
  <c r="AM42" i="45"/>
  <c r="AL42" i="45"/>
  <c r="C42" i="45"/>
  <c r="AO41" i="45"/>
  <c r="AN41" i="45"/>
  <c r="AM41" i="45"/>
  <c r="AL41" i="45"/>
  <c r="C41" i="45"/>
  <c r="AO40" i="45"/>
  <c r="AN40" i="45"/>
  <c r="AM40" i="45"/>
  <c r="AL40" i="45"/>
  <c r="C40" i="45"/>
  <c r="AO39" i="45"/>
  <c r="AN39" i="45"/>
  <c r="AM39" i="45"/>
  <c r="AL39" i="45"/>
  <c r="C39" i="45"/>
  <c r="AO38" i="45"/>
  <c r="AN38" i="45"/>
  <c r="AM38" i="45"/>
  <c r="AL38" i="45"/>
  <c r="C38" i="45"/>
  <c r="AO37" i="45"/>
  <c r="AN37" i="45"/>
  <c r="AM37" i="45"/>
  <c r="AL37" i="45"/>
  <c r="C37" i="45"/>
  <c r="AO36" i="45"/>
  <c r="AN36" i="45"/>
  <c r="AM36" i="45"/>
  <c r="AL36" i="45"/>
  <c r="C36" i="45"/>
  <c r="AO35" i="45"/>
  <c r="AN35" i="45"/>
  <c r="AM35" i="45"/>
  <c r="AL35" i="45"/>
  <c r="AC35" i="45"/>
  <c r="C35" i="45"/>
  <c r="AO34" i="45"/>
  <c r="AN34" i="45"/>
  <c r="AM34" i="45"/>
  <c r="AL34" i="45"/>
  <c r="C34" i="45"/>
  <c r="AN33" i="45"/>
  <c r="AM33" i="45"/>
  <c r="AL33" i="45"/>
  <c r="AC33" i="45"/>
  <c r="C33" i="45"/>
  <c r="B33" i="45"/>
  <c r="AO32" i="45"/>
  <c r="AN32" i="45"/>
  <c r="AM32" i="45"/>
  <c r="AL32" i="45"/>
  <c r="AC32" i="45"/>
  <c r="C32" i="45"/>
  <c r="AM31" i="45"/>
  <c r="AL31" i="45"/>
  <c r="AC31" i="45"/>
  <c r="C31" i="45"/>
  <c r="AM30" i="45"/>
  <c r="AL30" i="45"/>
  <c r="C30" i="45"/>
  <c r="AO29" i="45"/>
  <c r="AM29" i="45"/>
  <c r="AL29" i="45"/>
  <c r="AC29" i="45"/>
  <c r="C29" i="45"/>
  <c r="AO28" i="45"/>
  <c r="AN28" i="45"/>
  <c r="AM28" i="45"/>
  <c r="AL28" i="45"/>
  <c r="AC28" i="45"/>
  <c r="C28" i="45"/>
  <c r="AO27" i="45"/>
  <c r="AN27" i="45"/>
  <c r="AM27" i="45"/>
  <c r="AL27" i="45"/>
  <c r="AC27" i="45"/>
  <c r="C27" i="45"/>
  <c r="AO26" i="45"/>
  <c r="AN26" i="45"/>
  <c r="AM26" i="45"/>
  <c r="AL26" i="45"/>
  <c r="AC26" i="45"/>
  <c r="C26" i="45"/>
  <c r="AO25" i="45"/>
  <c r="AN25" i="45"/>
  <c r="AM25" i="45"/>
  <c r="AL25" i="45"/>
  <c r="AC25" i="45"/>
  <c r="C25" i="45"/>
  <c r="AO24" i="45"/>
  <c r="AN24" i="45"/>
  <c r="AM24" i="45"/>
  <c r="AL24" i="45"/>
  <c r="AC24" i="45"/>
  <c r="C24" i="45"/>
  <c r="AO23" i="45"/>
  <c r="AN23" i="45"/>
  <c r="AM23" i="45"/>
  <c r="AL23" i="45"/>
  <c r="AC23" i="45"/>
  <c r="C23" i="45"/>
  <c r="AO22" i="45"/>
  <c r="AN22" i="45"/>
  <c r="AM22" i="45"/>
  <c r="AL22" i="45"/>
  <c r="AC22" i="45"/>
  <c r="C22" i="45"/>
  <c r="AO21" i="45"/>
  <c r="AN21" i="45"/>
  <c r="AM21" i="45"/>
  <c r="AL21" i="45"/>
  <c r="AC21" i="45"/>
  <c r="C21" i="45"/>
  <c r="AO20" i="45"/>
  <c r="AN20" i="45"/>
  <c r="AM20" i="45"/>
  <c r="AL20" i="45"/>
  <c r="AC20" i="45"/>
  <c r="C20" i="45"/>
  <c r="AO19" i="45"/>
  <c r="AN19" i="45"/>
  <c r="AM19" i="45"/>
  <c r="AL19" i="45"/>
  <c r="AC19" i="45"/>
  <c r="C19" i="45"/>
  <c r="AO18" i="45"/>
  <c r="AN18" i="45"/>
  <c r="AM18" i="45"/>
  <c r="AL18" i="45"/>
  <c r="AC18" i="45"/>
  <c r="C18" i="45"/>
  <c r="AO17" i="45"/>
  <c r="AN17" i="45"/>
  <c r="AM17" i="45"/>
  <c r="AL17" i="45"/>
  <c r="AC17" i="45"/>
  <c r="C17" i="45"/>
  <c r="AO16" i="45"/>
  <c r="AN16" i="45"/>
  <c r="AM16" i="45"/>
  <c r="AL16" i="45"/>
  <c r="AC16" i="45"/>
  <c r="C16" i="45"/>
  <c r="AO15" i="45"/>
  <c r="AN15" i="45"/>
  <c r="AM15" i="45"/>
  <c r="AL15" i="45"/>
  <c r="AC15" i="45"/>
  <c r="C15" i="45"/>
  <c r="AO14" i="45"/>
  <c r="AN14" i="45"/>
  <c r="AM14" i="45"/>
  <c r="AL14" i="45"/>
  <c r="AC14" i="45"/>
  <c r="C14" i="45"/>
  <c r="AO13" i="45"/>
  <c r="AN13" i="45"/>
  <c r="AM13" i="45"/>
  <c r="AL13" i="45"/>
  <c r="C13" i="45"/>
  <c r="AO12" i="45"/>
  <c r="AN12" i="45"/>
  <c r="AC12" i="45"/>
  <c r="C12" i="45"/>
  <c r="AO11" i="45"/>
  <c r="AN11" i="45"/>
  <c r="C11" i="45"/>
  <c r="AO10" i="45"/>
  <c r="AN10" i="45"/>
  <c r="AM10" i="45"/>
  <c r="AL10" i="45"/>
  <c r="C10" i="45"/>
  <c r="AO9" i="45"/>
  <c r="AN9" i="45"/>
  <c r="AM9" i="45"/>
  <c r="AL9" i="45"/>
  <c r="AC9" i="45"/>
  <c r="C9" i="45"/>
  <c r="AO8" i="45"/>
  <c r="AN8" i="45"/>
  <c r="AM8" i="45"/>
  <c r="AL8" i="45"/>
  <c r="AC8" i="45"/>
  <c r="C8" i="45"/>
  <c r="AO7" i="45"/>
  <c r="AN7" i="45"/>
  <c r="AM7" i="45"/>
  <c r="AL7" i="45"/>
  <c r="AC7" i="45"/>
  <c r="C7" i="45"/>
  <c r="AO6" i="45"/>
  <c r="AN6" i="45"/>
  <c r="AM6" i="45"/>
  <c r="AL6" i="45"/>
  <c r="AJ6" i="45"/>
  <c r="AJ7" i="45" s="1"/>
  <c r="AJ8" i="45" s="1"/>
  <c r="AF6" i="45"/>
  <c r="A6" i="45" s="1"/>
  <c r="AC6" i="45"/>
  <c r="C6" i="45"/>
  <c r="AO5" i="45"/>
  <c r="AN5" i="45"/>
  <c r="AM5" i="45"/>
  <c r="AL5" i="45"/>
  <c r="AJ5" i="45"/>
  <c r="AC5" i="45"/>
  <c r="AI5" i="45" s="1"/>
  <c r="AI6" i="45" s="1"/>
  <c r="C5" i="45"/>
  <c r="B5" i="45"/>
  <c r="A5" i="45"/>
  <c r="AH4" i="45"/>
  <c r="AI4" i="45" s="1"/>
  <c r="AH8" i="47" l="1"/>
  <c r="AD9" i="47" s="1"/>
  <c r="B9" i="47" s="1"/>
  <c r="AJ16" i="51"/>
  <c r="AP16" i="51"/>
  <c r="AK10" i="51"/>
  <c r="AC10" i="51"/>
  <c r="AI10" i="51" s="1"/>
  <c r="B10" i="51"/>
  <c r="A13" i="51"/>
  <c r="AF14" i="51"/>
  <c r="AI33" i="50"/>
  <c r="AH33" i="50" s="1"/>
  <c r="AD34" i="50" s="1"/>
  <c r="AH32" i="50"/>
  <c r="AD33" i="50" s="1"/>
  <c r="B32" i="50"/>
  <c r="AK32" i="50"/>
  <c r="AK13" i="50"/>
  <c r="AH12" i="50"/>
  <c r="AD13" i="50" s="1"/>
  <c r="B13" i="50" s="1"/>
  <c r="AP42" i="50"/>
  <c r="AK41" i="50"/>
  <c r="AJ42" i="50"/>
  <c r="AH41" i="50" s="1"/>
  <c r="AP18" i="50"/>
  <c r="AJ18" i="50"/>
  <c r="AH40" i="50"/>
  <c r="AF14" i="50"/>
  <c r="A13" i="50"/>
  <c r="AK38" i="49"/>
  <c r="AP39" i="49"/>
  <c r="AJ39" i="49"/>
  <c r="AH38" i="49" s="1"/>
  <c r="AI33" i="49"/>
  <c r="AL11" i="49"/>
  <c r="AL4" i="49" s="1"/>
  <c r="B53" i="49" s="1"/>
  <c r="B11" i="49"/>
  <c r="AK11" i="49"/>
  <c r="AF12" i="49"/>
  <c r="A11" i="49"/>
  <c r="AM11" i="49"/>
  <c r="AM4" i="49" s="1"/>
  <c r="A53" i="49" s="1"/>
  <c r="AJ18" i="49"/>
  <c r="AP18" i="49"/>
  <c r="AC8" i="48"/>
  <c r="AI8" i="48" s="1"/>
  <c r="AK8" i="48"/>
  <c r="AJ51" i="48"/>
  <c r="AP51" i="48"/>
  <c r="AF12" i="48"/>
  <c r="A12" i="48" s="1"/>
  <c r="AJ42" i="48"/>
  <c r="AJ43" i="48" s="1"/>
  <c r="AP11" i="48"/>
  <c r="AJ11" i="48"/>
  <c r="AJ12" i="48" s="1"/>
  <c r="AJ19" i="48"/>
  <c r="AP19" i="48"/>
  <c r="AK8" i="47"/>
  <c r="A9" i="47"/>
  <c r="AJ40" i="47"/>
  <c r="AP40" i="47"/>
  <c r="AJ10" i="47"/>
  <c r="AK9" i="47"/>
  <c r="AH9" i="47"/>
  <c r="AH6" i="46"/>
  <c r="AD7" i="46" s="1"/>
  <c r="AJ14" i="46"/>
  <c r="AP14" i="46"/>
  <c r="AJ9" i="46"/>
  <c r="AH8" i="46" s="1"/>
  <c r="AD9" i="46" s="1"/>
  <c r="B9" i="46" s="1"/>
  <c r="AF10" i="46"/>
  <c r="A9" i="46"/>
  <c r="AH7" i="46"/>
  <c r="AD8" i="46" s="1"/>
  <c r="B8" i="46" s="1"/>
  <c r="AP38" i="46"/>
  <c r="AJ38" i="46"/>
  <c r="AI7" i="45"/>
  <c r="AI8" i="45" s="1"/>
  <c r="AI9" i="45" s="1"/>
  <c r="AH6" i="45"/>
  <c r="AD7" i="45" s="1"/>
  <c r="B7" i="45" s="1"/>
  <c r="AJ9" i="45"/>
  <c r="AK5" i="45"/>
  <c r="AF7" i="45"/>
  <c r="AH5" i="45"/>
  <c r="AD6" i="45" s="1"/>
  <c r="B6" i="45" s="1"/>
  <c r="AJ35" i="45"/>
  <c r="AP44" i="48" l="1"/>
  <c r="AJ44" i="48"/>
  <c r="AD10" i="47"/>
  <c r="AC10" i="47" s="1"/>
  <c r="AI10" i="47" s="1"/>
  <c r="AJ17" i="51"/>
  <c r="AP17" i="51"/>
  <c r="AH10" i="51"/>
  <c r="AD11" i="51" s="1"/>
  <c r="AF15" i="51"/>
  <c r="A14" i="51"/>
  <c r="AF15" i="50"/>
  <c r="A14" i="50"/>
  <c r="AP43" i="50"/>
  <c r="AJ43" i="50"/>
  <c r="AH42" i="50" s="1"/>
  <c r="AK42" i="50"/>
  <c r="B33" i="50"/>
  <c r="AK33" i="50"/>
  <c r="AP19" i="50"/>
  <c r="AJ19" i="50"/>
  <c r="AH13" i="50"/>
  <c r="AD14" i="50" s="1"/>
  <c r="B14" i="50" s="1"/>
  <c r="AK14" i="50"/>
  <c r="B34" i="50"/>
  <c r="AC34" i="50"/>
  <c r="AI34" i="50" s="1"/>
  <c r="AK34" i="50"/>
  <c r="AP40" i="49"/>
  <c r="AJ40" i="49"/>
  <c r="AK39" i="49"/>
  <c r="AP19" i="49"/>
  <c r="AJ19" i="49"/>
  <c r="AF13" i="49"/>
  <c r="A12" i="49"/>
  <c r="AK12" i="49"/>
  <c r="AH11" i="49"/>
  <c r="AD12" i="49" s="1"/>
  <c r="B12" i="49" s="1"/>
  <c r="AH33" i="49"/>
  <c r="AD34" i="49" s="1"/>
  <c r="AC34" i="49" s="1"/>
  <c r="AI34" i="49" s="1"/>
  <c r="AH34" i="49" s="1"/>
  <c r="AD35" i="49" s="1"/>
  <c r="B35" i="49" s="1"/>
  <c r="AJ13" i="48"/>
  <c r="AP13" i="48"/>
  <c r="AH8" i="48"/>
  <c r="AD9" i="48" s="1"/>
  <c r="AP43" i="48"/>
  <c r="AJ20" i="48"/>
  <c r="AP20" i="48"/>
  <c r="AF13" i="48"/>
  <c r="A13" i="48" s="1"/>
  <c r="AM12" i="48"/>
  <c r="AK51" i="48"/>
  <c r="AH51" i="48"/>
  <c r="AP12" i="48"/>
  <c r="AP41" i="47"/>
  <c r="AJ41" i="47"/>
  <c r="AF11" i="47"/>
  <c r="AM11" i="47" s="1"/>
  <c r="A10" i="47"/>
  <c r="AJ11" i="47"/>
  <c r="AJ12" i="47" s="1"/>
  <c r="AK10" i="47"/>
  <c r="AP11" i="47"/>
  <c r="AK8" i="46"/>
  <c r="B7" i="46"/>
  <c r="AK7" i="46"/>
  <c r="AF11" i="46"/>
  <c r="A10" i="46"/>
  <c r="AP15" i="46"/>
  <c r="AJ15" i="46"/>
  <c r="AJ39" i="46"/>
  <c r="AP39" i="46"/>
  <c r="AK9" i="46"/>
  <c r="AJ10" i="46"/>
  <c r="AJ11" i="46" s="1"/>
  <c r="AP12" i="46" s="1"/>
  <c r="AJ36" i="45"/>
  <c r="AP37" i="45" s="1"/>
  <c r="AK6" i="45"/>
  <c r="AK7" i="45"/>
  <c r="AH8" i="45"/>
  <c r="AD9" i="45" s="1"/>
  <c r="B9" i="45" s="1"/>
  <c r="AH7" i="45"/>
  <c r="AD8" i="45" s="1"/>
  <c r="B8" i="45" s="1"/>
  <c r="AP36" i="45"/>
  <c r="AF8" i="45"/>
  <c r="A7" i="45"/>
  <c r="AJ10" i="45"/>
  <c r="AK9" i="45"/>
  <c r="AC9" i="48" l="1"/>
  <c r="AI9" i="48" s="1"/>
  <c r="B9" i="48"/>
  <c r="AP45" i="48"/>
  <c r="AJ45" i="48"/>
  <c r="AP13" i="47"/>
  <c r="AJ13" i="47"/>
  <c r="AH10" i="47"/>
  <c r="AD11" i="47" s="1"/>
  <c r="AL11" i="47" s="1"/>
  <c r="B10" i="47"/>
  <c r="AP18" i="51"/>
  <c r="AJ18" i="51"/>
  <c r="AC11" i="51"/>
  <c r="AI11" i="51" s="1"/>
  <c r="B11" i="51"/>
  <c r="AL11" i="51"/>
  <c r="AL4" i="51" s="1"/>
  <c r="AK11" i="51"/>
  <c r="AF16" i="51"/>
  <c r="A15" i="51"/>
  <c r="AJ20" i="50"/>
  <c r="AP20" i="50"/>
  <c r="AK15" i="50"/>
  <c r="AH14" i="50"/>
  <c r="AD15" i="50" s="1"/>
  <c r="B15" i="50" s="1"/>
  <c r="AI35" i="50"/>
  <c r="AH35" i="50" s="1"/>
  <c r="AH34" i="50"/>
  <c r="AD35" i="50" s="1"/>
  <c r="AJ44" i="50"/>
  <c r="AK43" i="50"/>
  <c r="AP44" i="50"/>
  <c r="AF16" i="50"/>
  <c r="A15" i="50"/>
  <c r="AH39" i="49"/>
  <c r="AK40" i="49"/>
  <c r="AJ41" i="49"/>
  <c r="AP41" i="49"/>
  <c r="E10" i="49"/>
  <c r="AC35" i="49"/>
  <c r="AI35" i="49" s="1"/>
  <c r="AK35" i="49"/>
  <c r="AP20" i="49"/>
  <c r="AJ20" i="49"/>
  <c r="B34" i="49"/>
  <c r="AK34" i="49"/>
  <c r="AF14" i="49"/>
  <c r="A13" i="49"/>
  <c r="AK13" i="49"/>
  <c r="AH12" i="49"/>
  <c r="AD13" i="49" s="1"/>
  <c r="B13" i="49" s="1"/>
  <c r="AJ14" i="48"/>
  <c r="AP14" i="48"/>
  <c r="AK9" i="48"/>
  <c r="AI10" i="48"/>
  <c r="AH10" i="48" s="1"/>
  <c r="AD11" i="48" s="1"/>
  <c r="B11" i="48" s="1"/>
  <c r="AH9" i="48"/>
  <c r="AD10" i="48" s="1"/>
  <c r="B10" i="48" s="1"/>
  <c r="AP21" i="48"/>
  <c r="AJ21" i="48"/>
  <c r="AF14" i="48"/>
  <c r="A14" i="48" s="1"/>
  <c r="AP42" i="47"/>
  <c r="AJ42" i="47"/>
  <c r="AJ43" i="47" s="1"/>
  <c r="AI11" i="47"/>
  <c r="AI12" i="47" s="1"/>
  <c r="AI13" i="47" s="1"/>
  <c r="AI14" i="47" s="1"/>
  <c r="AI15" i="47" s="1"/>
  <c r="AI16" i="47" s="1"/>
  <c r="AI17" i="47" s="1"/>
  <c r="AI18" i="47" s="1"/>
  <c r="AI19" i="47" s="1"/>
  <c r="AI20" i="47" s="1"/>
  <c r="AI21" i="47" s="1"/>
  <c r="AI22" i="47" s="1"/>
  <c r="AI23" i="47" s="1"/>
  <c r="AI24" i="47" s="1"/>
  <c r="AI25" i="47" s="1"/>
  <c r="AI26" i="47" s="1"/>
  <c r="AI27" i="47" s="1"/>
  <c r="AI28" i="47" s="1"/>
  <c r="AI29" i="47" s="1"/>
  <c r="AI30" i="47" s="1"/>
  <c r="AI31" i="47" s="1"/>
  <c r="AI32" i="47" s="1"/>
  <c r="AI33" i="47" s="1"/>
  <c r="B11" i="47"/>
  <c r="AF12" i="47"/>
  <c r="AF13" i="47" s="1"/>
  <c r="AF14" i="47" s="1"/>
  <c r="AF15" i="47" s="1"/>
  <c r="AF16" i="47" s="1"/>
  <c r="AF17" i="47" s="1"/>
  <c r="AF18" i="47" s="1"/>
  <c r="AF19" i="47" s="1"/>
  <c r="AF20" i="47" s="1"/>
  <c r="AF21" i="47" s="1"/>
  <c r="AF22" i="47" s="1"/>
  <c r="AF23" i="47" s="1"/>
  <c r="AF24" i="47" s="1"/>
  <c r="AF25" i="47" s="1"/>
  <c r="AF26" i="47" s="1"/>
  <c r="AF27" i="47" s="1"/>
  <c r="AF28" i="47" s="1"/>
  <c r="AF29" i="47" s="1"/>
  <c r="AF30" i="47" s="1"/>
  <c r="AF31" i="47" s="1"/>
  <c r="A11" i="47"/>
  <c r="AP12" i="47"/>
  <c r="AK11" i="47"/>
  <c r="AP11" i="46"/>
  <c r="AP40" i="46"/>
  <c r="AJ40" i="46"/>
  <c r="AP16" i="46"/>
  <c r="AJ16" i="46"/>
  <c r="AF12" i="46"/>
  <c r="AM12" i="46" s="1"/>
  <c r="A11" i="46"/>
  <c r="AM11" i="46"/>
  <c r="AH9" i="46"/>
  <c r="AD10" i="46" s="1"/>
  <c r="AJ37" i="45"/>
  <c r="AP38" i="45" s="1"/>
  <c r="AJ38" i="45"/>
  <c r="AP39" i="45" s="1"/>
  <c r="AK8" i="45"/>
  <c r="AP11" i="45"/>
  <c r="AJ11" i="45"/>
  <c r="AJ12" i="45" s="1"/>
  <c r="A8" i="45"/>
  <c r="AF9" i="45"/>
  <c r="AH9" i="45"/>
  <c r="AD10" i="45" l="1"/>
  <c r="AC10" i="45" s="1"/>
  <c r="AI10" i="45" s="1"/>
  <c r="AH10" i="45" s="1"/>
  <c r="AD11" i="45" s="1"/>
  <c r="AL11" i="45" s="1"/>
  <c r="AJ13" i="45"/>
  <c r="AP13" i="45"/>
  <c r="AP46" i="48"/>
  <c r="AJ46" i="48"/>
  <c r="AP14" i="47"/>
  <c r="AJ14" i="47"/>
  <c r="AP19" i="51"/>
  <c r="AJ19" i="51"/>
  <c r="AH11" i="51"/>
  <c r="AD12" i="51" s="1"/>
  <c r="AK12" i="51" s="1"/>
  <c r="A16" i="51"/>
  <c r="AF17" i="51"/>
  <c r="AJ45" i="50"/>
  <c r="AH44" i="50" s="1"/>
  <c r="AK44" i="50"/>
  <c r="AP45" i="50"/>
  <c r="AF17" i="50"/>
  <c r="A16" i="50"/>
  <c r="AH43" i="50"/>
  <c r="AH15" i="50"/>
  <c r="AD16" i="50" s="1"/>
  <c r="B16" i="50" s="1"/>
  <c r="AK16" i="50"/>
  <c r="B35" i="50"/>
  <c r="E10" i="50" s="1"/>
  <c r="AK35" i="50"/>
  <c r="AJ21" i="50"/>
  <c r="AP21" i="50"/>
  <c r="AH40" i="49"/>
  <c r="AP42" i="49"/>
  <c r="AJ42" i="49"/>
  <c r="AK41" i="49"/>
  <c r="AH41" i="49"/>
  <c r="AF15" i="49"/>
  <c r="A14" i="49"/>
  <c r="AJ21" i="49"/>
  <c r="AP21" i="49"/>
  <c r="AH13" i="49"/>
  <c r="AD14" i="49" s="1"/>
  <c r="B14" i="49" s="1"/>
  <c r="AK14" i="49"/>
  <c r="AH35" i="49"/>
  <c r="AI36" i="49" s="1"/>
  <c r="AP15" i="48"/>
  <c r="AJ15" i="48"/>
  <c r="AP16" i="48" s="1"/>
  <c r="AK10" i="48"/>
  <c r="AC11" i="48"/>
  <c r="AI11" i="48" s="1"/>
  <c r="AK11" i="48"/>
  <c r="AP22" i="48"/>
  <c r="AJ22" i="48"/>
  <c r="AF15" i="48"/>
  <c r="A15" i="48" s="1"/>
  <c r="AF32" i="47"/>
  <c r="AF33" i="47" s="1"/>
  <c r="AF34" i="47" s="1"/>
  <c r="AO31" i="47"/>
  <c r="AP44" i="47"/>
  <c r="AJ44" i="47"/>
  <c r="AP43" i="47"/>
  <c r="AH11" i="47"/>
  <c r="AD12" i="47" s="1"/>
  <c r="A12" i="47"/>
  <c r="AM12" i="47"/>
  <c r="AM4" i="47" s="1"/>
  <c r="A53" i="47" s="1"/>
  <c r="AM4" i="46"/>
  <c r="A53" i="46" s="1"/>
  <c r="A12" i="46"/>
  <c r="AF13" i="46"/>
  <c r="AC10" i="46"/>
  <c r="AI10" i="46" s="1"/>
  <c r="B10" i="46"/>
  <c r="AJ17" i="46"/>
  <c r="AP17" i="46"/>
  <c r="AJ41" i="46"/>
  <c r="AP41" i="46"/>
  <c r="AK10" i="46"/>
  <c r="AJ39" i="45"/>
  <c r="AP40" i="45" s="1"/>
  <c r="B11" i="45"/>
  <c r="AC11" i="45"/>
  <c r="AI11" i="45" s="1"/>
  <c r="AI12" i="45" s="1"/>
  <c r="AP12" i="45"/>
  <c r="AK11" i="45"/>
  <c r="AF10" i="45"/>
  <c r="A9" i="45"/>
  <c r="AK10" i="45"/>
  <c r="AP15" i="47" l="1"/>
  <c r="AJ15" i="47"/>
  <c r="AJ14" i="45"/>
  <c r="AP14" i="45"/>
  <c r="AF35" i="47"/>
  <c r="A34" i="47"/>
  <c r="AP47" i="48"/>
  <c r="AJ47" i="48"/>
  <c r="AP48" i="48" s="1"/>
  <c r="B10" i="45"/>
  <c r="AP20" i="51"/>
  <c r="AJ20" i="51"/>
  <c r="B12" i="51"/>
  <c r="AC12" i="51"/>
  <c r="AI12" i="51" s="1"/>
  <c r="AH12" i="51" s="1"/>
  <c r="AD13" i="51" s="1"/>
  <c r="AK13" i="51" s="1"/>
  <c r="AF18" i="51"/>
  <c r="A17" i="51"/>
  <c r="AP22" i="50"/>
  <c r="AJ22" i="50"/>
  <c r="AH16" i="50"/>
  <c r="AD17" i="50" s="1"/>
  <c r="B17" i="50" s="1"/>
  <c r="AK17" i="50"/>
  <c r="AF18" i="50"/>
  <c r="A17" i="50"/>
  <c r="AP46" i="50"/>
  <c r="AK45" i="50"/>
  <c r="AJ46" i="50"/>
  <c r="AH45" i="50" s="1"/>
  <c r="AP43" i="49"/>
  <c r="AJ43" i="49"/>
  <c r="AH42" i="49" s="1"/>
  <c r="AK42" i="49"/>
  <c r="AF16" i="49"/>
  <c r="A15" i="49"/>
  <c r="AK36" i="49"/>
  <c r="AJ22" i="49"/>
  <c r="AP22" i="49"/>
  <c r="AH14" i="49"/>
  <c r="AD15" i="49" s="1"/>
  <c r="B15" i="49" s="1"/>
  <c r="AK15" i="49"/>
  <c r="AH36" i="49"/>
  <c r="AI12" i="48"/>
  <c r="AH11" i="48"/>
  <c r="AD12" i="48" s="1"/>
  <c r="B12" i="48" s="1"/>
  <c r="AF16" i="48"/>
  <c r="AP23" i="48"/>
  <c r="AJ23" i="48"/>
  <c r="AJ45" i="47"/>
  <c r="AP45" i="47"/>
  <c r="B12" i="47"/>
  <c r="AL12" i="47"/>
  <c r="AL4" i="47" s="1"/>
  <c r="B53" i="47" s="1"/>
  <c r="AK12" i="47"/>
  <c r="A13" i="47"/>
  <c r="AH40" i="46"/>
  <c r="AD41" i="46" s="1"/>
  <c r="AK41" i="46" s="1"/>
  <c r="AH10" i="46"/>
  <c r="AD11" i="46" s="1"/>
  <c r="AC11" i="46" s="1"/>
  <c r="AI11" i="46" s="1"/>
  <c r="AI12" i="46" s="1"/>
  <c r="AI13" i="46" s="1"/>
  <c r="AI14" i="46" s="1"/>
  <c r="AI15" i="46" s="1"/>
  <c r="AI16" i="46" s="1"/>
  <c r="AI17" i="46" s="1"/>
  <c r="AI18" i="46" s="1"/>
  <c r="AI19" i="46" s="1"/>
  <c r="AI20" i="46" s="1"/>
  <c r="AI21" i="46" s="1"/>
  <c r="AI22" i="46" s="1"/>
  <c r="AI23" i="46" s="1"/>
  <c r="AI24" i="46" s="1"/>
  <c r="AI25" i="46" s="1"/>
  <c r="AI26" i="46" s="1"/>
  <c r="AI27" i="46" s="1"/>
  <c r="AI28" i="46" s="1"/>
  <c r="AI29" i="46" s="1"/>
  <c r="AI30" i="46" s="1"/>
  <c r="AI31" i="46" s="1"/>
  <c r="AP42" i="46"/>
  <c r="AJ42" i="46"/>
  <c r="AF14" i="46"/>
  <c r="A13" i="46"/>
  <c r="AJ18" i="46"/>
  <c r="AP18" i="46"/>
  <c r="AJ40" i="45"/>
  <c r="AJ41" i="45" s="1"/>
  <c r="AP41" i="45"/>
  <c r="AF11" i="45"/>
  <c r="AM11" i="45" s="1"/>
  <c r="A10" i="45"/>
  <c r="AH11" i="45"/>
  <c r="AD12" i="45" s="1"/>
  <c r="AP15" i="45" l="1"/>
  <c r="AJ15" i="45"/>
  <c r="AM16" i="48"/>
  <c r="AM4" i="48" s="1"/>
  <c r="A53" i="48" s="1"/>
  <c r="A16" i="48"/>
  <c r="AJ16" i="47"/>
  <c r="AP16" i="47"/>
  <c r="AF36" i="47"/>
  <c r="A35" i="47"/>
  <c r="AJ21" i="51"/>
  <c r="AP21" i="51"/>
  <c r="B13" i="51"/>
  <c r="AC13" i="51"/>
  <c r="AI13" i="51" s="1"/>
  <c r="AH13" i="51" s="1"/>
  <c r="AD14" i="51" s="1"/>
  <c r="AK14" i="51" s="1"/>
  <c r="A18" i="51"/>
  <c r="AF19" i="51"/>
  <c r="AH17" i="50"/>
  <c r="AD18" i="50" s="1"/>
  <c r="B18" i="50" s="1"/>
  <c r="AK18" i="50"/>
  <c r="AP23" i="50"/>
  <c r="AJ23" i="50"/>
  <c r="AJ47" i="50"/>
  <c r="AH46" i="50" s="1"/>
  <c r="AK46" i="50"/>
  <c r="AP47" i="50"/>
  <c r="AF19" i="50"/>
  <c r="A18" i="50"/>
  <c r="AJ44" i="49"/>
  <c r="AK43" i="49"/>
  <c r="AP44" i="49"/>
  <c r="AK37" i="49"/>
  <c r="AI37" i="49"/>
  <c r="AH37" i="49" s="1"/>
  <c r="AK16" i="49"/>
  <c r="AH15" i="49"/>
  <c r="AD16" i="49" s="1"/>
  <c r="B16" i="49" s="1"/>
  <c r="AP23" i="49"/>
  <c r="AJ23" i="49"/>
  <c r="AF17" i="49"/>
  <c r="A16" i="49"/>
  <c r="AL12" i="48"/>
  <c r="AK12" i="48"/>
  <c r="AJ24" i="48"/>
  <c r="AP24" i="48"/>
  <c r="AF17" i="48"/>
  <c r="A17" i="48" s="1"/>
  <c r="AK45" i="47"/>
  <c r="AP46" i="47"/>
  <c r="AJ46" i="47"/>
  <c r="AH12" i="47"/>
  <c r="AK13" i="47"/>
  <c r="A14" i="47"/>
  <c r="AH41" i="46"/>
  <c r="AD42" i="46" s="1"/>
  <c r="AK42" i="46" s="1"/>
  <c r="AP19" i="46"/>
  <c r="AJ19" i="46"/>
  <c r="AI32" i="46"/>
  <c r="AF15" i="46"/>
  <c r="A14" i="46"/>
  <c r="AJ43" i="46"/>
  <c r="AH42" i="46" s="1"/>
  <c r="AD43" i="46" s="1"/>
  <c r="AP43" i="46"/>
  <c r="AL11" i="46"/>
  <c r="B11" i="46"/>
  <c r="AK11" i="46"/>
  <c r="AJ42" i="45"/>
  <c r="AP42" i="45"/>
  <c r="AL12" i="45"/>
  <c r="AL4" i="45" s="1"/>
  <c r="B53" i="45" s="1"/>
  <c r="B12" i="45"/>
  <c r="AK12" i="45"/>
  <c r="AF12" i="45"/>
  <c r="A11" i="45"/>
  <c r="AF37" i="47" l="1"/>
  <c r="A36" i="47"/>
  <c r="AJ16" i="45"/>
  <c r="AP16" i="45"/>
  <c r="AP17" i="47"/>
  <c r="AJ17" i="47"/>
  <c r="AJ22" i="51"/>
  <c r="AP22" i="51"/>
  <c r="B14" i="51"/>
  <c r="AC14" i="51"/>
  <c r="AI14" i="51" s="1"/>
  <c r="AH14" i="51"/>
  <c r="AD15" i="51" s="1"/>
  <c r="AK15" i="51" s="1"/>
  <c r="A19" i="51"/>
  <c r="AF20" i="51"/>
  <c r="AF20" i="50"/>
  <c r="A19" i="50"/>
  <c r="AK47" i="50"/>
  <c r="AP48" i="50"/>
  <c r="AJ48" i="50"/>
  <c r="AH47" i="50" s="1"/>
  <c r="AJ24" i="50"/>
  <c r="AP24" i="50"/>
  <c r="AK19" i="50"/>
  <c r="AH18" i="50"/>
  <c r="AD19" i="50" s="1"/>
  <c r="B19" i="50" s="1"/>
  <c r="AH43" i="49"/>
  <c r="AJ45" i="49"/>
  <c r="AP45" i="49"/>
  <c r="AK44" i="49"/>
  <c r="AP24" i="49"/>
  <c r="AJ24" i="49"/>
  <c r="AK17" i="49"/>
  <c r="AH16" i="49"/>
  <c r="AD17" i="49" s="1"/>
  <c r="B17" i="49" s="1"/>
  <c r="AF18" i="49"/>
  <c r="A17" i="49"/>
  <c r="AH12" i="48"/>
  <c r="AD13" i="48" s="1"/>
  <c r="AF18" i="48"/>
  <c r="A18" i="48" s="1"/>
  <c r="AJ25" i="48"/>
  <c r="AP25" i="48"/>
  <c r="B13" i="47"/>
  <c r="AD13" i="47"/>
  <c r="AH45" i="47"/>
  <c r="AJ47" i="47"/>
  <c r="AK46" i="47"/>
  <c r="AP47" i="47"/>
  <c r="A15" i="47"/>
  <c r="AH13" i="47"/>
  <c r="AK14" i="47"/>
  <c r="AH11" i="46"/>
  <c r="AD12" i="46" s="1"/>
  <c r="AK12" i="46"/>
  <c r="AF16" i="46"/>
  <c r="A15" i="46"/>
  <c r="AK43" i="46"/>
  <c r="AP44" i="46"/>
  <c r="AJ44" i="46"/>
  <c r="AH43" i="46" s="1"/>
  <c r="AD44" i="46" s="1"/>
  <c r="AI33" i="46"/>
  <c r="AP20" i="46"/>
  <c r="AJ20" i="46"/>
  <c r="AJ43" i="45"/>
  <c r="AP43" i="45"/>
  <c r="AK13" i="45"/>
  <c r="AH12" i="45"/>
  <c r="AD13" i="45" s="1"/>
  <c r="AM12" i="45"/>
  <c r="AM4" i="45" s="1"/>
  <c r="A53" i="45" s="1"/>
  <c r="A12" i="45"/>
  <c r="AF13" i="45"/>
  <c r="AK13" i="48" l="1"/>
  <c r="B13" i="48"/>
  <c r="AJ17" i="45"/>
  <c r="AP17" i="45"/>
  <c r="AP18" i="47"/>
  <c r="AJ18" i="47"/>
  <c r="AJ23" i="51"/>
  <c r="AP23" i="51"/>
  <c r="B15" i="51"/>
  <c r="AC15" i="51"/>
  <c r="AI15" i="51" s="1"/>
  <c r="AH15" i="51" s="1"/>
  <c r="AD16" i="51" s="1"/>
  <c r="AK16" i="51" s="1"/>
  <c r="AF21" i="51"/>
  <c r="A20" i="51"/>
  <c r="AJ25" i="50"/>
  <c r="AP25" i="50"/>
  <c r="AJ49" i="50"/>
  <c r="AH48" i="50" s="1"/>
  <c r="AK48" i="50"/>
  <c r="AP49" i="50"/>
  <c r="AF21" i="50"/>
  <c r="A20" i="50"/>
  <c r="AH19" i="50"/>
  <c r="AD20" i="50" s="1"/>
  <c r="B20" i="50" s="1"/>
  <c r="AK20" i="50"/>
  <c r="AK45" i="49"/>
  <c r="AP46" i="49"/>
  <c r="AJ46" i="49"/>
  <c r="AH44" i="49"/>
  <c r="AF19" i="49"/>
  <c r="A18" i="49"/>
  <c r="AJ25" i="49"/>
  <c r="AP25" i="49"/>
  <c r="AK18" i="49"/>
  <c r="AH17" i="49"/>
  <c r="AD18" i="49" s="1"/>
  <c r="B18" i="49" s="1"/>
  <c r="AC13" i="48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F19" i="48"/>
  <c r="A19" i="48" s="1"/>
  <c r="AP26" i="48"/>
  <c r="AJ26" i="48"/>
  <c r="AD14" i="47"/>
  <c r="B14" i="47" s="1"/>
  <c r="AP48" i="47"/>
  <c r="AJ48" i="47"/>
  <c r="AK47" i="47"/>
  <c r="AH46" i="47"/>
  <c r="A16" i="47"/>
  <c r="AK15" i="47"/>
  <c r="AH14" i="47"/>
  <c r="B12" i="46"/>
  <c r="AL12" i="46"/>
  <c r="AL4" i="46" s="1"/>
  <c r="B53" i="46" s="1"/>
  <c r="AJ21" i="46"/>
  <c r="AP21" i="46"/>
  <c r="AF17" i="46"/>
  <c r="A16" i="46"/>
  <c r="AH12" i="46"/>
  <c r="AD13" i="46" s="1"/>
  <c r="B13" i="46" s="1"/>
  <c r="AK13" i="46"/>
  <c r="AC34" i="46"/>
  <c r="AI34" i="46" s="1"/>
  <c r="AJ45" i="46"/>
  <c r="AH44" i="46" s="1"/>
  <c r="AK44" i="46"/>
  <c r="AP45" i="46"/>
  <c r="B13" i="45"/>
  <c r="AC13" i="45"/>
  <c r="AI13" i="45" s="1"/>
  <c r="AI14" i="45" s="1"/>
  <c r="AI15" i="45" s="1"/>
  <c r="AI16" i="45" s="1"/>
  <c r="AI17" i="45" s="1"/>
  <c r="AI18" i="45" s="1"/>
  <c r="AI19" i="45" s="1"/>
  <c r="AI20" i="45" s="1"/>
  <c r="AI21" i="45" s="1"/>
  <c r="AI22" i="45" s="1"/>
  <c r="AI23" i="45" s="1"/>
  <c r="AI24" i="45" s="1"/>
  <c r="AI25" i="45" s="1"/>
  <c r="AI26" i="45" s="1"/>
  <c r="AI27" i="45" s="1"/>
  <c r="AI28" i="45" s="1"/>
  <c r="AI29" i="45" s="1"/>
  <c r="AP44" i="45"/>
  <c r="AJ44" i="45"/>
  <c r="AF14" i="45"/>
  <c r="A13" i="45"/>
  <c r="AK14" i="45"/>
  <c r="AH13" i="45"/>
  <c r="AD14" i="45" s="1"/>
  <c r="B14" i="45" s="1"/>
  <c r="AP18" i="45" l="1"/>
  <c r="AJ18" i="45"/>
  <c r="AJ19" i="47"/>
  <c r="AP19" i="47"/>
  <c r="AJ24" i="51"/>
  <c r="AP24" i="51"/>
  <c r="B16" i="51"/>
  <c r="AC16" i="51"/>
  <c r="AI16" i="51" s="1"/>
  <c r="AH16" i="51" s="1"/>
  <c r="AD17" i="51" s="1"/>
  <c r="AK17" i="51" s="1"/>
  <c r="AF22" i="51"/>
  <c r="A21" i="51"/>
  <c r="AK49" i="50"/>
  <c r="AP50" i="50"/>
  <c r="AJ50" i="50"/>
  <c r="AH49" i="50" s="1"/>
  <c r="AF22" i="50"/>
  <c r="A21" i="50"/>
  <c r="AK21" i="50"/>
  <c r="AH20" i="50"/>
  <c r="AD21" i="50" s="1"/>
  <c r="B21" i="50" s="1"/>
  <c r="AP26" i="50"/>
  <c r="AJ26" i="50"/>
  <c r="AH45" i="49"/>
  <c r="AJ47" i="49"/>
  <c r="AK46" i="49"/>
  <c r="AP47" i="49"/>
  <c r="AK19" i="49"/>
  <c r="AH18" i="49"/>
  <c r="AD19" i="49" s="1"/>
  <c r="B19" i="49" s="1"/>
  <c r="AJ26" i="49"/>
  <c r="AP26" i="49"/>
  <c r="AF20" i="49"/>
  <c r="A19" i="49"/>
  <c r="AH13" i="48"/>
  <c r="AD14" i="48" s="1"/>
  <c r="B14" i="48" s="1"/>
  <c r="AI37" i="48"/>
  <c r="AH14" i="48"/>
  <c r="AD15" i="48" s="1"/>
  <c r="B15" i="48" s="1"/>
  <c r="AP27" i="48"/>
  <c r="AJ27" i="48"/>
  <c r="AF20" i="48"/>
  <c r="A20" i="48" s="1"/>
  <c r="AD15" i="47"/>
  <c r="B15" i="47" s="1"/>
  <c r="AH47" i="47"/>
  <c r="AJ49" i="47"/>
  <c r="AK48" i="47"/>
  <c r="AP49" i="47"/>
  <c r="AH15" i="47"/>
  <c r="AK16" i="47"/>
  <c r="A17" i="47"/>
  <c r="AI35" i="46"/>
  <c r="AF18" i="46"/>
  <c r="A17" i="46"/>
  <c r="AK45" i="46"/>
  <c r="AP46" i="46"/>
  <c r="AJ46" i="46"/>
  <c r="AH45" i="46" s="1"/>
  <c r="AK14" i="46"/>
  <c r="AH13" i="46"/>
  <c r="AD14" i="46" s="1"/>
  <c r="B14" i="46" s="1"/>
  <c r="AJ22" i="46"/>
  <c r="AP22" i="46"/>
  <c r="AP45" i="45"/>
  <c r="AJ45" i="45"/>
  <c r="AH14" i="45"/>
  <c r="AD15" i="45" s="1"/>
  <c r="B15" i="45" s="1"/>
  <c r="AK15" i="45"/>
  <c r="AF15" i="45"/>
  <c r="A14" i="45"/>
  <c r="AJ20" i="47" l="1"/>
  <c r="AP20" i="47"/>
  <c r="AP19" i="45"/>
  <c r="AJ19" i="45"/>
  <c r="AP25" i="51"/>
  <c r="AJ25" i="51"/>
  <c r="B17" i="51"/>
  <c r="AC17" i="51"/>
  <c r="AI17" i="51" s="1"/>
  <c r="AH17" i="51" s="1"/>
  <c r="AD18" i="51" s="1"/>
  <c r="AK18" i="51" s="1"/>
  <c r="AF23" i="51"/>
  <c r="A22" i="51"/>
  <c r="AP27" i="50"/>
  <c r="AJ27" i="50"/>
  <c r="AK22" i="50"/>
  <c r="AH21" i="50"/>
  <c r="AD22" i="50" s="1"/>
  <c r="B22" i="50" s="1"/>
  <c r="AJ51" i="50"/>
  <c r="AK50" i="50"/>
  <c r="AP51" i="50"/>
  <c r="AF23" i="50"/>
  <c r="A22" i="50"/>
  <c r="AH46" i="49"/>
  <c r="AP48" i="49"/>
  <c r="AJ48" i="49"/>
  <c r="AK47" i="49"/>
  <c r="AP27" i="49"/>
  <c r="AJ27" i="49"/>
  <c r="A20" i="49"/>
  <c r="AF21" i="49"/>
  <c r="AK20" i="49"/>
  <c r="AH19" i="49"/>
  <c r="AD20" i="49" s="1"/>
  <c r="B20" i="49" s="1"/>
  <c r="AK15" i="48"/>
  <c r="AK14" i="48"/>
  <c r="AI38" i="48"/>
  <c r="AH15" i="48"/>
  <c r="AD16" i="48" s="1"/>
  <c r="AF21" i="48"/>
  <c r="A21" i="48" s="1"/>
  <c r="AJ28" i="48"/>
  <c r="AP28" i="48"/>
  <c r="AD16" i="47"/>
  <c r="B16" i="47" s="1"/>
  <c r="AH48" i="47"/>
  <c r="AP50" i="47"/>
  <c r="AJ50" i="47"/>
  <c r="AK49" i="47"/>
  <c r="A18" i="47"/>
  <c r="AH16" i="47"/>
  <c r="AK17" i="47"/>
  <c r="AJ47" i="46"/>
  <c r="AH46" i="46" s="1"/>
  <c r="AK46" i="46"/>
  <c r="AP47" i="46"/>
  <c r="AF19" i="46"/>
  <c r="A18" i="46"/>
  <c r="AP23" i="46"/>
  <c r="AJ23" i="46"/>
  <c r="AH14" i="46"/>
  <c r="AD15" i="46" s="1"/>
  <c r="B15" i="46" s="1"/>
  <c r="AK15" i="46"/>
  <c r="AI36" i="46"/>
  <c r="AP46" i="45"/>
  <c r="AJ46" i="45"/>
  <c r="AH15" i="45"/>
  <c r="AD16" i="45" s="1"/>
  <c r="B16" i="45" s="1"/>
  <c r="AK16" i="45"/>
  <c r="AF16" i="45"/>
  <c r="A15" i="45"/>
  <c r="AJ20" i="45" l="1"/>
  <c r="AP20" i="45"/>
  <c r="AK16" i="48"/>
  <c r="B16" i="48"/>
  <c r="AP21" i="47"/>
  <c r="AJ21" i="47"/>
  <c r="AJ26" i="51"/>
  <c r="AP26" i="51"/>
  <c r="B18" i="51"/>
  <c r="AC18" i="51"/>
  <c r="AI18" i="51" s="1"/>
  <c r="AH18" i="51" s="1"/>
  <c r="AD19" i="51" s="1"/>
  <c r="AK19" i="51" s="1"/>
  <c r="AF24" i="51"/>
  <c r="A23" i="51"/>
  <c r="AK51" i="50"/>
  <c r="AH51" i="50"/>
  <c r="AJ28" i="50"/>
  <c r="AP28" i="50"/>
  <c r="AH22" i="50"/>
  <c r="AD23" i="50" s="1"/>
  <c r="B23" i="50" s="1"/>
  <c r="AK23" i="50"/>
  <c r="AF24" i="50"/>
  <c r="A23" i="50"/>
  <c r="AH50" i="50"/>
  <c r="AH47" i="49"/>
  <c r="AJ49" i="49"/>
  <c r="AP49" i="49"/>
  <c r="AK48" i="49"/>
  <c r="AH20" i="49"/>
  <c r="AD21" i="49" s="1"/>
  <c r="B21" i="49" s="1"/>
  <c r="AK21" i="49"/>
  <c r="AF22" i="49"/>
  <c r="A21" i="49"/>
  <c r="AP28" i="49"/>
  <c r="AJ28" i="49"/>
  <c r="AL16" i="48"/>
  <c r="AL4" i="48" s="1"/>
  <c r="B53" i="48" s="1"/>
  <c r="AI39" i="48"/>
  <c r="AK17" i="48"/>
  <c r="AH16" i="48"/>
  <c r="AD17" i="48" s="1"/>
  <c r="B17" i="48" s="1"/>
  <c r="AP29" i="48"/>
  <c r="AJ29" i="48"/>
  <c r="AF22" i="48"/>
  <c r="A22" i="48" s="1"/>
  <c r="AD17" i="47"/>
  <c r="B17" i="47" s="1"/>
  <c r="AH49" i="47"/>
  <c r="AK50" i="47"/>
  <c r="AP51" i="47"/>
  <c r="AJ51" i="47"/>
  <c r="AH17" i="47"/>
  <c r="AK18" i="47"/>
  <c r="A19" i="47"/>
  <c r="AH36" i="46"/>
  <c r="AD37" i="46" s="1"/>
  <c r="AK37" i="46" s="1"/>
  <c r="AI37" i="46"/>
  <c r="AH15" i="46"/>
  <c r="AD16" i="46" s="1"/>
  <c r="B16" i="46" s="1"/>
  <c r="AK16" i="46"/>
  <c r="AP24" i="46"/>
  <c r="AJ24" i="46"/>
  <c r="AF20" i="46"/>
  <c r="A19" i="46"/>
  <c r="AK47" i="46"/>
  <c r="AP48" i="46"/>
  <c r="AJ48" i="46"/>
  <c r="AH47" i="46" s="1"/>
  <c r="AJ47" i="45"/>
  <c r="AP47" i="45"/>
  <c r="AF17" i="45"/>
  <c r="A16" i="45"/>
  <c r="AH16" i="45"/>
  <c r="AD17" i="45" s="1"/>
  <c r="B17" i="45" s="1"/>
  <c r="AK17" i="45"/>
  <c r="AJ22" i="47" l="1"/>
  <c r="AP22" i="47"/>
  <c r="AJ21" i="45"/>
  <c r="AP21" i="45"/>
  <c r="AP27" i="51"/>
  <c r="AJ27" i="51"/>
  <c r="B19" i="51"/>
  <c r="AC19" i="51"/>
  <c r="AI19" i="51" s="1"/>
  <c r="AH19" i="51" s="1"/>
  <c r="AD20" i="51" s="1"/>
  <c r="AK20" i="51" s="1"/>
  <c r="A24" i="51"/>
  <c r="AF25" i="51"/>
  <c r="AH23" i="50"/>
  <c r="AD24" i="50" s="1"/>
  <c r="B24" i="50" s="1"/>
  <c r="AK24" i="50"/>
  <c r="AH28" i="50"/>
  <c r="AD29" i="50" s="1"/>
  <c r="AP29" i="50"/>
  <c r="AF25" i="50"/>
  <c r="A24" i="50"/>
  <c r="AH48" i="49"/>
  <c r="AP50" i="49"/>
  <c r="AJ50" i="49"/>
  <c r="AK49" i="49"/>
  <c r="AJ29" i="49"/>
  <c r="AP29" i="49"/>
  <c r="AF23" i="49"/>
  <c r="A22" i="49"/>
  <c r="AH21" i="49"/>
  <c r="AD22" i="49" s="1"/>
  <c r="B22" i="49" s="1"/>
  <c r="AK22" i="49"/>
  <c r="AI40" i="48"/>
  <c r="AK18" i="48"/>
  <c r="AH17" i="48"/>
  <c r="AD18" i="48" s="1"/>
  <c r="B18" i="48" s="1"/>
  <c r="AP30" i="48"/>
  <c r="AJ30" i="48"/>
  <c r="AF23" i="48"/>
  <c r="A23" i="48" s="1"/>
  <c r="AD18" i="47"/>
  <c r="B18" i="47" s="1"/>
  <c r="AH50" i="47"/>
  <c r="AK51" i="47"/>
  <c r="AH51" i="47"/>
  <c r="AH18" i="47"/>
  <c r="AK19" i="47"/>
  <c r="A20" i="47"/>
  <c r="AI38" i="46"/>
  <c r="AH37" i="46"/>
  <c r="AD38" i="46" s="1"/>
  <c r="AK38" i="46" s="1"/>
  <c r="AJ25" i="46"/>
  <c r="AP25" i="46"/>
  <c r="AH16" i="46"/>
  <c r="AD17" i="46" s="1"/>
  <c r="B17" i="46" s="1"/>
  <c r="AK17" i="46"/>
  <c r="AJ49" i="46"/>
  <c r="AH48" i="46" s="1"/>
  <c r="AK48" i="46"/>
  <c r="AP49" i="46"/>
  <c r="AF21" i="46"/>
  <c r="A20" i="46"/>
  <c r="AP48" i="45"/>
  <c r="AJ48" i="45"/>
  <c r="AH17" i="45"/>
  <c r="AD18" i="45" s="1"/>
  <c r="B18" i="45" s="1"/>
  <c r="AK18" i="45"/>
  <c r="AF18" i="45"/>
  <c r="A17" i="45"/>
  <c r="AP22" i="45" l="1"/>
  <c r="AJ22" i="45"/>
  <c r="AJ23" i="47"/>
  <c r="AP23" i="47"/>
  <c r="AP28" i="51"/>
  <c r="AJ28" i="51"/>
  <c r="B20" i="51"/>
  <c r="AC20" i="51"/>
  <c r="AI20" i="51" s="1"/>
  <c r="AH20" i="51" s="1"/>
  <c r="AD21" i="51" s="1"/>
  <c r="AK21" i="51" s="1"/>
  <c r="A25" i="51"/>
  <c r="AF26" i="51"/>
  <c r="B29" i="50"/>
  <c r="AN29" i="50"/>
  <c r="AN4" i="50" s="1"/>
  <c r="B54" i="50" s="1"/>
  <c r="AK29" i="50"/>
  <c r="AF26" i="50"/>
  <c r="A25" i="50"/>
  <c r="AH24" i="50"/>
  <c r="AD25" i="50" s="1"/>
  <c r="B25" i="50" s="1"/>
  <c r="AK25" i="50"/>
  <c r="AH49" i="49"/>
  <c r="AJ51" i="49"/>
  <c r="AP51" i="49"/>
  <c r="AK50" i="49"/>
  <c r="AF24" i="49"/>
  <c r="A23" i="49"/>
  <c r="AH22" i="49"/>
  <c r="AD23" i="49" s="1"/>
  <c r="B23" i="49" s="1"/>
  <c r="AK23" i="49"/>
  <c r="AJ30" i="49"/>
  <c r="AJ31" i="49" s="1"/>
  <c r="AP30" i="49"/>
  <c r="AI41" i="48"/>
  <c r="AH18" i="48"/>
  <c r="AD19" i="48" s="1"/>
  <c r="B19" i="48" s="1"/>
  <c r="AK19" i="48"/>
  <c r="AF24" i="48"/>
  <c r="A24" i="48" s="1"/>
  <c r="AJ31" i="48"/>
  <c r="AP31" i="48"/>
  <c r="AD19" i="47"/>
  <c r="B19" i="47" s="1"/>
  <c r="A21" i="47"/>
  <c r="AH19" i="47"/>
  <c r="AK20" i="47"/>
  <c r="AI39" i="46"/>
  <c r="AH39" i="46" s="1"/>
  <c r="AD40" i="46" s="1"/>
  <c r="AK40" i="46" s="1"/>
  <c r="AH38" i="46"/>
  <c r="AD39" i="46" s="1"/>
  <c r="AK39" i="46" s="1"/>
  <c r="AH17" i="46"/>
  <c r="AD18" i="46" s="1"/>
  <c r="B18" i="46" s="1"/>
  <c r="AK18" i="46"/>
  <c r="AJ26" i="46"/>
  <c r="AP26" i="46"/>
  <c r="AF22" i="46"/>
  <c r="A21" i="46"/>
  <c r="AK49" i="46"/>
  <c r="AP50" i="46"/>
  <c r="AJ50" i="46"/>
  <c r="AH49" i="46" s="1"/>
  <c r="AP49" i="45"/>
  <c r="AJ49" i="45"/>
  <c r="AF19" i="45"/>
  <c r="A18" i="45"/>
  <c r="AH18" i="45"/>
  <c r="AD19" i="45" s="1"/>
  <c r="B19" i="45" s="1"/>
  <c r="AK19" i="45"/>
  <c r="AJ24" i="47" l="1"/>
  <c r="AP24" i="47"/>
  <c r="AJ32" i="49"/>
  <c r="AP32" i="49"/>
  <c r="AP23" i="45"/>
  <c r="AJ23" i="45"/>
  <c r="AJ29" i="51"/>
  <c r="AP29" i="51"/>
  <c r="B21" i="51"/>
  <c r="AC21" i="51"/>
  <c r="AI21" i="51" s="1"/>
  <c r="AH21" i="51" s="1"/>
  <c r="AD22" i="51" s="1"/>
  <c r="AK22" i="51" s="1"/>
  <c r="A26" i="51"/>
  <c r="AF27" i="51"/>
  <c r="AF27" i="50"/>
  <c r="A26" i="50"/>
  <c r="AK26" i="50"/>
  <c r="AH25" i="50"/>
  <c r="AD26" i="50" s="1"/>
  <c r="B26" i="50" s="1"/>
  <c r="AH51" i="49"/>
  <c r="AK51" i="49"/>
  <c r="AH50" i="49"/>
  <c r="AH23" i="49"/>
  <c r="AD24" i="49" s="1"/>
  <c r="B24" i="49" s="1"/>
  <c r="AK24" i="49"/>
  <c r="AP31" i="49"/>
  <c r="AH30" i="49"/>
  <c r="AD31" i="49" s="1"/>
  <c r="AF25" i="49"/>
  <c r="A24" i="49"/>
  <c r="AI42" i="48"/>
  <c r="AH19" i="48"/>
  <c r="AD20" i="48" s="1"/>
  <c r="B20" i="48" s="1"/>
  <c r="AK20" i="48"/>
  <c r="AJ32" i="48"/>
  <c r="AP32" i="48"/>
  <c r="AF25" i="48"/>
  <c r="A25" i="48" s="1"/>
  <c r="AD20" i="47"/>
  <c r="B20" i="47" s="1"/>
  <c r="AH20" i="47"/>
  <c r="AK21" i="47"/>
  <c r="A22" i="47"/>
  <c r="AP27" i="46"/>
  <c r="AJ27" i="46"/>
  <c r="AH18" i="46"/>
  <c r="AD19" i="46" s="1"/>
  <c r="B19" i="46" s="1"/>
  <c r="AK19" i="46"/>
  <c r="AJ51" i="46"/>
  <c r="AK50" i="46"/>
  <c r="AP51" i="46"/>
  <c r="AF23" i="46"/>
  <c r="A22" i="46"/>
  <c r="AP50" i="45"/>
  <c r="AJ50" i="45"/>
  <c r="AH19" i="45"/>
  <c r="AD20" i="45" s="1"/>
  <c r="B20" i="45" s="1"/>
  <c r="AK20" i="45"/>
  <c r="A19" i="45"/>
  <c r="AF20" i="45"/>
  <c r="AP24" i="45" l="1"/>
  <c r="AJ24" i="45"/>
  <c r="AP33" i="49"/>
  <c r="AH32" i="49"/>
  <c r="AD33" i="49" s="1"/>
  <c r="B33" i="49" s="1"/>
  <c r="AH31" i="49"/>
  <c r="AD32" i="49" s="1"/>
  <c r="AJ25" i="47"/>
  <c r="AP25" i="47"/>
  <c r="AP30" i="51"/>
  <c r="AJ30" i="51"/>
  <c r="B22" i="51"/>
  <c r="AC22" i="51"/>
  <c r="AI22" i="51" s="1"/>
  <c r="AH22" i="51" s="1"/>
  <c r="AD23" i="51" s="1"/>
  <c r="AK23" i="51" s="1"/>
  <c r="A27" i="51"/>
  <c r="AF28" i="51"/>
  <c r="AH26" i="50"/>
  <c r="AD27" i="50" s="1"/>
  <c r="B27" i="50" s="1"/>
  <c r="AK27" i="50"/>
  <c r="AF28" i="50"/>
  <c r="A27" i="50"/>
  <c r="B31" i="49"/>
  <c r="AN31" i="49"/>
  <c r="AK31" i="49"/>
  <c r="AF26" i="49"/>
  <c r="A25" i="49"/>
  <c r="AK25" i="49"/>
  <c r="AH24" i="49"/>
  <c r="AD25" i="49" s="1"/>
  <c r="B25" i="49" s="1"/>
  <c r="AI43" i="48"/>
  <c r="AH42" i="48"/>
  <c r="AD43" i="48" s="1"/>
  <c r="AK21" i="48"/>
  <c r="AH20" i="48"/>
  <c r="AD21" i="48" s="1"/>
  <c r="B21" i="48" s="1"/>
  <c r="AF26" i="48"/>
  <c r="A26" i="48" s="1"/>
  <c r="AP33" i="48"/>
  <c r="AJ33" i="48"/>
  <c r="AD21" i="47"/>
  <c r="B21" i="47" s="1"/>
  <c r="AH21" i="47"/>
  <c r="AK22" i="47"/>
  <c r="A23" i="47"/>
  <c r="AF24" i="46"/>
  <c r="A23" i="46"/>
  <c r="AK51" i="46"/>
  <c r="AH51" i="46"/>
  <c r="AK20" i="46"/>
  <c r="AH19" i="46"/>
  <c r="AD20" i="46" s="1"/>
  <c r="B20" i="46" s="1"/>
  <c r="AP28" i="46"/>
  <c r="AJ28" i="46"/>
  <c r="AH50" i="46"/>
  <c r="AJ51" i="45"/>
  <c r="AP51" i="45"/>
  <c r="AF21" i="45"/>
  <c r="A20" i="45"/>
  <c r="AK21" i="45"/>
  <c r="AH20" i="45"/>
  <c r="AD21" i="45" s="1"/>
  <c r="B21" i="45" s="1"/>
  <c r="AK43" i="48" l="1"/>
  <c r="B43" i="48"/>
  <c r="AP26" i="47"/>
  <c r="AJ26" i="47"/>
  <c r="AC32" i="49"/>
  <c r="B32" i="49"/>
  <c r="AK33" i="49"/>
  <c r="AJ25" i="45"/>
  <c r="AP25" i="45"/>
  <c r="AK32" i="49"/>
  <c r="AJ31" i="51"/>
  <c r="AP31" i="51"/>
  <c r="B23" i="51"/>
  <c r="AC23" i="51"/>
  <c r="AI23" i="51" s="1"/>
  <c r="AH23" i="51" s="1"/>
  <c r="AD24" i="51" s="1"/>
  <c r="AK24" i="51" s="1"/>
  <c r="AF29" i="51"/>
  <c r="A28" i="51"/>
  <c r="AF29" i="50"/>
  <c r="A28" i="50"/>
  <c r="AH27" i="50"/>
  <c r="AD28" i="50" s="1"/>
  <c r="B28" i="50" s="1"/>
  <c r="AK28" i="50"/>
  <c r="AF27" i="49"/>
  <c r="A26" i="49"/>
  <c r="AH25" i="49"/>
  <c r="AD26" i="49" s="1"/>
  <c r="B26" i="49" s="1"/>
  <c r="AK26" i="49"/>
  <c r="AI44" i="48"/>
  <c r="AH43" i="48"/>
  <c r="AD44" i="48" s="1"/>
  <c r="AK22" i="48"/>
  <c r="AH21" i="48"/>
  <c r="AD22" i="48" s="1"/>
  <c r="B22" i="48" s="1"/>
  <c r="AP34" i="48"/>
  <c r="AJ34" i="48"/>
  <c r="AF27" i="48"/>
  <c r="A27" i="48" s="1"/>
  <c r="AD22" i="47"/>
  <c r="B22" i="47" s="1"/>
  <c r="A24" i="47"/>
  <c r="AH22" i="47"/>
  <c r="AK23" i="47"/>
  <c r="AJ29" i="46"/>
  <c r="AP29" i="46"/>
  <c r="AH20" i="46"/>
  <c r="AD21" i="46" s="1"/>
  <c r="B21" i="46" s="1"/>
  <c r="AK21" i="46"/>
  <c r="AF25" i="46"/>
  <c r="A24" i="46"/>
  <c r="AH21" i="45"/>
  <c r="AD22" i="45" s="1"/>
  <c r="B22" i="45" s="1"/>
  <c r="AK22" i="45"/>
  <c r="AF22" i="45"/>
  <c r="A21" i="45"/>
  <c r="AP26" i="45" l="1"/>
  <c r="AJ26" i="45"/>
  <c r="AP27" i="47"/>
  <c r="AJ27" i="47"/>
  <c r="AK44" i="48"/>
  <c r="B44" i="48"/>
  <c r="AJ32" i="51"/>
  <c r="AP32" i="51"/>
  <c r="B24" i="51"/>
  <c r="AC24" i="51"/>
  <c r="AI24" i="51" s="1"/>
  <c r="AH24" i="51" s="1"/>
  <c r="AD25" i="51" s="1"/>
  <c r="AK25" i="51" s="1"/>
  <c r="AO29" i="51"/>
  <c r="AO4" i="51" s="1"/>
  <c r="AF30" i="51"/>
  <c r="A29" i="51"/>
  <c r="AO29" i="50"/>
  <c r="AO4" i="50" s="1"/>
  <c r="A54" i="50" s="1"/>
  <c r="AF30" i="50"/>
  <c r="A29" i="50"/>
  <c r="AH26" i="49"/>
  <c r="AD27" i="49" s="1"/>
  <c r="B27" i="49" s="1"/>
  <c r="AK27" i="49"/>
  <c r="AF28" i="49"/>
  <c r="A27" i="49"/>
  <c r="AH44" i="48"/>
  <c r="AD45" i="48" s="1"/>
  <c r="AI45" i="48"/>
  <c r="AH45" i="48" s="1"/>
  <c r="AD46" i="48" s="1"/>
  <c r="B46" i="48" s="1"/>
  <c r="AK23" i="48"/>
  <c r="AH22" i="48"/>
  <c r="AD23" i="48" s="1"/>
  <c r="B23" i="48" s="1"/>
  <c r="AF28" i="48"/>
  <c r="A28" i="48" s="1"/>
  <c r="AJ35" i="48"/>
  <c r="AJ36" i="48" s="1"/>
  <c r="AP35" i="48"/>
  <c r="AD23" i="47"/>
  <c r="B23" i="47" s="1"/>
  <c r="AJ31" i="47"/>
  <c r="A25" i="47"/>
  <c r="AK24" i="47"/>
  <c r="AH23" i="47"/>
  <c r="AK22" i="46"/>
  <c r="AH21" i="46"/>
  <c r="AD22" i="46" s="1"/>
  <c r="B22" i="46" s="1"/>
  <c r="AJ30" i="46"/>
  <c r="AJ31" i="46" s="1"/>
  <c r="AP30" i="46"/>
  <c r="AF26" i="46"/>
  <c r="A25" i="46"/>
  <c r="AF23" i="45"/>
  <c r="A22" i="45"/>
  <c r="AH22" i="45"/>
  <c r="AD23" i="45" s="1"/>
  <c r="B23" i="45" s="1"/>
  <c r="AK23" i="45"/>
  <c r="AJ32" i="46" l="1"/>
  <c r="AP32" i="46"/>
  <c r="AJ28" i="47"/>
  <c r="AP28" i="47"/>
  <c r="AJ37" i="48"/>
  <c r="AP37" i="48"/>
  <c r="AP27" i="45"/>
  <c r="AJ27" i="45"/>
  <c r="AK45" i="48"/>
  <c r="B45" i="48"/>
  <c r="AP33" i="51"/>
  <c r="AJ33" i="51"/>
  <c r="B25" i="51"/>
  <c r="AC25" i="51"/>
  <c r="AI25" i="51" s="1"/>
  <c r="AH25" i="51" s="1"/>
  <c r="AD26" i="51" s="1"/>
  <c r="AK26" i="51" s="1"/>
  <c r="AF31" i="51"/>
  <c r="A30" i="51"/>
  <c r="AF31" i="50"/>
  <c r="A30" i="50"/>
  <c r="AF29" i="49"/>
  <c r="AO29" i="49" s="1"/>
  <c r="A28" i="49"/>
  <c r="AK28" i="49"/>
  <c r="AH27" i="49"/>
  <c r="AD28" i="49" s="1"/>
  <c r="B28" i="49" s="1"/>
  <c r="AC46" i="48"/>
  <c r="AI46" i="48" s="1"/>
  <c r="AH46" i="48" s="1"/>
  <c r="AD47" i="48" s="1"/>
  <c r="B47" i="48" s="1"/>
  <c r="AK46" i="48"/>
  <c r="AH23" i="48"/>
  <c r="AD24" i="48" s="1"/>
  <c r="B24" i="48" s="1"/>
  <c r="AK24" i="48"/>
  <c r="AF29" i="48"/>
  <c r="A29" i="48" s="1"/>
  <c r="AP36" i="48"/>
  <c r="AD24" i="47"/>
  <c r="B24" i="47" s="1"/>
  <c r="AH24" i="47"/>
  <c r="AK25" i="47"/>
  <c r="A26" i="47"/>
  <c r="AJ32" i="47"/>
  <c r="AP32" i="47"/>
  <c r="AP31" i="46"/>
  <c r="AK23" i="46"/>
  <c r="AH22" i="46"/>
  <c r="AD23" i="46" s="1"/>
  <c r="B23" i="46" s="1"/>
  <c r="AF27" i="46"/>
  <c r="A26" i="46"/>
  <c r="AH23" i="45"/>
  <c r="AD24" i="45" s="1"/>
  <c r="B24" i="45" s="1"/>
  <c r="AK24" i="45"/>
  <c r="AJ31" i="45"/>
  <c r="AF24" i="45"/>
  <c r="A23" i="45"/>
  <c r="AJ28" i="45" l="1"/>
  <c r="AP28" i="45"/>
  <c r="AP29" i="47"/>
  <c r="AJ29" i="47"/>
  <c r="AP38" i="48"/>
  <c r="AJ38" i="48"/>
  <c r="AP33" i="46"/>
  <c r="AJ33" i="46"/>
  <c r="AJ34" i="51"/>
  <c r="AP34" i="51"/>
  <c r="B26" i="51"/>
  <c r="AC26" i="51"/>
  <c r="AI26" i="51" s="1"/>
  <c r="AH26" i="51" s="1"/>
  <c r="AD27" i="51" s="1"/>
  <c r="AK27" i="51" s="1"/>
  <c r="AF32" i="51"/>
  <c r="A31" i="51"/>
  <c r="AF32" i="50"/>
  <c r="A31" i="50"/>
  <c r="AH28" i="49"/>
  <c r="AD29" i="49" s="1"/>
  <c r="AK29" i="49" s="1"/>
  <c r="AF30" i="49"/>
  <c r="A29" i="49"/>
  <c r="AC47" i="48"/>
  <c r="AI47" i="48" s="1"/>
  <c r="AK47" i="48"/>
  <c r="AK25" i="48"/>
  <c r="AH24" i="48"/>
  <c r="AD25" i="48" s="1"/>
  <c r="B25" i="48" s="1"/>
  <c r="AN36" i="48"/>
  <c r="AF30" i="48"/>
  <c r="A30" i="48" s="1"/>
  <c r="AD25" i="47"/>
  <c r="B25" i="47" s="1"/>
  <c r="A27" i="47"/>
  <c r="AH25" i="47"/>
  <c r="AK26" i="47"/>
  <c r="AP33" i="47"/>
  <c r="AJ33" i="47"/>
  <c r="AN31" i="46"/>
  <c r="AF28" i="46"/>
  <c r="A27" i="46"/>
  <c r="AH23" i="46"/>
  <c r="AD24" i="46" s="1"/>
  <c r="B24" i="46" s="1"/>
  <c r="AK24" i="46"/>
  <c r="AJ32" i="45"/>
  <c r="AJ33" i="45" s="1"/>
  <c r="AP32" i="45"/>
  <c r="AH24" i="45"/>
  <c r="AD25" i="45" s="1"/>
  <c r="B25" i="45" s="1"/>
  <c r="AK25" i="45"/>
  <c r="AF25" i="45"/>
  <c r="A24" i="45"/>
  <c r="AP30" i="47" l="1"/>
  <c r="AJ30" i="47"/>
  <c r="AP31" i="47" s="1"/>
  <c r="AJ39" i="48"/>
  <c r="AP39" i="48"/>
  <c r="AP34" i="46"/>
  <c r="AJ34" i="46"/>
  <c r="AP29" i="45"/>
  <c r="AJ29" i="45"/>
  <c r="AP35" i="51"/>
  <c r="AJ35" i="51"/>
  <c r="B27" i="51"/>
  <c r="AC27" i="51"/>
  <c r="AI27" i="51" s="1"/>
  <c r="AH27" i="51" s="1"/>
  <c r="AD28" i="51" s="1"/>
  <c r="AK28" i="51" s="1"/>
  <c r="A32" i="51"/>
  <c r="AF33" i="50"/>
  <c r="A32" i="50"/>
  <c r="B29" i="49"/>
  <c r="AN29" i="49"/>
  <c r="AF31" i="49"/>
  <c r="A31" i="49" s="1"/>
  <c r="A30" i="49"/>
  <c r="AH29" i="49"/>
  <c r="AD30" i="49" s="1"/>
  <c r="AK30" i="49" s="1"/>
  <c r="AI48" i="48"/>
  <c r="AH48" i="48" s="1"/>
  <c r="AD49" i="48" s="1"/>
  <c r="B49" i="48" s="1"/>
  <c r="AH47" i="48"/>
  <c r="AD48" i="48" s="1"/>
  <c r="AH25" i="48"/>
  <c r="AD26" i="48" s="1"/>
  <c r="B26" i="48" s="1"/>
  <c r="AK26" i="48"/>
  <c r="AF31" i="48"/>
  <c r="A31" i="48" s="1"/>
  <c r="AD26" i="47"/>
  <c r="B26" i="47" s="1"/>
  <c r="AK27" i="47"/>
  <c r="AH26" i="47"/>
  <c r="AP34" i="47"/>
  <c r="AJ34" i="47"/>
  <c r="A28" i="47"/>
  <c r="AH24" i="46"/>
  <c r="AD25" i="46" s="1"/>
  <c r="B25" i="46" s="1"/>
  <c r="AK25" i="46"/>
  <c r="AF29" i="46"/>
  <c r="A28" i="46"/>
  <c r="AJ34" i="45"/>
  <c r="AP35" i="45" s="1"/>
  <c r="AP34" i="45"/>
  <c r="AF26" i="45"/>
  <c r="A25" i="45"/>
  <c r="AP33" i="45"/>
  <c r="AK33" i="45"/>
  <c r="AH25" i="45"/>
  <c r="AD26" i="45" s="1"/>
  <c r="B26" i="45" s="1"/>
  <c r="AK26" i="45"/>
  <c r="AP40" i="48" l="1"/>
  <c r="AJ40" i="48"/>
  <c r="AK48" i="48"/>
  <c r="B48" i="48"/>
  <c r="AJ35" i="46"/>
  <c r="AP35" i="46"/>
  <c r="AJ30" i="45"/>
  <c r="AP31" i="45" s="1"/>
  <c r="AP30" i="45"/>
  <c r="AJ36" i="51"/>
  <c r="AP36" i="51"/>
  <c r="B28" i="51"/>
  <c r="AC28" i="51"/>
  <c r="AI28" i="51" s="1"/>
  <c r="AF34" i="50"/>
  <c r="A33" i="50"/>
  <c r="B30" i="49"/>
  <c r="AN30" i="49"/>
  <c r="AN4" i="49" s="1"/>
  <c r="B54" i="49" s="1"/>
  <c r="AO31" i="49"/>
  <c r="AO4" i="49" s="1"/>
  <c r="A54" i="49" s="1"/>
  <c r="AF32" i="49"/>
  <c r="A32" i="49" s="1"/>
  <c r="AC49" i="48"/>
  <c r="AI49" i="48" s="1"/>
  <c r="AK49" i="48"/>
  <c r="AH26" i="48"/>
  <c r="AD27" i="48" s="1"/>
  <c r="B27" i="48" s="1"/>
  <c r="AK27" i="48"/>
  <c r="AF32" i="48"/>
  <c r="A32" i="48" s="1"/>
  <c r="AD27" i="47"/>
  <c r="B27" i="47" s="1"/>
  <c r="AJ35" i="47"/>
  <c r="AP35" i="47"/>
  <c r="A29" i="47"/>
  <c r="AH27" i="47"/>
  <c r="AK28" i="47"/>
  <c r="AF30" i="46"/>
  <c r="A29" i="46"/>
  <c r="AH25" i="46"/>
  <c r="AD26" i="46" s="1"/>
  <c r="B26" i="46" s="1"/>
  <c r="AK26" i="46"/>
  <c r="AH26" i="45"/>
  <c r="AD27" i="45" s="1"/>
  <c r="B27" i="45" s="1"/>
  <c r="AK27" i="45"/>
  <c r="AF27" i="45"/>
  <c r="A26" i="45"/>
  <c r="AP41" i="48" l="1"/>
  <c r="AJ41" i="48"/>
  <c r="AP36" i="46"/>
  <c r="AH35" i="46"/>
  <c r="AD36" i="46" s="1"/>
  <c r="AN36" i="46" s="1"/>
  <c r="AN4" i="46" s="1"/>
  <c r="B54" i="46" s="1"/>
  <c r="AK36" i="46"/>
  <c r="AP37" i="51"/>
  <c r="AJ37" i="51"/>
  <c r="AH28" i="51"/>
  <c r="AD29" i="51" s="1"/>
  <c r="AF35" i="50"/>
  <c r="A35" i="50" s="1"/>
  <c r="A34" i="50"/>
  <c r="AF33" i="49"/>
  <c r="A33" i="49" s="1"/>
  <c r="AI50" i="48"/>
  <c r="AH50" i="48" s="1"/>
  <c r="AH49" i="48"/>
  <c r="AD50" i="48" s="1"/>
  <c r="AH27" i="48"/>
  <c r="AD28" i="48" s="1"/>
  <c r="B28" i="48" s="1"/>
  <c r="AK28" i="48"/>
  <c r="AF33" i="48"/>
  <c r="A33" i="48" s="1"/>
  <c r="AD28" i="47"/>
  <c r="B28" i="47" s="1"/>
  <c r="AH28" i="47"/>
  <c r="AK29" i="47"/>
  <c r="A30" i="47"/>
  <c r="AP36" i="47"/>
  <c r="AK27" i="46"/>
  <c r="AH26" i="46"/>
  <c r="AD27" i="46" s="1"/>
  <c r="B27" i="46" s="1"/>
  <c r="AF31" i="46"/>
  <c r="A30" i="46"/>
  <c r="AF28" i="45"/>
  <c r="A27" i="45"/>
  <c r="AH27" i="45"/>
  <c r="AD28" i="45" s="1"/>
  <c r="B28" i="45" s="1"/>
  <c r="AK28" i="45"/>
  <c r="AP42" i="48" l="1"/>
  <c r="AK50" i="48"/>
  <c r="B50" i="48"/>
  <c r="AJ38" i="51"/>
  <c r="AP38" i="51"/>
  <c r="AK29" i="51"/>
  <c r="AC29" i="51"/>
  <c r="AI29" i="51" s="1"/>
  <c r="B29" i="51"/>
  <c r="AN29" i="51"/>
  <c r="AN4" i="51" s="1"/>
  <c r="AF34" i="49"/>
  <c r="A34" i="49" s="1"/>
  <c r="AH28" i="48"/>
  <c r="AD29" i="48" s="1"/>
  <c r="B29" i="48" s="1"/>
  <c r="AK29" i="48"/>
  <c r="AF34" i="48"/>
  <c r="A34" i="48" s="1"/>
  <c r="AD29" i="47"/>
  <c r="B29" i="47" s="1"/>
  <c r="AN36" i="47"/>
  <c r="A31" i="47"/>
  <c r="AH29" i="47"/>
  <c r="AD30" i="47" s="1"/>
  <c r="AO31" i="46"/>
  <c r="AF32" i="46"/>
  <c r="A31" i="46"/>
  <c r="AH27" i="46"/>
  <c r="AD28" i="46" s="1"/>
  <c r="B28" i="46" s="1"/>
  <c r="AK28" i="46"/>
  <c r="AH28" i="45"/>
  <c r="AD29" i="45" s="1"/>
  <c r="AK29" i="45" s="1"/>
  <c r="AF29" i="45"/>
  <c r="A28" i="45"/>
  <c r="AH29" i="51" l="1"/>
  <c r="AD30" i="51" s="1"/>
  <c r="AC30" i="51" s="1"/>
  <c r="AI30" i="51" s="1"/>
  <c r="AJ39" i="51"/>
  <c r="AP39" i="51"/>
  <c r="AF35" i="49"/>
  <c r="A35" i="49" s="1"/>
  <c r="AK30" i="48"/>
  <c r="AH29" i="48"/>
  <c r="AD30" i="48" s="1"/>
  <c r="B30" i="48" s="1"/>
  <c r="AF35" i="48"/>
  <c r="A35" i="48" s="1"/>
  <c r="B30" i="47"/>
  <c r="AH30" i="47"/>
  <c r="AD31" i="47" s="1"/>
  <c r="AN31" i="47" s="1"/>
  <c r="A32" i="47"/>
  <c r="AF33" i="46"/>
  <c r="A32" i="46"/>
  <c r="AH28" i="46"/>
  <c r="AD29" i="46" s="1"/>
  <c r="B29" i="46" s="1"/>
  <c r="AK29" i="46"/>
  <c r="B29" i="45"/>
  <c r="AN29" i="45"/>
  <c r="AF30" i="45"/>
  <c r="AO30" i="45" s="1"/>
  <c r="A29" i="45"/>
  <c r="AH29" i="45"/>
  <c r="AD30" i="45" s="1"/>
  <c r="AN30" i="45" s="1"/>
  <c r="AK30" i="51" l="1"/>
  <c r="AH30" i="51" s="1"/>
  <c r="AD31" i="51" s="1"/>
  <c r="B31" i="51" s="1"/>
  <c r="B30" i="51"/>
  <c r="AJ40" i="51"/>
  <c r="AP40" i="51"/>
  <c r="AH30" i="48"/>
  <c r="AD31" i="48" s="1"/>
  <c r="B31" i="48" s="1"/>
  <c r="AK31" i="48"/>
  <c r="AF36" i="48"/>
  <c r="A36" i="48" s="1"/>
  <c r="AK31" i="47"/>
  <c r="AN30" i="47"/>
  <c r="AN4" i="47" s="1"/>
  <c r="B54" i="47" s="1"/>
  <c r="AK30" i="47"/>
  <c r="A33" i="47"/>
  <c r="AH31" i="47"/>
  <c r="AD32" i="47" s="1"/>
  <c r="AH29" i="46"/>
  <c r="AD30" i="46" s="1"/>
  <c r="B30" i="46" s="1"/>
  <c r="AK30" i="46"/>
  <c r="A33" i="46"/>
  <c r="AF34" i="46"/>
  <c r="AK30" i="45"/>
  <c r="B30" i="45"/>
  <c r="AC30" i="45"/>
  <c r="AI30" i="45" s="1"/>
  <c r="AI31" i="45" s="1"/>
  <c r="AI32" i="45" s="1"/>
  <c r="AF31" i="45"/>
  <c r="AO31" i="45" s="1"/>
  <c r="A30" i="45"/>
  <c r="AH30" i="46" l="1"/>
  <c r="AD31" i="46" s="1"/>
  <c r="B31" i="46" s="1"/>
  <c r="AK31" i="46"/>
  <c r="AK31" i="51"/>
  <c r="AC31" i="51"/>
  <c r="AI31" i="51" s="1"/>
  <c r="AP41" i="51"/>
  <c r="AJ41" i="51"/>
  <c r="AK32" i="48"/>
  <c r="AH31" i="48"/>
  <c r="AD32" i="48" s="1"/>
  <c r="B32" i="48" s="1"/>
  <c r="AO36" i="48"/>
  <c r="AF37" i="48"/>
  <c r="B31" i="47"/>
  <c r="AK32" i="47"/>
  <c r="AH32" i="47"/>
  <c r="AD33" i="47" s="1"/>
  <c r="B33" i="47" s="1"/>
  <c r="AF35" i="46"/>
  <c r="A34" i="46"/>
  <c r="AH30" i="45"/>
  <c r="AD31" i="45" s="1"/>
  <c r="AI33" i="45"/>
  <c r="AH32" i="45"/>
  <c r="AF32" i="45"/>
  <c r="A31" i="45"/>
  <c r="AH31" i="45"/>
  <c r="AD32" i="45" s="1"/>
  <c r="B32" i="45" s="1"/>
  <c r="AF38" i="48" l="1"/>
  <c r="A37" i="48"/>
  <c r="AH31" i="46"/>
  <c r="AD32" i="46" s="1"/>
  <c r="B32" i="46" s="1"/>
  <c r="AK32" i="46"/>
  <c r="AH31" i="51"/>
  <c r="AD32" i="51" s="1"/>
  <c r="AJ42" i="51"/>
  <c r="AP42" i="51"/>
  <c r="AH32" i="48"/>
  <c r="AD33" i="48" s="1"/>
  <c r="B33" i="48" s="1"/>
  <c r="AK33" i="48"/>
  <c r="AK33" i="47"/>
  <c r="B32" i="47"/>
  <c r="AH33" i="47"/>
  <c r="AD34" i="47" s="1"/>
  <c r="B34" i="47" s="1"/>
  <c r="AF36" i="46"/>
  <c r="A35" i="46"/>
  <c r="B31" i="45"/>
  <c r="AN31" i="45"/>
  <c r="AN4" i="45" s="1"/>
  <c r="B54" i="45" s="1"/>
  <c r="AK31" i="45"/>
  <c r="AK32" i="45"/>
  <c r="AH33" i="45"/>
  <c r="AD34" i="45" s="1"/>
  <c r="AC34" i="45" s="1"/>
  <c r="AI34" i="45" s="1"/>
  <c r="A32" i="45"/>
  <c r="AF33" i="45"/>
  <c r="AK33" i="46" l="1"/>
  <c r="AH32" i="46"/>
  <c r="AD33" i="46" s="1"/>
  <c r="B33" i="46" s="1"/>
  <c r="AO36" i="46"/>
  <c r="AO4" i="46" s="1"/>
  <c r="A54" i="46" s="1"/>
  <c r="AF37" i="46"/>
  <c r="AF38" i="46" s="1"/>
  <c r="AF39" i="46" s="1"/>
  <c r="AF40" i="46" s="1"/>
  <c r="AF41" i="46" s="1"/>
  <c r="AF42" i="46" s="1"/>
  <c r="AF43" i="46" s="1"/>
  <c r="AF44" i="46" s="1"/>
  <c r="AF39" i="48"/>
  <c r="A38" i="48"/>
  <c r="AC32" i="51"/>
  <c r="AI32" i="51" s="1"/>
  <c r="B32" i="51"/>
  <c r="AK32" i="51"/>
  <c r="AJ43" i="51"/>
  <c r="AP43" i="51"/>
  <c r="AK34" i="48"/>
  <c r="AH33" i="48"/>
  <c r="AD34" i="48" s="1"/>
  <c r="B34" i="48" s="1"/>
  <c r="AO36" i="47"/>
  <c r="AO4" i="47" s="1"/>
  <c r="A54" i="47" s="1"/>
  <c r="AH34" i="45"/>
  <c r="AD35" i="45" s="1"/>
  <c r="AI35" i="45"/>
  <c r="B34" i="45"/>
  <c r="AK34" i="45"/>
  <c r="AO33" i="45"/>
  <c r="AO4" i="45" s="1"/>
  <c r="A54" i="45" s="1"/>
  <c r="A33" i="45"/>
  <c r="AF34" i="45"/>
  <c r="AF40" i="48" l="1"/>
  <c r="A39" i="48"/>
  <c r="AK34" i="46"/>
  <c r="AH33" i="46"/>
  <c r="AD34" i="46" s="1"/>
  <c r="B34" i="46" s="1"/>
  <c r="AH32" i="51"/>
  <c r="AI33" i="51" s="1"/>
  <c r="AH33" i="51" s="1"/>
  <c r="AI34" i="51" s="1"/>
  <c r="AK33" i="51"/>
  <c r="AK34" i="51"/>
  <c r="AJ44" i="51"/>
  <c r="AP44" i="51"/>
  <c r="AK35" i="48"/>
  <c r="AH34" i="48"/>
  <c r="AD35" i="48" s="1"/>
  <c r="AI34" i="47"/>
  <c r="AK34" i="47"/>
  <c r="AH35" i="45"/>
  <c r="AK35" i="45"/>
  <c r="B35" i="45"/>
  <c r="E10" i="45" s="1"/>
  <c r="AF35" i="45"/>
  <c r="AF36" i="45" s="1"/>
  <c r="A34" i="45"/>
  <c r="AF41" i="48" l="1"/>
  <c r="A40" i="48"/>
  <c r="E10" i="48"/>
  <c r="B35" i="48"/>
  <c r="AH34" i="46"/>
  <c r="AD35" i="46" s="1"/>
  <c r="B35" i="46" s="1"/>
  <c r="E10" i="46" s="1"/>
  <c r="AK35" i="46"/>
  <c r="AH35" i="48"/>
  <c r="AD36" i="48" s="1"/>
  <c r="B36" i="48" s="1"/>
  <c r="AK36" i="48"/>
  <c r="AH36" i="48" s="1"/>
  <c r="AD37" i="48" s="1"/>
  <c r="AH34" i="51"/>
  <c r="AI35" i="51" s="1"/>
  <c r="AK35" i="51"/>
  <c r="AK36" i="51" s="1"/>
  <c r="AH36" i="51" s="1"/>
  <c r="E10" i="51"/>
  <c r="AP45" i="51"/>
  <c r="AJ45" i="51"/>
  <c r="AH34" i="47"/>
  <c r="AD35" i="47" s="1"/>
  <c r="AI36" i="45"/>
  <c r="AH36" i="45" s="1"/>
  <c r="AD36" i="45"/>
  <c r="AK36" i="45"/>
  <c r="AI37" i="45"/>
  <c r="AK37" i="45"/>
  <c r="A35" i="45"/>
  <c r="AK37" i="48" l="1"/>
  <c r="AH37" i="48" s="1"/>
  <c r="AD38" i="48" s="1"/>
  <c r="B37" i="48"/>
  <c r="AC35" i="47"/>
  <c r="AI35" i="47" s="1"/>
  <c r="B35" i="47"/>
  <c r="AF42" i="48"/>
  <c r="A41" i="48"/>
  <c r="AK37" i="51"/>
  <c r="AH35" i="51"/>
  <c r="AH37" i="51"/>
  <c r="AK38" i="51"/>
  <c r="AJ46" i="51"/>
  <c r="AP46" i="51"/>
  <c r="AK35" i="47"/>
  <c r="AI36" i="47"/>
  <c r="AH35" i="47"/>
  <c r="AI38" i="45"/>
  <c r="AH38" i="45" s="1"/>
  <c r="AH37" i="45"/>
  <c r="AF43" i="48" l="1"/>
  <c r="AO42" i="48"/>
  <c r="AO4" i="48" s="1"/>
  <c r="A54" i="48" s="1"/>
  <c r="A42" i="48"/>
  <c r="AK38" i="48"/>
  <c r="AH38" i="48" s="1"/>
  <c r="AD39" i="48" s="1"/>
  <c r="B38" i="48"/>
  <c r="AK39" i="51"/>
  <c r="AH38" i="51"/>
  <c r="AP47" i="51"/>
  <c r="AJ47" i="51"/>
  <c r="AD36" i="47"/>
  <c r="AI37" i="47"/>
  <c r="AH36" i="47"/>
  <c r="AD37" i="47" s="1"/>
  <c r="E10" i="47"/>
  <c r="AK38" i="45"/>
  <c r="AI39" i="45"/>
  <c r="AH39" i="45" s="1"/>
  <c r="AK39" i="45"/>
  <c r="AK39" i="48" l="1"/>
  <c r="AH39" i="48" s="1"/>
  <c r="AD40" i="48" s="1"/>
  <c r="B39" i="48"/>
  <c r="AK36" i="47"/>
  <c r="B36" i="47"/>
  <c r="AF44" i="48"/>
  <c r="A43" i="48"/>
  <c r="AH39" i="51"/>
  <c r="AK40" i="51"/>
  <c r="AJ48" i="51"/>
  <c r="AP48" i="51"/>
  <c r="AK37" i="47"/>
  <c r="AI38" i="47"/>
  <c r="AH37" i="47"/>
  <c r="AK40" i="45"/>
  <c r="AI40" i="45"/>
  <c r="AH40" i="45" s="1"/>
  <c r="AF45" i="48" l="1"/>
  <c r="A44" i="48"/>
  <c r="AK40" i="48"/>
  <c r="AH40" i="48" s="1"/>
  <c r="AD41" i="48" s="1"/>
  <c r="B40" i="48"/>
  <c r="AH40" i="51"/>
  <c r="AK41" i="51"/>
  <c r="AP49" i="51"/>
  <c r="AJ49" i="51"/>
  <c r="AK38" i="47"/>
  <c r="AH38" i="47"/>
  <c r="AK39" i="47" s="1"/>
  <c r="AI39" i="47"/>
  <c r="AH39" i="47" s="1"/>
  <c r="AI41" i="45"/>
  <c r="AH41" i="45" s="1"/>
  <c r="AK41" i="45"/>
  <c r="AK41" i="48" l="1"/>
  <c r="AH41" i="48" s="1"/>
  <c r="AD42" i="48" s="1"/>
  <c r="B41" i="48"/>
  <c r="AF46" i="48"/>
  <c r="A45" i="48"/>
  <c r="AH41" i="51"/>
  <c r="AK42" i="51"/>
  <c r="AP50" i="51"/>
  <c r="AJ50" i="51"/>
  <c r="AK40" i="47"/>
  <c r="AI40" i="47"/>
  <c r="AI42" i="45"/>
  <c r="AH42" i="45" s="1"/>
  <c r="AK42" i="45"/>
  <c r="AF47" i="48" l="1"/>
  <c r="A46" i="48"/>
  <c r="B42" i="48"/>
  <c r="AN42" i="48"/>
  <c r="AN4" i="48" s="1"/>
  <c r="B54" i="48" s="1"/>
  <c r="AK42" i="48"/>
  <c r="AH42" i="51"/>
  <c r="AK43" i="51"/>
  <c r="AP51" i="51"/>
  <c r="AJ51" i="51"/>
  <c r="AI41" i="47"/>
  <c r="AH40" i="47"/>
  <c r="AK41" i="47" s="1"/>
  <c r="AI43" i="45"/>
  <c r="AH43" i="45" s="1"/>
  <c r="AK43" i="45"/>
  <c r="AF48" i="48" l="1"/>
  <c r="A47" i="48"/>
  <c r="AH43" i="51"/>
  <c r="AK44" i="51"/>
  <c r="AH51" i="51"/>
  <c r="AI42" i="47"/>
  <c r="AH41" i="47"/>
  <c r="AK42" i="47" s="1"/>
  <c r="AI44" i="45"/>
  <c r="AH44" i="45" s="1"/>
  <c r="AK44" i="45"/>
  <c r="AF49" i="48" l="1"/>
  <c r="A48" i="48"/>
  <c r="AK45" i="51"/>
  <c r="AH44" i="51"/>
  <c r="AI43" i="47"/>
  <c r="AH42" i="47"/>
  <c r="AK43" i="47" s="1"/>
  <c r="AI45" i="45"/>
  <c r="AH45" i="45" s="1"/>
  <c r="AK45" i="45"/>
  <c r="AF50" i="48" l="1"/>
  <c r="A50" i="48" s="1"/>
  <c r="A49" i="48"/>
  <c r="AK46" i="51"/>
  <c r="AH45" i="51"/>
  <c r="AI44" i="47"/>
  <c r="AH44" i="47" s="1"/>
  <c r="AH43" i="47"/>
  <c r="AK44" i="47" s="1"/>
  <c r="AI46" i="45"/>
  <c r="AH46" i="45" s="1"/>
  <c r="AK46" i="45"/>
  <c r="AH46" i="51" l="1"/>
  <c r="AK47" i="51"/>
  <c r="AI47" i="45"/>
  <c r="AH47" i="45" s="1"/>
  <c r="AK47" i="45"/>
  <c r="AK48" i="51" l="1"/>
  <c r="AH47" i="51"/>
  <c r="AI48" i="45"/>
  <c r="AH48" i="45" s="1"/>
  <c r="AK48" i="45"/>
  <c r="AH48" i="51" l="1"/>
  <c r="AK49" i="51"/>
  <c r="AI49" i="45"/>
  <c r="AH49" i="45" s="1"/>
  <c r="AK49" i="45"/>
  <c r="AK50" i="51" l="1"/>
  <c r="AH49" i="51"/>
  <c r="AK50" i="45"/>
  <c r="AI50" i="45"/>
  <c r="AH50" i="45" s="1"/>
  <c r="AH50" i="51" l="1"/>
  <c r="AK51" i="51"/>
  <c r="AI51" i="45"/>
  <c r="AH51" i="45" s="1"/>
  <c r="AK51" i="45"/>
  <c r="AC38" i="44" l="1"/>
  <c r="C62" i="44" l="1"/>
  <c r="B58" i="44"/>
  <c r="A58" i="44"/>
  <c r="AO51" i="44"/>
  <c r="AN51" i="44"/>
  <c r="AM51" i="44"/>
  <c r="AL51" i="44"/>
  <c r="C51" i="44"/>
  <c r="AO50" i="44"/>
  <c r="AN50" i="44"/>
  <c r="AM50" i="44"/>
  <c r="AL50" i="44"/>
  <c r="C50" i="44"/>
  <c r="AO49" i="44"/>
  <c r="AN49" i="44"/>
  <c r="AM49" i="44"/>
  <c r="AL49" i="44"/>
  <c r="C49" i="44"/>
  <c r="AO48" i="44"/>
  <c r="AN48" i="44"/>
  <c r="AM48" i="44"/>
  <c r="AL48" i="44"/>
  <c r="C48" i="44"/>
  <c r="AO47" i="44"/>
  <c r="AN47" i="44"/>
  <c r="AM47" i="44"/>
  <c r="AL47" i="44"/>
  <c r="C47" i="44"/>
  <c r="AO46" i="44"/>
  <c r="AN46" i="44"/>
  <c r="AM46" i="44"/>
  <c r="AL46" i="44"/>
  <c r="C46" i="44"/>
  <c r="AO45" i="44"/>
  <c r="AN45" i="44"/>
  <c r="AM45" i="44"/>
  <c r="AL45" i="44"/>
  <c r="C45" i="44"/>
  <c r="AO44" i="44"/>
  <c r="AN44" i="44"/>
  <c r="AM44" i="44"/>
  <c r="AL44" i="44"/>
  <c r="C44" i="44"/>
  <c r="AO43" i="44"/>
  <c r="AN43" i="44"/>
  <c r="AM43" i="44"/>
  <c r="AL43" i="44"/>
  <c r="C43" i="44"/>
  <c r="AO42" i="44"/>
  <c r="AN42" i="44"/>
  <c r="AM42" i="44"/>
  <c r="AL42" i="44"/>
  <c r="C42" i="44"/>
  <c r="AO41" i="44"/>
  <c r="AN41" i="44"/>
  <c r="AM41" i="44"/>
  <c r="AL41" i="44"/>
  <c r="C41" i="44"/>
  <c r="AO40" i="44"/>
  <c r="AN40" i="44"/>
  <c r="AM40" i="44"/>
  <c r="AL40" i="44"/>
  <c r="C40" i="44"/>
  <c r="AO39" i="44"/>
  <c r="AN39" i="44"/>
  <c r="AM39" i="44"/>
  <c r="AL39" i="44"/>
  <c r="C39" i="44"/>
  <c r="AO38" i="44"/>
  <c r="AN38" i="44"/>
  <c r="AM38" i="44"/>
  <c r="AL38" i="44"/>
  <c r="C38" i="44"/>
  <c r="AO37" i="44"/>
  <c r="AN37" i="44"/>
  <c r="AM37" i="44"/>
  <c r="AL37" i="44"/>
  <c r="C37" i="44"/>
  <c r="AO36" i="44"/>
  <c r="AN36" i="44"/>
  <c r="AM36" i="44"/>
  <c r="AL36" i="44"/>
  <c r="AJ36" i="44"/>
  <c r="AJ37" i="44" s="1"/>
  <c r="AJ38" i="44" s="1"/>
  <c r="AP39" i="44" s="1"/>
  <c r="AC36" i="44"/>
  <c r="C36" i="44"/>
  <c r="AO35" i="44"/>
  <c r="AN35" i="44"/>
  <c r="AM35" i="44"/>
  <c r="AL35" i="44"/>
  <c r="AC35" i="44"/>
  <c r="C35" i="44"/>
  <c r="AO34" i="44"/>
  <c r="AN34" i="44"/>
  <c r="AM34" i="44"/>
  <c r="AL34" i="44"/>
  <c r="AC34" i="44"/>
  <c r="C34" i="44"/>
  <c r="AN33" i="44"/>
  <c r="AM33" i="44"/>
  <c r="AL33" i="44"/>
  <c r="AC33" i="44"/>
  <c r="C33" i="44"/>
  <c r="B33" i="44"/>
  <c r="AO32" i="44"/>
  <c r="AM32" i="44"/>
  <c r="AL32" i="44"/>
  <c r="AC32" i="44"/>
  <c r="C32" i="44"/>
  <c r="AO31" i="44"/>
  <c r="AN31" i="44"/>
  <c r="AM31" i="44"/>
  <c r="AL31" i="44"/>
  <c r="AC31" i="44"/>
  <c r="C31" i="44"/>
  <c r="AO30" i="44"/>
  <c r="AN30" i="44"/>
  <c r="AM30" i="44"/>
  <c r="AL30" i="44"/>
  <c r="AC30" i="44"/>
  <c r="C30" i="44"/>
  <c r="AO29" i="44"/>
  <c r="AN29" i="44"/>
  <c r="AM29" i="44"/>
  <c r="AL29" i="44"/>
  <c r="AC29" i="44"/>
  <c r="C29" i="44"/>
  <c r="AO28" i="44"/>
  <c r="AN28" i="44"/>
  <c r="AM28" i="44"/>
  <c r="AL28" i="44"/>
  <c r="AC28" i="44"/>
  <c r="C28" i="44"/>
  <c r="AO27" i="44"/>
  <c r="AN27" i="44"/>
  <c r="AM27" i="44"/>
  <c r="AL27" i="44"/>
  <c r="AC27" i="44"/>
  <c r="C27" i="44"/>
  <c r="AO26" i="44"/>
  <c r="AN26" i="44"/>
  <c r="AM26" i="44"/>
  <c r="AL26" i="44"/>
  <c r="AC26" i="44"/>
  <c r="C26" i="44"/>
  <c r="AO25" i="44"/>
  <c r="AN25" i="44"/>
  <c r="AM25" i="44"/>
  <c r="AL25" i="44"/>
  <c r="AC25" i="44"/>
  <c r="C25" i="44"/>
  <c r="AO24" i="44"/>
  <c r="AN24" i="44"/>
  <c r="AM24" i="44"/>
  <c r="AL24" i="44"/>
  <c r="AC24" i="44"/>
  <c r="C24" i="44"/>
  <c r="AO23" i="44"/>
  <c r="AN23" i="44"/>
  <c r="AM23" i="44"/>
  <c r="AL23" i="44"/>
  <c r="AC23" i="44"/>
  <c r="C23" i="44"/>
  <c r="AO22" i="44"/>
  <c r="AN22" i="44"/>
  <c r="AM22" i="44"/>
  <c r="AL22" i="44"/>
  <c r="AC22" i="44"/>
  <c r="C22" i="44"/>
  <c r="AO21" i="44"/>
  <c r="AN21" i="44"/>
  <c r="AM21" i="44"/>
  <c r="AL21" i="44"/>
  <c r="AC21" i="44"/>
  <c r="C21" i="44"/>
  <c r="AO20" i="44"/>
  <c r="AN20" i="44"/>
  <c r="AM20" i="44"/>
  <c r="AL20" i="44"/>
  <c r="AC20" i="44"/>
  <c r="C20" i="44"/>
  <c r="AO19" i="44"/>
  <c r="AN19" i="44"/>
  <c r="AM19" i="44"/>
  <c r="AL19" i="44"/>
  <c r="AC19" i="44"/>
  <c r="C19" i="44"/>
  <c r="AO18" i="44"/>
  <c r="AN18" i="44"/>
  <c r="AM18" i="44"/>
  <c r="AL18" i="44"/>
  <c r="AC18" i="44"/>
  <c r="C18" i="44"/>
  <c r="AO17" i="44"/>
  <c r="AN17" i="44"/>
  <c r="AM17" i="44"/>
  <c r="AL17" i="44"/>
  <c r="AC17" i="44"/>
  <c r="C17" i="44"/>
  <c r="AO16" i="44"/>
  <c r="AN16" i="44"/>
  <c r="AM16" i="44"/>
  <c r="AL16" i="44"/>
  <c r="AC16" i="44"/>
  <c r="C16" i="44"/>
  <c r="AO15" i="44"/>
  <c r="AN15" i="44"/>
  <c r="AM15" i="44"/>
  <c r="AL15" i="44"/>
  <c r="AC15" i="44"/>
  <c r="C15" i="44"/>
  <c r="AO14" i="44"/>
  <c r="AN14" i="44"/>
  <c r="AM14" i="44"/>
  <c r="AL14" i="44"/>
  <c r="AC14" i="44"/>
  <c r="C14" i="44"/>
  <c r="AO13" i="44"/>
  <c r="AN13" i="44"/>
  <c r="AM13" i="44"/>
  <c r="AL13" i="44"/>
  <c r="AC13" i="44"/>
  <c r="C13" i="44"/>
  <c r="AO12" i="44"/>
  <c r="AN12" i="44"/>
  <c r="AJ12" i="44"/>
  <c r="AJ13" i="44" s="1"/>
  <c r="AC12" i="44"/>
  <c r="C12" i="44"/>
  <c r="AO11" i="44"/>
  <c r="AN11" i="44"/>
  <c r="AM11" i="44"/>
  <c r="AL11" i="44"/>
  <c r="C11" i="44"/>
  <c r="AO10" i="44"/>
  <c r="AN10" i="44"/>
  <c r="AM10" i="44"/>
  <c r="AL10" i="44"/>
  <c r="AC10" i="44"/>
  <c r="C10" i="44"/>
  <c r="AO9" i="44"/>
  <c r="AN9" i="44"/>
  <c r="AM9" i="44"/>
  <c r="AL9" i="44"/>
  <c r="AC9" i="44"/>
  <c r="C9" i="44"/>
  <c r="AO8" i="44"/>
  <c r="AN8" i="44"/>
  <c r="AM8" i="44"/>
  <c r="AL8" i="44"/>
  <c r="AC8" i="44"/>
  <c r="C8" i="44"/>
  <c r="AO7" i="44"/>
  <c r="AN7" i="44"/>
  <c r="AM7" i="44"/>
  <c r="AL7" i="44"/>
  <c r="AC7" i="44"/>
  <c r="C7" i="44"/>
  <c r="AO6" i="44"/>
  <c r="AN6" i="44"/>
  <c r="AM6" i="44"/>
  <c r="AL6" i="44"/>
  <c r="AJ6" i="44"/>
  <c r="AF6" i="44"/>
  <c r="AC6" i="44"/>
  <c r="C6" i="44"/>
  <c r="AO5" i="44"/>
  <c r="AN5" i="44"/>
  <c r="AM5" i="44"/>
  <c r="AL5" i="44"/>
  <c r="AJ5" i="44"/>
  <c r="AK5" i="44" s="1"/>
  <c r="AC5" i="44"/>
  <c r="AI5" i="44" s="1"/>
  <c r="AI6" i="44" s="1"/>
  <c r="AI7" i="44" s="1"/>
  <c r="AI8" i="44" s="1"/>
  <c r="AI9" i="44" s="1"/>
  <c r="AI10" i="44" s="1"/>
  <c r="C5" i="44"/>
  <c r="B5" i="44"/>
  <c r="A5" i="44"/>
  <c r="AH4" i="44"/>
  <c r="AI4" i="44" s="1"/>
  <c r="AJ14" i="44" l="1"/>
  <c r="AP14" i="44"/>
  <c r="AP38" i="44"/>
  <c r="AJ15" i="44"/>
  <c r="AP15" i="44"/>
  <c r="AJ7" i="44"/>
  <c r="AH5" i="44"/>
  <c r="AD6" i="44" s="1"/>
  <c r="B6" i="44" s="1"/>
  <c r="AF7" i="44"/>
  <c r="A6" i="44"/>
  <c r="AP37" i="44"/>
  <c r="AP13" i="44"/>
  <c r="AJ39" i="44"/>
  <c r="AK6" i="44" l="1"/>
  <c r="AP16" i="44"/>
  <c r="AJ16" i="44"/>
  <c r="AJ40" i="44"/>
  <c r="AP40" i="44"/>
  <c r="AF8" i="44"/>
  <c r="A7" i="44"/>
  <c r="AJ8" i="44"/>
  <c r="AH6" i="44"/>
  <c r="AD7" i="44" s="1"/>
  <c r="B7" i="44" s="1"/>
  <c r="C62" i="43"/>
  <c r="B58" i="43"/>
  <c r="A58" i="43"/>
  <c r="B56" i="43"/>
  <c r="AO51" i="43"/>
  <c r="AN51" i="43"/>
  <c r="AM51" i="43"/>
  <c r="AL51" i="43"/>
  <c r="C51" i="43"/>
  <c r="AO50" i="43"/>
  <c r="AN50" i="43"/>
  <c r="AM50" i="43"/>
  <c r="AL50" i="43"/>
  <c r="C50" i="43"/>
  <c r="AO49" i="43"/>
  <c r="AN49" i="43"/>
  <c r="AM49" i="43"/>
  <c r="AL49" i="43"/>
  <c r="C49" i="43"/>
  <c r="AO48" i="43"/>
  <c r="AN48" i="43"/>
  <c r="AM48" i="43"/>
  <c r="AL48" i="43"/>
  <c r="C48" i="43"/>
  <c r="AO47" i="43"/>
  <c r="AN47" i="43"/>
  <c r="AM47" i="43"/>
  <c r="AL47" i="43"/>
  <c r="C47" i="43"/>
  <c r="AO46" i="43"/>
  <c r="AN46" i="43"/>
  <c r="AM46" i="43"/>
  <c r="AL46" i="43"/>
  <c r="C46" i="43"/>
  <c r="AO45" i="43"/>
  <c r="AN45" i="43"/>
  <c r="AM45" i="43"/>
  <c r="AL45" i="43"/>
  <c r="C45" i="43"/>
  <c r="AO44" i="43"/>
  <c r="AN44" i="43"/>
  <c r="AM44" i="43"/>
  <c r="AL44" i="43"/>
  <c r="C44" i="43"/>
  <c r="AO43" i="43"/>
  <c r="AN43" i="43"/>
  <c r="AM43" i="43"/>
  <c r="AL43" i="43"/>
  <c r="C43" i="43"/>
  <c r="AO42" i="43"/>
  <c r="AN42" i="43"/>
  <c r="AM42" i="43"/>
  <c r="AL42" i="43"/>
  <c r="C42" i="43"/>
  <c r="AO41" i="43"/>
  <c r="AN41" i="43"/>
  <c r="AM41" i="43"/>
  <c r="AL41" i="43"/>
  <c r="C41" i="43"/>
  <c r="AO40" i="43"/>
  <c r="AN40" i="43"/>
  <c r="AM40" i="43"/>
  <c r="AL40" i="43"/>
  <c r="C40" i="43"/>
  <c r="AO39" i="43"/>
  <c r="AN39" i="43"/>
  <c r="AM39" i="43"/>
  <c r="AL39" i="43"/>
  <c r="C39" i="43"/>
  <c r="AO38" i="43"/>
  <c r="AN38" i="43"/>
  <c r="AM38" i="43"/>
  <c r="AL38" i="43"/>
  <c r="C38" i="43"/>
  <c r="AO37" i="43"/>
  <c r="AN37" i="43"/>
  <c r="AM37" i="43"/>
  <c r="AL37" i="43"/>
  <c r="C37" i="43"/>
  <c r="AO36" i="43"/>
  <c r="AN36" i="43"/>
  <c r="AM36" i="43"/>
  <c r="AL36" i="43"/>
  <c r="C36" i="43"/>
  <c r="AO35" i="43"/>
  <c r="AN35" i="43"/>
  <c r="AM35" i="43"/>
  <c r="AL35" i="43"/>
  <c r="C35" i="43"/>
  <c r="AM34" i="43"/>
  <c r="AL34" i="43"/>
  <c r="C34" i="43"/>
  <c r="AM33" i="43"/>
  <c r="AL33" i="43"/>
  <c r="C33" i="43"/>
  <c r="AO32" i="43"/>
  <c r="AN32" i="43"/>
  <c r="AM32" i="43"/>
  <c r="AL32" i="43"/>
  <c r="C32" i="43"/>
  <c r="AO31" i="43"/>
  <c r="AN31" i="43"/>
  <c r="AM31" i="43"/>
  <c r="AL31" i="43"/>
  <c r="C31" i="43"/>
  <c r="AM30" i="43"/>
  <c r="AL30" i="43"/>
  <c r="C30" i="43"/>
  <c r="AO29" i="43"/>
  <c r="AN29" i="43"/>
  <c r="AM29" i="43"/>
  <c r="AL29" i="43"/>
  <c r="C29" i="43"/>
  <c r="AO28" i="43"/>
  <c r="AN28" i="43"/>
  <c r="AM28" i="43"/>
  <c r="AL28" i="43"/>
  <c r="C28" i="43"/>
  <c r="AO27" i="43"/>
  <c r="AN27" i="43"/>
  <c r="AM27" i="43"/>
  <c r="AL27" i="43"/>
  <c r="C27" i="43"/>
  <c r="AO26" i="43"/>
  <c r="AN26" i="43"/>
  <c r="AM26" i="43"/>
  <c r="AL26" i="43"/>
  <c r="C26" i="43"/>
  <c r="AO25" i="43"/>
  <c r="AN25" i="43"/>
  <c r="AM25" i="43"/>
  <c r="AL25" i="43"/>
  <c r="C25" i="43"/>
  <c r="AO24" i="43"/>
  <c r="AN24" i="43"/>
  <c r="AM24" i="43"/>
  <c r="AL24" i="43"/>
  <c r="C24" i="43"/>
  <c r="AO23" i="43"/>
  <c r="AN23" i="43"/>
  <c r="AM23" i="43"/>
  <c r="AL23" i="43"/>
  <c r="C23" i="43"/>
  <c r="AO22" i="43"/>
  <c r="AN22" i="43"/>
  <c r="AM22" i="43"/>
  <c r="AL22" i="43"/>
  <c r="C22" i="43"/>
  <c r="AO21" i="43"/>
  <c r="AN21" i="43"/>
  <c r="AM21" i="43"/>
  <c r="AL21" i="43"/>
  <c r="C21" i="43"/>
  <c r="AO20" i="43"/>
  <c r="AN20" i="43"/>
  <c r="AM20" i="43"/>
  <c r="AL20" i="43"/>
  <c r="C20" i="43"/>
  <c r="AO19" i="43"/>
  <c r="AN19" i="43"/>
  <c r="AM19" i="43"/>
  <c r="AL19" i="43"/>
  <c r="C19" i="43"/>
  <c r="AO18" i="43"/>
  <c r="AN18" i="43"/>
  <c r="AM18" i="43"/>
  <c r="AL18" i="43"/>
  <c r="C18" i="43"/>
  <c r="AO17" i="43"/>
  <c r="AN17" i="43"/>
  <c r="AM17" i="43"/>
  <c r="AL17" i="43"/>
  <c r="C17" i="43"/>
  <c r="AO16" i="43"/>
  <c r="AN16" i="43"/>
  <c r="AM16" i="43"/>
  <c r="AL16" i="43"/>
  <c r="C16" i="43"/>
  <c r="AO15" i="43"/>
  <c r="AN15" i="43"/>
  <c r="AM15" i="43"/>
  <c r="AL15" i="43"/>
  <c r="C15" i="43"/>
  <c r="AO14" i="43"/>
  <c r="AN14" i="43"/>
  <c r="AM14" i="43"/>
  <c r="AL14" i="43"/>
  <c r="C14" i="43"/>
  <c r="AO13" i="43"/>
  <c r="AN13" i="43"/>
  <c r="AM13" i="43"/>
  <c r="AL13" i="43"/>
  <c r="C13" i="43"/>
  <c r="AO12" i="43"/>
  <c r="AN12" i="43"/>
  <c r="C12" i="43"/>
  <c r="AO11" i="43"/>
  <c r="AN11" i="43"/>
  <c r="AM11" i="43"/>
  <c r="AL11" i="43"/>
  <c r="C11" i="43"/>
  <c r="AO10" i="43"/>
  <c r="AN10" i="43"/>
  <c r="AM10" i="43"/>
  <c r="AL10" i="43"/>
  <c r="C10" i="43"/>
  <c r="AO9" i="43"/>
  <c r="AN9" i="43"/>
  <c r="C9" i="43"/>
  <c r="AO8" i="43"/>
  <c r="AN8" i="43"/>
  <c r="AM8" i="43"/>
  <c r="AL8" i="43"/>
  <c r="C8" i="43"/>
  <c r="AO7" i="43"/>
  <c r="AN7" i="43"/>
  <c r="AM7" i="43"/>
  <c r="AL7" i="43"/>
  <c r="C7" i="43"/>
  <c r="AO6" i="43"/>
  <c r="AN6" i="43"/>
  <c r="AM6" i="43"/>
  <c r="AL6" i="43"/>
  <c r="AJ6" i="43"/>
  <c r="AJ7" i="43" s="1"/>
  <c r="AF6" i="43"/>
  <c r="AF7" i="43" s="1"/>
  <c r="AF8" i="43" s="1"/>
  <c r="A8" i="43" s="1"/>
  <c r="C6" i="43"/>
  <c r="A6" i="43"/>
  <c r="AO5" i="43"/>
  <c r="AN5" i="43"/>
  <c r="AM5" i="43"/>
  <c r="AL5" i="43"/>
  <c r="AJ5" i="43"/>
  <c r="AK5" i="43" s="1"/>
  <c r="AC5" i="43"/>
  <c r="AI5" i="43" s="1"/>
  <c r="C5" i="43"/>
  <c r="B5" i="43"/>
  <c r="A5" i="43"/>
  <c r="AH4" i="43"/>
  <c r="AI4" i="43" s="1"/>
  <c r="AJ9" i="44" l="1"/>
  <c r="AH8" i="44" s="1"/>
  <c r="AD9" i="44" s="1"/>
  <c r="B9" i="44" s="1"/>
  <c r="AH7" i="44"/>
  <c r="AD8" i="44" s="1"/>
  <c r="B8" i="44" s="1"/>
  <c r="AJ17" i="44"/>
  <c r="AP17" i="44"/>
  <c r="AK7" i="44"/>
  <c r="AJ41" i="44"/>
  <c r="AP41" i="44"/>
  <c r="A8" i="44"/>
  <c r="AF9" i="44"/>
  <c r="AJ8" i="43"/>
  <c r="AJ9" i="43" s="1"/>
  <c r="AH5" i="43"/>
  <c r="AD6" i="43" s="1"/>
  <c r="AJ36" i="43"/>
  <c r="AF9" i="43"/>
  <c r="A7" i="43"/>
  <c r="AJ10" i="43"/>
  <c r="C62" i="42"/>
  <c r="B58" i="42"/>
  <c r="A58" i="42"/>
  <c r="B56" i="42"/>
  <c r="AO51" i="42"/>
  <c r="AN51" i="42"/>
  <c r="AM51" i="42"/>
  <c r="AL51" i="42"/>
  <c r="C51" i="42"/>
  <c r="AO50" i="42"/>
  <c r="AN50" i="42"/>
  <c r="AM50" i="42"/>
  <c r="AL50" i="42"/>
  <c r="C50" i="42"/>
  <c r="AO49" i="42"/>
  <c r="AN49" i="42"/>
  <c r="AM49" i="42"/>
  <c r="AL49" i="42"/>
  <c r="C49" i="42"/>
  <c r="AO48" i="42"/>
  <c r="AN48" i="42"/>
  <c r="AM48" i="42"/>
  <c r="AL48" i="42"/>
  <c r="C48" i="42"/>
  <c r="AO47" i="42"/>
  <c r="AN47" i="42"/>
  <c r="AM47" i="42"/>
  <c r="AL47" i="42"/>
  <c r="C47" i="42"/>
  <c r="AO46" i="42"/>
  <c r="AN46" i="42"/>
  <c r="AM46" i="42"/>
  <c r="AL46" i="42"/>
  <c r="C46" i="42"/>
  <c r="AO45" i="42"/>
  <c r="AN45" i="42"/>
  <c r="AM45" i="42"/>
  <c r="AL45" i="42"/>
  <c r="C45" i="42"/>
  <c r="AO44" i="42"/>
  <c r="AN44" i="42"/>
  <c r="AM44" i="42"/>
  <c r="AL44" i="42"/>
  <c r="C44" i="42"/>
  <c r="AO43" i="42"/>
  <c r="AN43" i="42"/>
  <c r="AM43" i="42"/>
  <c r="AL43" i="42"/>
  <c r="C43" i="42"/>
  <c r="AO42" i="42"/>
  <c r="AN42" i="42"/>
  <c r="AM42" i="42"/>
  <c r="AL42" i="42"/>
  <c r="C42" i="42"/>
  <c r="AO41" i="42"/>
  <c r="AN41" i="42"/>
  <c r="AM41" i="42"/>
  <c r="AL41" i="42"/>
  <c r="C41" i="42"/>
  <c r="AO40" i="42"/>
  <c r="AN40" i="42"/>
  <c r="AM40" i="42"/>
  <c r="AL40" i="42"/>
  <c r="C40" i="42"/>
  <c r="AO39" i="42"/>
  <c r="AN39" i="42"/>
  <c r="AM39" i="42"/>
  <c r="AL39" i="42"/>
  <c r="C39" i="42"/>
  <c r="AO38" i="42"/>
  <c r="AN38" i="42"/>
  <c r="AM38" i="42"/>
  <c r="AL38" i="42"/>
  <c r="C38" i="42"/>
  <c r="AO37" i="42"/>
  <c r="AN37" i="42"/>
  <c r="AM37" i="42"/>
  <c r="AL37" i="42"/>
  <c r="C37" i="42"/>
  <c r="AO36" i="42"/>
  <c r="AN36" i="42"/>
  <c r="AM36" i="42"/>
  <c r="AL36" i="42"/>
  <c r="C36" i="42"/>
  <c r="AO35" i="42"/>
  <c r="AN35" i="42"/>
  <c r="AM35" i="42"/>
  <c r="AL35" i="42"/>
  <c r="AJ35" i="42"/>
  <c r="AP36" i="42" s="1"/>
  <c r="AC35" i="42"/>
  <c r="C35" i="42"/>
  <c r="AO34" i="42"/>
  <c r="AN34" i="42"/>
  <c r="AM34" i="42"/>
  <c r="AL34" i="42"/>
  <c r="AJ34" i="42"/>
  <c r="AP35" i="42" s="1"/>
  <c r="C34" i="42"/>
  <c r="AO33" i="42"/>
  <c r="AN33" i="42"/>
  <c r="AM33" i="42"/>
  <c r="AL33" i="42"/>
  <c r="C33" i="42"/>
  <c r="AO32" i="42"/>
  <c r="AN32" i="42"/>
  <c r="AM32" i="42"/>
  <c r="AL32" i="42"/>
  <c r="AC32" i="42"/>
  <c r="C32" i="42"/>
  <c r="AO31" i="42"/>
  <c r="AN31" i="42"/>
  <c r="AM31" i="42"/>
  <c r="AL31" i="42"/>
  <c r="AC31" i="42"/>
  <c r="C31" i="42"/>
  <c r="AM30" i="42"/>
  <c r="AL30" i="42"/>
  <c r="AJ30" i="42"/>
  <c r="AJ31" i="42" s="1"/>
  <c r="AC30" i="42"/>
  <c r="C30" i="42"/>
  <c r="AO29" i="42"/>
  <c r="AN29" i="42"/>
  <c r="AM29" i="42"/>
  <c r="AL29" i="42"/>
  <c r="AC29" i="42"/>
  <c r="C29" i="42"/>
  <c r="AO28" i="42"/>
  <c r="AN28" i="42"/>
  <c r="AM28" i="42"/>
  <c r="AL28" i="42"/>
  <c r="AC28" i="42"/>
  <c r="C28" i="42"/>
  <c r="AO27" i="42"/>
  <c r="AN27" i="42"/>
  <c r="AM27" i="42"/>
  <c r="AL27" i="42"/>
  <c r="AC27" i="42"/>
  <c r="C27" i="42"/>
  <c r="AO26" i="42"/>
  <c r="AN26" i="42"/>
  <c r="AM26" i="42"/>
  <c r="AL26" i="42"/>
  <c r="AC26" i="42"/>
  <c r="C26" i="42"/>
  <c r="AO25" i="42"/>
  <c r="AN25" i="42"/>
  <c r="AM25" i="42"/>
  <c r="AL25" i="42"/>
  <c r="AC25" i="42"/>
  <c r="C25" i="42"/>
  <c r="AO24" i="42"/>
  <c r="AN24" i="42"/>
  <c r="AM24" i="42"/>
  <c r="AL24" i="42"/>
  <c r="AC24" i="42"/>
  <c r="C24" i="42"/>
  <c r="AO23" i="42"/>
  <c r="AN23" i="42"/>
  <c r="AM23" i="42"/>
  <c r="AL23" i="42"/>
  <c r="AC23" i="42"/>
  <c r="C23" i="42"/>
  <c r="AO22" i="42"/>
  <c r="AN22" i="42"/>
  <c r="AM22" i="42"/>
  <c r="AL22" i="42"/>
  <c r="AC22" i="42"/>
  <c r="C22" i="42"/>
  <c r="AO21" i="42"/>
  <c r="AN21" i="42"/>
  <c r="AM21" i="42"/>
  <c r="AL21" i="42"/>
  <c r="AC21" i="42"/>
  <c r="C21" i="42"/>
  <c r="AO20" i="42"/>
  <c r="AN20" i="42"/>
  <c r="AM20" i="42"/>
  <c r="AL20" i="42"/>
  <c r="AC20" i="42"/>
  <c r="C20" i="42"/>
  <c r="AO19" i="42"/>
  <c r="AN19" i="42"/>
  <c r="AM19" i="42"/>
  <c r="AL19" i="42"/>
  <c r="AC19" i="42"/>
  <c r="C19" i="42"/>
  <c r="AO18" i="42"/>
  <c r="AN18" i="42"/>
  <c r="AM18" i="42"/>
  <c r="AL18" i="42"/>
  <c r="AC18" i="42"/>
  <c r="C18" i="42"/>
  <c r="AO17" i="42"/>
  <c r="AN17" i="42"/>
  <c r="AM17" i="42"/>
  <c r="AL17" i="42"/>
  <c r="AC17" i="42"/>
  <c r="C17" i="42"/>
  <c r="AO16" i="42"/>
  <c r="AN16" i="42"/>
  <c r="AM16" i="42"/>
  <c r="AL16" i="42"/>
  <c r="AC16" i="42"/>
  <c r="C16" i="42"/>
  <c r="AO15" i="42"/>
  <c r="AN15" i="42"/>
  <c r="AM15" i="42"/>
  <c r="AL15" i="42"/>
  <c r="AC15" i="42"/>
  <c r="C15" i="42"/>
  <c r="AO14" i="42"/>
  <c r="AN14" i="42"/>
  <c r="AM14" i="42"/>
  <c r="AL14" i="42"/>
  <c r="AC14" i="42"/>
  <c r="C14" i="42"/>
  <c r="AO13" i="42"/>
  <c r="AN13" i="42"/>
  <c r="AM13" i="42"/>
  <c r="AL13" i="42"/>
  <c r="AC13" i="42"/>
  <c r="C13" i="42"/>
  <c r="AO12" i="42"/>
  <c r="AN12" i="42"/>
  <c r="AM12" i="42"/>
  <c r="AL12" i="42"/>
  <c r="AC12" i="42"/>
  <c r="C12" i="42"/>
  <c r="AO11" i="42"/>
  <c r="AN11" i="42"/>
  <c r="AM11" i="42"/>
  <c r="AL11" i="42"/>
  <c r="AC11" i="42"/>
  <c r="C11" i="42"/>
  <c r="AO10" i="42"/>
  <c r="AN10" i="42"/>
  <c r="AM10" i="42"/>
  <c r="AL10" i="42"/>
  <c r="AC10" i="42"/>
  <c r="C10" i="42"/>
  <c r="AO9" i="42"/>
  <c r="AN9" i="42"/>
  <c r="AJ9" i="42"/>
  <c r="AJ10" i="42" s="1"/>
  <c r="AC9" i="42"/>
  <c r="C9" i="42"/>
  <c r="AO8" i="42"/>
  <c r="AN8" i="42"/>
  <c r="AM8" i="42"/>
  <c r="AL8" i="42"/>
  <c r="AC8" i="42"/>
  <c r="C8" i="42"/>
  <c r="AO7" i="42"/>
  <c r="AN7" i="42"/>
  <c r="AM7" i="42"/>
  <c r="AL7" i="42"/>
  <c r="AC7" i="42"/>
  <c r="C7" i="42"/>
  <c r="AO6" i="42"/>
  <c r="AN6" i="42"/>
  <c r="AM6" i="42"/>
  <c r="AL6" i="42"/>
  <c r="AJ6" i="42"/>
  <c r="AJ7" i="42" s="1"/>
  <c r="AJ8" i="42" s="1"/>
  <c r="AF6" i="42"/>
  <c r="A6" i="42" s="1"/>
  <c r="AC6" i="42"/>
  <c r="C6" i="42"/>
  <c r="AO5" i="42"/>
  <c r="AN5" i="42"/>
  <c r="AM5" i="42"/>
  <c r="AL5" i="42"/>
  <c r="AK5" i="42"/>
  <c r="AJ5" i="42"/>
  <c r="AC5" i="42"/>
  <c r="AI5" i="42" s="1"/>
  <c r="C5" i="42"/>
  <c r="B5" i="42"/>
  <c r="A5" i="42"/>
  <c r="AH4" i="42"/>
  <c r="AI4" i="42" s="1"/>
  <c r="AP11" i="42" l="1"/>
  <c r="AJ11" i="42"/>
  <c r="AF7" i="42"/>
  <c r="AJ42" i="44"/>
  <c r="AP42" i="44"/>
  <c r="AK8" i="44"/>
  <c r="AJ18" i="44"/>
  <c r="AP18" i="44"/>
  <c r="AK9" i="44"/>
  <c r="AJ10" i="44"/>
  <c r="AH9" i="44" s="1"/>
  <c r="AD10" i="44" s="1"/>
  <c r="B10" i="44" s="1"/>
  <c r="A9" i="44"/>
  <c r="AF10" i="44"/>
  <c r="AJ33" i="43"/>
  <c r="B6" i="43"/>
  <c r="AC6" i="43"/>
  <c r="AI6" i="43" s="1"/>
  <c r="A9" i="43"/>
  <c r="AM9" i="43"/>
  <c r="AF10" i="43"/>
  <c r="AP11" i="43"/>
  <c r="AJ11" i="43"/>
  <c r="AK6" i="43"/>
  <c r="AP37" i="43"/>
  <c r="AJ37" i="43"/>
  <c r="AJ32" i="42"/>
  <c r="AF8" i="42"/>
  <c r="A7" i="42"/>
  <c r="AJ12" i="42"/>
  <c r="AP12" i="42"/>
  <c r="AP32" i="42"/>
  <c r="AI6" i="42"/>
  <c r="AI7" i="42" s="1"/>
  <c r="AH5" i="42"/>
  <c r="AD6" i="42" s="1"/>
  <c r="AH6" i="42"/>
  <c r="AD7" i="42" s="1"/>
  <c r="B7" i="42" s="1"/>
  <c r="AP31" i="42"/>
  <c r="AJ36" i="42"/>
  <c r="C45" i="41"/>
  <c r="C46" i="41"/>
  <c r="B42" i="41"/>
  <c r="A36" i="41"/>
  <c r="A41" i="40"/>
  <c r="B41" i="40"/>
  <c r="B40" i="40"/>
  <c r="B35" i="40"/>
  <c r="A35" i="40"/>
  <c r="A34" i="40"/>
  <c r="B34" i="40"/>
  <c r="C44" i="40"/>
  <c r="C43" i="40"/>
  <c r="C43" i="39"/>
  <c r="C44" i="39"/>
  <c r="C51" i="38"/>
  <c r="C50" i="38"/>
  <c r="C51" i="36"/>
  <c r="C50" i="36"/>
  <c r="C51" i="35"/>
  <c r="C50" i="35"/>
  <c r="C50" i="34"/>
  <c r="C51" i="33"/>
  <c r="C51" i="32"/>
  <c r="C52" i="32"/>
  <c r="C51" i="31"/>
  <c r="C52" i="31"/>
  <c r="C51" i="30"/>
  <c r="C52" i="30"/>
  <c r="C51" i="29"/>
  <c r="C52" i="29"/>
  <c r="C51" i="28"/>
  <c r="C52" i="28"/>
  <c r="C51" i="27"/>
  <c r="C52" i="27"/>
  <c r="C51" i="26"/>
  <c r="C52" i="26"/>
  <c r="C57" i="21"/>
  <c r="C58" i="21"/>
  <c r="C41" i="20"/>
  <c r="C42" i="20"/>
  <c r="AP43" i="44" l="1"/>
  <c r="AJ43" i="44"/>
  <c r="AF11" i="44"/>
  <c r="A10" i="44"/>
  <c r="AP19" i="44"/>
  <c r="AJ19" i="44"/>
  <c r="AJ11" i="44"/>
  <c r="AH10" i="44" s="1"/>
  <c r="AD11" i="44" s="1"/>
  <c r="AP11" i="44"/>
  <c r="AK10" i="44"/>
  <c r="AP34" i="43"/>
  <c r="AJ34" i="43"/>
  <c r="AH6" i="43"/>
  <c r="AD7" i="43" s="1"/>
  <c r="AP12" i="43"/>
  <c r="AJ12" i="43"/>
  <c r="AJ38" i="43"/>
  <c r="AP38" i="43"/>
  <c r="AF11" i="43"/>
  <c r="A10" i="43"/>
  <c r="AK6" i="42"/>
  <c r="B6" i="42"/>
  <c r="AI8" i="42"/>
  <c r="AH7" i="42"/>
  <c r="AD8" i="42" s="1"/>
  <c r="AJ13" i="42"/>
  <c r="AP13" i="42"/>
  <c r="AJ33" i="42"/>
  <c r="AP33" i="42"/>
  <c r="AK7" i="42"/>
  <c r="AP37" i="42"/>
  <c r="AJ37" i="42"/>
  <c r="AF9" i="42"/>
  <c r="A8" i="42"/>
  <c r="B11" i="44" l="1"/>
  <c r="AC11" i="44"/>
  <c r="AI11" i="44" s="1"/>
  <c r="AI12" i="44" s="1"/>
  <c r="AI13" i="44" s="1"/>
  <c r="AI14" i="44" s="1"/>
  <c r="AI15" i="44" s="1"/>
  <c r="AI16" i="44" s="1"/>
  <c r="AI17" i="44" s="1"/>
  <c r="AI18" i="44" s="1"/>
  <c r="AI19" i="44" s="1"/>
  <c r="AI20" i="44" s="1"/>
  <c r="AI21" i="44" s="1"/>
  <c r="AI22" i="44" s="1"/>
  <c r="AI23" i="44" s="1"/>
  <c r="AI24" i="44" s="1"/>
  <c r="AI25" i="44" s="1"/>
  <c r="AI26" i="44" s="1"/>
  <c r="AI27" i="44" s="1"/>
  <c r="AI28" i="44" s="1"/>
  <c r="AI29" i="44" s="1"/>
  <c r="AI30" i="44" s="1"/>
  <c r="AI31" i="44" s="1"/>
  <c r="AI32" i="44" s="1"/>
  <c r="AI33" i="44" s="1"/>
  <c r="AP12" i="44"/>
  <c r="AK11" i="44"/>
  <c r="AP44" i="44"/>
  <c r="AJ44" i="44"/>
  <c r="AF12" i="44"/>
  <c r="A11" i="44"/>
  <c r="AJ20" i="44"/>
  <c r="AP20" i="44"/>
  <c r="AP35" i="43"/>
  <c r="AJ35" i="43"/>
  <c r="AP36" i="43" s="1"/>
  <c r="B7" i="43"/>
  <c r="AC7" i="43"/>
  <c r="AI7" i="43" s="1"/>
  <c r="AK7" i="43"/>
  <c r="AJ39" i="43"/>
  <c r="AP39" i="43"/>
  <c r="AF12" i="43"/>
  <c r="AM12" i="43" s="1"/>
  <c r="AM4" i="43" s="1"/>
  <c r="A53" i="43" s="1"/>
  <c r="A11" i="43"/>
  <c r="AP13" i="43"/>
  <c r="AJ13" i="43"/>
  <c r="A9" i="42"/>
  <c r="AF10" i="42"/>
  <c r="AM9" i="42"/>
  <c r="AM4" i="42" s="1"/>
  <c r="A53" i="42" s="1"/>
  <c r="B8" i="42"/>
  <c r="AK8" i="42"/>
  <c r="AP38" i="42"/>
  <c r="AJ38" i="42"/>
  <c r="AI9" i="42"/>
  <c r="AI10" i="42" s="1"/>
  <c r="AI11" i="42" s="1"/>
  <c r="AI12" i="42" s="1"/>
  <c r="AI13" i="42" s="1"/>
  <c r="AI14" i="42" s="1"/>
  <c r="AI15" i="42" s="1"/>
  <c r="AI16" i="42" s="1"/>
  <c r="AI17" i="42" s="1"/>
  <c r="AI18" i="42" s="1"/>
  <c r="AI19" i="42" s="1"/>
  <c r="AI20" i="42" s="1"/>
  <c r="AI21" i="42" s="1"/>
  <c r="AI22" i="42" s="1"/>
  <c r="AI23" i="42" s="1"/>
  <c r="AI24" i="42" s="1"/>
  <c r="AI25" i="42" s="1"/>
  <c r="AI26" i="42" s="1"/>
  <c r="AI27" i="42" s="1"/>
  <c r="AI28" i="42" s="1"/>
  <c r="AI29" i="42" s="1"/>
  <c r="AI30" i="42" s="1"/>
  <c r="AH8" i="42"/>
  <c r="AD9" i="42" s="1"/>
  <c r="AP14" i="42"/>
  <c r="AJ14" i="42"/>
  <c r="AP34" i="42"/>
  <c r="AI34" i="44" l="1"/>
  <c r="AP21" i="44"/>
  <c r="AJ21" i="44"/>
  <c r="AM12" i="44"/>
  <c r="AM4" i="44" s="1"/>
  <c r="A53" i="44" s="1"/>
  <c r="AF13" i="44"/>
  <c r="A12" i="44"/>
  <c r="AH11" i="44"/>
  <c r="AD12" i="44" s="1"/>
  <c r="AJ45" i="44"/>
  <c r="AP45" i="44"/>
  <c r="AH7" i="43"/>
  <c r="AD8" i="43" s="1"/>
  <c r="AJ14" i="43"/>
  <c r="AP14" i="43"/>
  <c r="AJ40" i="43"/>
  <c r="AP40" i="43"/>
  <c r="AF13" i="43"/>
  <c r="A12" i="43"/>
  <c r="AI31" i="42"/>
  <c r="AH30" i="42"/>
  <c r="AD31" i="42" s="1"/>
  <c r="AP15" i="42"/>
  <c r="AJ15" i="42"/>
  <c r="AP39" i="42"/>
  <c r="AJ39" i="42"/>
  <c r="A10" i="42"/>
  <c r="AF11" i="42"/>
  <c r="AL9" i="42"/>
  <c r="AL4" i="42" s="1"/>
  <c r="B53" i="42" s="1"/>
  <c r="B9" i="42"/>
  <c r="AK9" i="42"/>
  <c r="AF14" i="44" l="1"/>
  <c r="A13" i="44"/>
  <c r="AI35" i="44"/>
  <c r="AP22" i="44"/>
  <c r="AJ22" i="44"/>
  <c r="AJ46" i="44"/>
  <c r="AP46" i="44"/>
  <c r="AL12" i="44"/>
  <c r="AL4" i="44" s="1"/>
  <c r="B53" i="44" s="1"/>
  <c r="B12" i="44"/>
  <c r="AK12" i="44"/>
  <c r="B8" i="43"/>
  <c r="AC8" i="43"/>
  <c r="AI8" i="43" s="1"/>
  <c r="AK8" i="43"/>
  <c r="AJ41" i="43"/>
  <c r="AP41" i="43"/>
  <c r="AF14" i="43"/>
  <c r="A13" i="43"/>
  <c r="AJ15" i="43"/>
  <c r="AP15" i="43"/>
  <c r="AJ16" i="42"/>
  <c r="AP16" i="42"/>
  <c r="AJ40" i="42"/>
  <c r="AP40" i="42"/>
  <c r="B31" i="42"/>
  <c r="AK31" i="42"/>
  <c r="AF12" i="42"/>
  <c r="A11" i="42"/>
  <c r="AH9" i="42"/>
  <c r="AD10" i="42" s="1"/>
  <c r="B10" i="42" s="1"/>
  <c r="AK10" i="42"/>
  <c r="AI32" i="42"/>
  <c r="AH32" i="42" s="1"/>
  <c r="AD33" i="42" s="1"/>
  <c r="AH31" i="42"/>
  <c r="AD32" i="42" s="1"/>
  <c r="AI36" i="44" l="1"/>
  <c r="AJ47" i="44"/>
  <c r="AP47" i="44"/>
  <c r="AH12" i="44"/>
  <c r="AD13" i="44" s="1"/>
  <c r="B13" i="44" s="1"/>
  <c r="AK13" i="44"/>
  <c r="A14" i="44"/>
  <c r="AF15" i="44"/>
  <c r="AJ23" i="44"/>
  <c r="AP23" i="44"/>
  <c r="AH8" i="43"/>
  <c r="AD9" i="43" s="1"/>
  <c r="A14" i="43"/>
  <c r="AF15" i="43"/>
  <c r="AJ42" i="43"/>
  <c r="AP42" i="43"/>
  <c r="AJ16" i="43"/>
  <c r="AP16" i="43"/>
  <c r="AJ41" i="42"/>
  <c r="AP41" i="42"/>
  <c r="B33" i="42"/>
  <c r="AC33" i="42"/>
  <c r="AI33" i="42" s="1"/>
  <c r="AH33" i="42" s="1"/>
  <c r="AD34" i="42" s="1"/>
  <c r="AK33" i="42"/>
  <c r="AJ17" i="42"/>
  <c r="AP17" i="42"/>
  <c r="AF13" i="42"/>
  <c r="A12" i="42"/>
  <c r="B32" i="42"/>
  <c r="AK32" i="42"/>
  <c r="AK11" i="42"/>
  <c r="AH10" i="42"/>
  <c r="AD11" i="42" s="1"/>
  <c r="B11" i="42" s="1"/>
  <c r="AJ24" i="44" l="1"/>
  <c r="AP24" i="44"/>
  <c r="AJ48" i="44"/>
  <c r="AP48" i="44"/>
  <c r="A15" i="44"/>
  <c r="AF16" i="44"/>
  <c r="AK14" i="44"/>
  <c r="AH13" i="44"/>
  <c r="AD14" i="44" s="1"/>
  <c r="B14" i="44" s="1"/>
  <c r="AH36" i="44"/>
  <c r="AD37" i="44" s="1"/>
  <c r="AC37" i="44" s="1"/>
  <c r="AI37" i="44" s="1"/>
  <c r="AH37" i="44" s="1"/>
  <c r="AC9" i="43"/>
  <c r="AI9" i="43" s="1"/>
  <c r="AK9" i="43"/>
  <c r="AL9" i="43"/>
  <c r="B9" i="43"/>
  <c r="AJ43" i="43"/>
  <c r="AP43" i="43"/>
  <c r="A15" i="43"/>
  <c r="AF16" i="43"/>
  <c r="AJ17" i="43"/>
  <c r="AP17" i="43"/>
  <c r="AH11" i="42"/>
  <c r="AD12" i="42" s="1"/>
  <c r="B12" i="42" s="1"/>
  <c r="AK12" i="42"/>
  <c r="B34" i="42"/>
  <c r="AC34" i="42"/>
  <c r="AI34" i="42" s="1"/>
  <c r="AK34" i="42"/>
  <c r="AP18" i="42"/>
  <c r="AJ18" i="42"/>
  <c r="A13" i="42"/>
  <c r="AF14" i="42"/>
  <c r="AP42" i="42"/>
  <c r="AJ42" i="42"/>
  <c r="AD38" i="44" l="1"/>
  <c r="B37" i="44"/>
  <c r="AK37" i="44"/>
  <c r="AJ25" i="44"/>
  <c r="AP25" i="44"/>
  <c r="AH14" i="44"/>
  <c r="AD15" i="44" s="1"/>
  <c r="B15" i="44" s="1"/>
  <c r="AK15" i="44"/>
  <c r="AJ49" i="44"/>
  <c r="AP49" i="44"/>
  <c r="AF17" i="44"/>
  <c r="A16" i="44"/>
  <c r="AH9" i="43"/>
  <c r="AD10" i="43" s="1"/>
  <c r="AK10" i="43" s="1"/>
  <c r="AJ18" i="43"/>
  <c r="AP18" i="43"/>
  <c r="AP44" i="43"/>
  <c r="AJ44" i="43"/>
  <c r="A16" i="43"/>
  <c r="AF17" i="43"/>
  <c r="AI35" i="42"/>
  <c r="AH35" i="42" s="1"/>
  <c r="AH34" i="42"/>
  <c r="AD35" i="42" s="1"/>
  <c r="AH12" i="42"/>
  <c r="AD13" i="42" s="1"/>
  <c r="B13" i="42" s="1"/>
  <c r="AK13" i="42"/>
  <c r="AJ43" i="42"/>
  <c r="AP43" i="42"/>
  <c r="AF15" i="42"/>
  <c r="A14" i="42"/>
  <c r="AP19" i="42"/>
  <c r="AJ19" i="42"/>
  <c r="AH15" i="44" l="1"/>
  <c r="AD16" i="44" s="1"/>
  <c r="B16" i="44" s="1"/>
  <c r="AK16" i="44"/>
  <c r="B38" i="44"/>
  <c r="AI38" i="44"/>
  <c r="AH38" i="44" s="1"/>
  <c r="AK38" i="44"/>
  <c r="A17" i="44"/>
  <c r="AF18" i="44"/>
  <c r="AJ50" i="44"/>
  <c r="AP50" i="44"/>
  <c r="AJ26" i="44"/>
  <c r="AP26" i="44"/>
  <c r="B10" i="43"/>
  <c r="AC10" i="43"/>
  <c r="AI10" i="43" s="1"/>
  <c r="AH10" i="43" s="1"/>
  <c r="AD11" i="43" s="1"/>
  <c r="AK11" i="43" s="1"/>
  <c r="A17" i="43"/>
  <c r="AF18" i="43"/>
  <c r="AP45" i="43"/>
  <c r="AJ45" i="43"/>
  <c r="AJ19" i="43"/>
  <c r="AP19" i="43"/>
  <c r="B35" i="42"/>
  <c r="E10" i="42" s="1"/>
  <c r="AD36" i="42"/>
  <c r="AK35" i="42"/>
  <c r="AH13" i="42"/>
  <c r="AD14" i="42" s="1"/>
  <c r="B14" i="42" s="1"/>
  <c r="AK14" i="42"/>
  <c r="AF16" i="42"/>
  <c r="A15" i="42"/>
  <c r="AJ20" i="42"/>
  <c r="AP20" i="42"/>
  <c r="AJ44" i="42"/>
  <c r="AP44" i="42"/>
  <c r="AH16" i="44" l="1"/>
  <c r="AD17" i="44" s="1"/>
  <c r="B17" i="44" s="1"/>
  <c r="AK17" i="44"/>
  <c r="AF19" i="44"/>
  <c r="A18" i="44"/>
  <c r="AJ27" i="44"/>
  <c r="AP27" i="44"/>
  <c r="AI39" i="44"/>
  <c r="AH39" i="44" s="1"/>
  <c r="AK39" i="44"/>
  <c r="AP51" i="44"/>
  <c r="AJ51" i="44"/>
  <c r="AH11" i="43"/>
  <c r="AD12" i="43" s="1"/>
  <c r="AL12" i="43" s="1"/>
  <c r="AL4" i="43" s="1"/>
  <c r="B53" i="43" s="1"/>
  <c r="B11" i="43"/>
  <c r="AC11" i="43"/>
  <c r="AI11" i="43" s="1"/>
  <c r="AP20" i="43"/>
  <c r="AJ20" i="43"/>
  <c r="AF19" i="43"/>
  <c r="A18" i="43"/>
  <c r="AJ46" i="43"/>
  <c r="AP46" i="43"/>
  <c r="AP45" i="42"/>
  <c r="AJ45" i="42"/>
  <c r="AC36" i="42"/>
  <c r="AI36" i="42" s="1"/>
  <c r="AH36" i="42" s="1"/>
  <c r="B36" i="42"/>
  <c r="AD37" i="42"/>
  <c r="AK36" i="42"/>
  <c r="A16" i="42"/>
  <c r="AF17" i="42"/>
  <c r="AH14" i="42"/>
  <c r="AD15" i="42" s="1"/>
  <c r="B15" i="42" s="1"/>
  <c r="AK15" i="42"/>
  <c r="AJ21" i="42"/>
  <c r="AP21" i="42"/>
  <c r="AH17" i="44" l="1"/>
  <c r="AD18" i="44" s="1"/>
  <c r="B18" i="44" s="1"/>
  <c r="AK18" i="44"/>
  <c r="AJ28" i="44"/>
  <c r="AP28" i="44"/>
  <c r="AI40" i="44"/>
  <c r="AH40" i="44" s="1"/>
  <c r="AK40" i="44"/>
  <c r="AF20" i="44"/>
  <c r="A19" i="44"/>
  <c r="AK12" i="43"/>
  <c r="AH12" i="43" s="1"/>
  <c r="AD13" i="43" s="1"/>
  <c r="B12" i="43"/>
  <c r="AC12" i="43"/>
  <c r="AI12" i="43" s="1"/>
  <c r="AJ47" i="43"/>
  <c r="AP47" i="43"/>
  <c r="AP21" i="43"/>
  <c r="AJ21" i="43"/>
  <c r="AF20" i="43"/>
  <c r="A19" i="43"/>
  <c r="AF18" i="42"/>
  <c r="A17" i="42"/>
  <c r="AH15" i="42"/>
  <c r="AD16" i="42" s="1"/>
  <c r="B16" i="42" s="1"/>
  <c r="AK16" i="42"/>
  <c r="AP46" i="42"/>
  <c r="AJ46" i="42"/>
  <c r="B37" i="42"/>
  <c r="AC37" i="42"/>
  <c r="AI37" i="42" s="1"/>
  <c r="AH37" i="42" s="1"/>
  <c r="AD38" i="42"/>
  <c r="AK37" i="42"/>
  <c r="AP22" i="42"/>
  <c r="AJ22" i="42"/>
  <c r="AP29" i="44" l="1"/>
  <c r="AJ29" i="44"/>
  <c r="AF21" i="44"/>
  <c r="A20" i="44"/>
  <c r="AI41" i="44"/>
  <c r="AH41" i="44" s="1"/>
  <c r="AK41" i="44"/>
  <c r="AH18" i="44"/>
  <c r="AD19" i="44" s="1"/>
  <c r="B19" i="44" s="1"/>
  <c r="AK19" i="44"/>
  <c r="AK13" i="43"/>
  <c r="AH13" i="43" s="1"/>
  <c r="AD14" i="43" s="1"/>
  <c r="B13" i="43"/>
  <c r="AC13" i="43"/>
  <c r="AI13" i="43" s="1"/>
  <c r="AF21" i="43"/>
  <c r="A20" i="43"/>
  <c r="AJ22" i="43"/>
  <c r="AP22" i="43"/>
  <c r="AJ48" i="43"/>
  <c r="AP48" i="43"/>
  <c r="AH16" i="42"/>
  <c r="AD17" i="42" s="1"/>
  <c r="B17" i="42" s="1"/>
  <c r="AK17" i="42"/>
  <c r="AJ23" i="42"/>
  <c r="AP23" i="42"/>
  <c r="AF19" i="42"/>
  <c r="A18" i="42"/>
  <c r="AC38" i="42"/>
  <c r="AI38" i="42" s="1"/>
  <c r="AH38" i="42" s="1"/>
  <c r="B38" i="42"/>
  <c r="AK38" i="42"/>
  <c r="AD39" i="42"/>
  <c r="AP47" i="42"/>
  <c r="AJ47" i="42"/>
  <c r="AP30" i="44" l="1"/>
  <c r="AJ30" i="44"/>
  <c r="AF22" i="44"/>
  <c r="A21" i="44"/>
  <c r="AH19" i="44"/>
  <c r="AD20" i="44" s="1"/>
  <c r="B20" i="44" s="1"/>
  <c r="AK20" i="44"/>
  <c r="AI42" i="44"/>
  <c r="AH42" i="44" s="1"/>
  <c r="AK42" i="44"/>
  <c r="AK14" i="43"/>
  <c r="AK15" i="43" s="1"/>
  <c r="B14" i="43"/>
  <c r="AC14" i="43"/>
  <c r="AI14" i="43" s="1"/>
  <c r="AH14" i="43"/>
  <c r="AD15" i="43" s="1"/>
  <c r="AJ49" i="43"/>
  <c r="AP49" i="43"/>
  <c r="AF22" i="43"/>
  <c r="A21" i="43"/>
  <c r="AJ23" i="43"/>
  <c r="AP23" i="43"/>
  <c r="AJ24" i="42"/>
  <c r="AP24" i="42"/>
  <c r="AJ48" i="42"/>
  <c r="AP48" i="42"/>
  <c r="AF20" i="42"/>
  <c r="A19" i="42"/>
  <c r="AC39" i="42"/>
  <c r="AI39" i="42" s="1"/>
  <c r="AH39" i="42" s="1"/>
  <c r="B39" i="42"/>
  <c r="AD40" i="42"/>
  <c r="AK39" i="42"/>
  <c r="AH17" i="42"/>
  <c r="AD18" i="42" s="1"/>
  <c r="B18" i="42" s="1"/>
  <c r="AK18" i="42"/>
  <c r="AJ31" i="44" l="1"/>
  <c r="AP31" i="44"/>
  <c r="AF23" i="44"/>
  <c r="A22" i="44"/>
  <c r="AI43" i="44"/>
  <c r="AH43" i="44" s="1"/>
  <c r="AK43" i="44"/>
  <c r="AH20" i="44"/>
  <c r="AD21" i="44" s="1"/>
  <c r="B21" i="44" s="1"/>
  <c r="AK21" i="44"/>
  <c r="B15" i="43"/>
  <c r="AC15" i="43"/>
  <c r="AI15" i="43" s="1"/>
  <c r="AH15" i="43"/>
  <c r="AD16" i="43" s="1"/>
  <c r="AK16" i="43"/>
  <c r="AJ50" i="43"/>
  <c r="AP50" i="43"/>
  <c r="AJ24" i="43"/>
  <c r="AP24" i="43"/>
  <c r="A22" i="43"/>
  <c r="AF23" i="43"/>
  <c r="AH18" i="42"/>
  <c r="AD19" i="42" s="1"/>
  <c r="B19" i="42" s="1"/>
  <c r="AK19" i="42"/>
  <c r="AC40" i="42"/>
  <c r="AI40" i="42" s="1"/>
  <c r="AH40" i="42" s="1"/>
  <c r="B40" i="42"/>
  <c r="AD41" i="42"/>
  <c r="AK40" i="42"/>
  <c r="AF21" i="42"/>
  <c r="A20" i="42"/>
  <c r="AJ49" i="42"/>
  <c r="AP49" i="42"/>
  <c r="AP25" i="42"/>
  <c r="AJ25" i="42"/>
  <c r="A23" i="44" l="1"/>
  <c r="AF24" i="44"/>
  <c r="AH21" i="44"/>
  <c r="AD22" i="44" s="1"/>
  <c r="B22" i="44" s="1"/>
  <c r="AK22" i="44"/>
  <c r="AI44" i="44"/>
  <c r="AH44" i="44" s="1"/>
  <c r="AK44" i="44"/>
  <c r="AJ32" i="44"/>
  <c r="AJ33" i="44" s="1"/>
  <c r="AP32" i="44"/>
  <c r="B16" i="43"/>
  <c r="AC16" i="43"/>
  <c r="AI16" i="43" s="1"/>
  <c r="AK17" i="43"/>
  <c r="AH16" i="43"/>
  <c r="AD17" i="43" s="1"/>
  <c r="A23" i="43"/>
  <c r="AF24" i="43"/>
  <c r="AP51" i="43"/>
  <c r="AJ51" i="43"/>
  <c r="AJ25" i="43"/>
  <c r="AP25" i="43"/>
  <c r="AH19" i="42"/>
  <c r="AD20" i="42" s="1"/>
  <c r="B20" i="42" s="1"/>
  <c r="AK20" i="42"/>
  <c r="A21" i="42"/>
  <c r="AF22" i="42"/>
  <c r="AJ50" i="42"/>
  <c r="AP50" i="42"/>
  <c r="B41" i="42"/>
  <c r="AC41" i="42"/>
  <c r="AI41" i="42" s="1"/>
  <c r="AH41" i="42" s="1"/>
  <c r="AK41" i="42"/>
  <c r="AD42" i="42"/>
  <c r="AJ26" i="42"/>
  <c r="AP26" i="42"/>
  <c r="AP34" i="44" l="1"/>
  <c r="AJ34" i="44"/>
  <c r="AF25" i="44"/>
  <c r="A24" i="44"/>
  <c r="AP33" i="44"/>
  <c r="AH22" i="44"/>
  <c r="AD23" i="44" s="1"/>
  <c r="B23" i="44" s="1"/>
  <c r="AK23" i="44"/>
  <c r="AI45" i="44"/>
  <c r="AH45" i="44" s="1"/>
  <c r="AK45" i="44"/>
  <c r="AH17" i="43"/>
  <c r="AD18" i="43" s="1"/>
  <c r="AK18" i="43"/>
  <c r="B17" i="43"/>
  <c r="AC17" i="43"/>
  <c r="AI17" i="43" s="1"/>
  <c r="AJ26" i="43"/>
  <c r="AP26" i="43"/>
  <c r="A24" i="43"/>
  <c r="AF25" i="43"/>
  <c r="AJ51" i="42"/>
  <c r="AP51" i="42"/>
  <c r="AF23" i="42"/>
  <c r="A22" i="42"/>
  <c r="B42" i="42"/>
  <c r="AC42" i="42"/>
  <c r="AI42" i="42" s="1"/>
  <c r="AH42" i="42" s="1"/>
  <c r="AK42" i="42"/>
  <c r="AD43" i="42"/>
  <c r="AH20" i="42"/>
  <c r="AD21" i="42" s="1"/>
  <c r="B21" i="42" s="1"/>
  <c r="AK21" i="42"/>
  <c r="AJ27" i="42"/>
  <c r="AP27" i="42"/>
  <c r="AJ35" i="44" l="1"/>
  <c r="AP35" i="44"/>
  <c r="AI46" i="44"/>
  <c r="AH46" i="44" s="1"/>
  <c r="AK46" i="44"/>
  <c r="AH23" i="44"/>
  <c r="AD24" i="44" s="1"/>
  <c r="B24" i="44" s="1"/>
  <c r="AK24" i="44"/>
  <c r="A25" i="44"/>
  <c r="AF26" i="44"/>
  <c r="B18" i="43"/>
  <c r="AC18" i="43"/>
  <c r="AI18" i="43" s="1"/>
  <c r="AK19" i="43"/>
  <c r="AH18" i="43"/>
  <c r="AD19" i="43" s="1"/>
  <c r="A25" i="43"/>
  <c r="AF26" i="43"/>
  <c r="AP27" i="43"/>
  <c r="AJ27" i="43"/>
  <c r="AF24" i="42"/>
  <c r="A23" i="42"/>
  <c r="AC43" i="42"/>
  <c r="AI43" i="42" s="1"/>
  <c r="AH43" i="42" s="1"/>
  <c r="B43" i="42"/>
  <c r="AD44" i="42"/>
  <c r="AK43" i="42"/>
  <c r="AK22" i="42"/>
  <c r="AH21" i="42"/>
  <c r="AD22" i="42" s="1"/>
  <c r="B22" i="42" s="1"/>
  <c r="AJ28" i="42"/>
  <c r="AP28" i="42"/>
  <c r="AP36" i="44" l="1"/>
  <c r="AH35" i="44"/>
  <c r="AD36" i="44" s="1"/>
  <c r="B36" i="44" s="1"/>
  <c r="A26" i="44"/>
  <c r="AF27" i="44"/>
  <c r="AH24" i="44"/>
  <c r="AD25" i="44" s="1"/>
  <c r="B25" i="44" s="1"/>
  <c r="AK25" i="44"/>
  <c r="AI47" i="44"/>
  <c r="AH47" i="44" s="1"/>
  <c r="AK47" i="44"/>
  <c r="B19" i="43"/>
  <c r="AC19" i="43"/>
  <c r="AI19" i="43" s="1"/>
  <c r="AK20" i="43"/>
  <c r="AH19" i="43"/>
  <c r="AD20" i="43" s="1"/>
  <c r="AF27" i="43"/>
  <c r="A26" i="43"/>
  <c r="AP28" i="43"/>
  <c r="AJ28" i="43"/>
  <c r="AC44" i="42"/>
  <c r="AI44" i="42" s="1"/>
  <c r="AH44" i="42" s="1"/>
  <c r="B44" i="42"/>
  <c r="AK44" i="42"/>
  <c r="AD45" i="42"/>
  <c r="AP29" i="42"/>
  <c r="AJ29" i="42"/>
  <c r="AK23" i="42"/>
  <c r="AH22" i="42"/>
  <c r="AD23" i="42" s="1"/>
  <c r="B23" i="42" s="1"/>
  <c r="A24" i="42"/>
  <c r="AF25" i="42"/>
  <c r="AK36" i="44" l="1"/>
  <c r="AI48" i="44"/>
  <c r="AH48" i="44" s="1"/>
  <c r="AK48" i="44"/>
  <c r="AH25" i="44"/>
  <c r="AD26" i="44" s="1"/>
  <c r="B26" i="44" s="1"/>
  <c r="AK26" i="44"/>
  <c r="AF28" i="44"/>
  <c r="A27" i="44"/>
  <c r="B20" i="43"/>
  <c r="AC20" i="43"/>
  <c r="AI20" i="43" s="1"/>
  <c r="AK21" i="43"/>
  <c r="AH20" i="43"/>
  <c r="AD21" i="43" s="1"/>
  <c r="AP29" i="43"/>
  <c r="AJ29" i="43"/>
  <c r="AJ30" i="43" s="1"/>
  <c r="AF28" i="43"/>
  <c r="A27" i="43"/>
  <c r="AH23" i="42"/>
  <c r="AD24" i="42" s="1"/>
  <c r="B24" i="42" s="1"/>
  <c r="AK24" i="42"/>
  <c r="A25" i="42"/>
  <c r="AF26" i="42"/>
  <c r="AC45" i="42"/>
  <c r="AI45" i="42" s="1"/>
  <c r="AH45" i="42" s="1"/>
  <c r="B45" i="42"/>
  <c r="AD46" i="42"/>
  <c r="AK45" i="42"/>
  <c r="AP30" i="42"/>
  <c r="AH29" i="42"/>
  <c r="AD30" i="42" s="1"/>
  <c r="AK30" i="42" s="1"/>
  <c r="AJ31" i="43" l="1"/>
  <c r="AP31" i="43"/>
  <c r="AH26" i="44"/>
  <c r="AD27" i="44" s="1"/>
  <c r="B27" i="44" s="1"/>
  <c r="AK27" i="44"/>
  <c r="AF29" i="44"/>
  <c r="A28" i="44"/>
  <c r="AI49" i="44"/>
  <c r="AH49" i="44" s="1"/>
  <c r="AK49" i="44"/>
  <c r="AK22" i="43"/>
  <c r="AH21" i="43"/>
  <c r="AD22" i="43" s="1"/>
  <c r="B21" i="43"/>
  <c r="AC21" i="43"/>
  <c r="AI21" i="43" s="1"/>
  <c r="AP30" i="43"/>
  <c r="AF29" i="43"/>
  <c r="A28" i="43"/>
  <c r="AC46" i="42"/>
  <c r="AI46" i="42" s="1"/>
  <c r="AH46" i="42" s="1"/>
  <c r="B46" i="42"/>
  <c r="AD47" i="42"/>
  <c r="AK46" i="42"/>
  <c r="AF27" i="42"/>
  <c r="A26" i="42"/>
  <c r="B30" i="42"/>
  <c r="AN30" i="42"/>
  <c r="AN4" i="42" s="1"/>
  <c r="B54" i="42" s="1"/>
  <c r="AH24" i="42"/>
  <c r="AD25" i="42" s="1"/>
  <c r="B25" i="42" s="1"/>
  <c r="AK25" i="42"/>
  <c r="AP32" i="43" l="1"/>
  <c r="AJ32" i="43"/>
  <c r="AP33" i="43" s="1"/>
  <c r="AI50" i="44"/>
  <c r="AH50" i="44" s="1"/>
  <c r="AK50" i="44"/>
  <c r="AK28" i="44"/>
  <c r="AH27" i="44"/>
  <c r="AD28" i="44" s="1"/>
  <c r="B28" i="44" s="1"/>
  <c r="AF30" i="44"/>
  <c r="A29" i="44"/>
  <c r="B22" i="43"/>
  <c r="AC22" i="43"/>
  <c r="AI22" i="43" s="1"/>
  <c r="AK23" i="43"/>
  <c r="AH22" i="43"/>
  <c r="AD23" i="43" s="1"/>
  <c r="AF30" i="43"/>
  <c r="A29" i="43"/>
  <c r="AC47" i="42"/>
  <c r="AI47" i="42" s="1"/>
  <c r="AH47" i="42" s="1"/>
  <c r="B47" i="42"/>
  <c r="AD48" i="42"/>
  <c r="AK47" i="42"/>
  <c r="AH25" i="42"/>
  <c r="AD26" i="42" s="1"/>
  <c r="B26" i="42" s="1"/>
  <c r="AK26" i="42"/>
  <c r="A27" i="42"/>
  <c r="AF28" i="42"/>
  <c r="AF31" i="44" l="1"/>
  <c r="A30" i="44"/>
  <c r="AH28" i="44"/>
  <c r="AD29" i="44" s="1"/>
  <c r="B29" i="44" s="1"/>
  <c r="AK29" i="44"/>
  <c r="AI51" i="44"/>
  <c r="AH51" i="44" s="1"/>
  <c r="AK51" i="44"/>
  <c r="B23" i="43"/>
  <c r="AC23" i="43"/>
  <c r="AI23" i="43" s="1"/>
  <c r="AH23" i="43"/>
  <c r="AD24" i="43" s="1"/>
  <c r="AK24" i="43"/>
  <c r="A30" i="43"/>
  <c r="AO30" i="43"/>
  <c r="AF31" i="43"/>
  <c r="B48" i="42"/>
  <c r="AC48" i="42"/>
  <c r="AI48" i="42" s="1"/>
  <c r="AH48" i="42" s="1"/>
  <c r="AD49" i="42"/>
  <c r="AK48" i="42"/>
  <c r="AF29" i="42"/>
  <c r="A28" i="42"/>
  <c r="AH26" i="42"/>
  <c r="AD27" i="42" s="1"/>
  <c r="B27" i="42" s="1"/>
  <c r="AK27" i="42"/>
  <c r="AH29" i="44" l="1"/>
  <c r="AD30" i="44" s="1"/>
  <c r="B30" i="44" s="1"/>
  <c r="AK30" i="44"/>
  <c r="A31" i="44"/>
  <c r="AF32" i="44"/>
  <c r="AH24" i="43"/>
  <c r="AD25" i="43" s="1"/>
  <c r="AK25" i="43"/>
  <c r="B24" i="43"/>
  <c r="AC24" i="43"/>
  <c r="AI24" i="43" s="1"/>
  <c r="A31" i="43"/>
  <c r="AF32" i="43"/>
  <c r="AH27" i="42"/>
  <c r="AD28" i="42" s="1"/>
  <c r="B28" i="42" s="1"/>
  <c r="AK28" i="42"/>
  <c r="AF30" i="42"/>
  <c r="A29" i="42"/>
  <c r="B49" i="42"/>
  <c r="AC49" i="42"/>
  <c r="AI49" i="42" s="1"/>
  <c r="AH49" i="42" s="1"/>
  <c r="AD50" i="42"/>
  <c r="AK49" i="42"/>
  <c r="A32" i="44" l="1"/>
  <c r="AF33" i="44"/>
  <c r="AH30" i="44"/>
  <c r="AD31" i="44" s="1"/>
  <c r="B31" i="44" s="1"/>
  <c r="AK31" i="44"/>
  <c r="AK26" i="43"/>
  <c r="AH25" i="43"/>
  <c r="AD26" i="43" s="1"/>
  <c r="B25" i="43"/>
  <c r="AC25" i="43"/>
  <c r="AI25" i="43" s="1"/>
  <c r="A32" i="43"/>
  <c r="AF33" i="43"/>
  <c r="AO33" i="43" s="1"/>
  <c r="B50" i="42"/>
  <c r="AC50" i="42"/>
  <c r="AI50" i="42" s="1"/>
  <c r="AH50" i="42" s="1"/>
  <c r="AD51" i="42"/>
  <c r="AK50" i="42"/>
  <c r="AO30" i="42"/>
  <c r="AO4" i="42" s="1"/>
  <c r="A54" i="42" s="1"/>
  <c r="AF31" i="42"/>
  <c r="A30" i="42"/>
  <c r="AH28" i="42"/>
  <c r="AD29" i="42" s="1"/>
  <c r="B29" i="42" s="1"/>
  <c r="AK29" i="42"/>
  <c r="AH31" i="44" l="1"/>
  <c r="AD32" i="44" s="1"/>
  <c r="AK32" i="44"/>
  <c r="A33" i="44"/>
  <c r="AF34" i="44"/>
  <c r="AO33" i="44"/>
  <c r="AO4" i="44" s="1"/>
  <c r="A54" i="44" s="1"/>
  <c r="AH26" i="43"/>
  <c r="AD27" i="43" s="1"/>
  <c r="AK27" i="43"/>
  <c r="B26" i="43"/>
  <c r="AC26" i="43"/>
  <c r="AI26" i="43" s="1"/>
  <c r="A33" i="43"/>
  <c r="AF34" i="43"/>
  <c r="AO34" i="43" s="1"/>
  <c r="AO4" i="43" s="1"/>
  <c r="A54" i="43" s="1"/>
  <c r="AF32" i="42"/>
  <c r="A31" i="42"/>
  <c r="AC51" i="42"/>
  <c r="AI51" i="42" s="1"/>
  <c r="AH51" i="42" s="1"/>
  <c r="B51" i="42"/>
  <c r="AK51" i="42"/>
  <c r="AH32" i="44" l="1"/>
  <c r="AK33" i="44"/>
  <c r="B32" i="44"/>
  <c r="AN32" i="44"/>
  <c r="AN4" i="44" s="1"/>
  <c r="B54" i="44" s="1"/>
  <c r="AF35" i="44"/>
  <c r="A34" i="44"/>
  <c r="AK28" i="43"/>
  <c r="AH27" i="43"/>
  <c r="AD28" i="43" s="1"/>
  <c r="B27" i="43"/>
  <c r="AC27" i="43"/>
  <c r="AI27" i="43" s="1"/>
  <c r="AF35" i="43"/>
  <c r="A34" i="43"/>
  <c r="A32" i="42"/>
  <c r="AF33" i="42"/>
  <c r="AH33" i="44" l="1"/>
  <c r="AD34" i="44" s="1"/>
  <c r="B34" i="44" s="1"/>
  <c r="AF36" i="44"/>
  <c r="A35" i="44"/>
  <c r="B28" i="43"/>
  <c r="AC28" i="43"/>
  <c r="AI28" i="43" s="1"/>
  <c r="AH28" i="43"/>
  <c r="AD29" i="43" s="1"/>
  <c r="AK29" i="43"/>
  <c r="AF36" i="43"/>
  <c r="A35" i="43"/>
  <c r="A33" i="42"/>
  <c r="AF34" i="42"/>
  <c r="AK34" i="44" l="1"/>
  <c r="AH34" i="44"/>
  <c r="AD35" i="44" s="1"/>
  <c r="B35" i="44" s="1"/>
  <c r="E10" i="44" s="1"/>
  <c r="AK35" i="44"/>
  <c r="AF37" i="44"/>
  <c r="A36" i="44"/>
  <c r="B29" i="43"/>
  <c r="AC29" i="43"/>
  <c r="AI29" i="43" s="1"/>
  <c r="AF37" i="43"/>
  <c r="A36" i="43"/>
  <c r="AF35" i="42"/>
  <c r="A34" i="42"/>
  <c r="A37" i="44" l="1"/>
  <c r="AF38" i="44"/>
  <c r="AH29" i="43"/>
  <c r="AD30" i="43" s="1"/>
  <c r="AF38" i="43"/>
  <c r="A37" i="43"/>
  <c r="A35" i="42"/>
  <c r="AF36" i="42"/>
  <c r="A38" i="44" l="1"/>
  <c r="AK30" i="43"/>
  <c r="AC30" i="43"/>
  <c r="AI30" i="43" s="1"/>
  <c r="B30" i="43"/>
  <c r="AN30" i="43"/>
  <c r="A38" i="43"/>
  <c r="AF39" i="43"/>
  <c r="AF37" i="42"/>
  <c r="A36" i="42"/>
  <c r="AH30" i="43" l="1"/>
  <c r="AD31" i="43" s="1"/>
  <c r="B31" i="43" s="1"/>
  <c r="AC31" i="43"/>
  <c r="AI31" i="43" s="1"/>
  <c r="AK31" i="43"/>
  <c r="A39" i="43"/>
  <c r="AF40" i="43"/>
  <c r="AF38" i="42"/>
  <c r="A37" i="42"/>
  <c r="AH31" i="43" l="1"/>
  <c r="AD32" i="43" s="1"/>
  <c r="A40" i="43"/>
  <c r="AF41" i="43"/>
  <c r="AF39" i="42"/>
  <c r="A38" i="42"/>
  <c r="B32" i="43" l="1"/>
  <c r="AC32" i="43"/>
  <c r="AI32" i="43" s="1"/>
  <c r="AK32" i="43"/>
  <c r="A41" i="43"/>
  <c r="AF42" i="43"/>
  <c r="AF40" i="42"/>
  <c r="A39" i="42"/>
  <c r="AH32" i="43" l="1"/>
  <c r="AN33" i="43"/>
  <c r="AK33" i="43"/>
  <c r="AF43" i="43"/>
  <c r="A42" i="43"/>
  <c r="A40" i="42"/>
  <c r="AF41" i="42"/>
  <c r="AC33" i="43" l="1"/>
  <c r="AI33" i="43" s="1"/>
  <c r="AH33" i="43" s="1"/>
  <c r="AD34" i="43" s="1"/>
  <c r="B33" i="43"/>
  <c r="AF44" i="43"/>
  <c r="A43" i="43"/>
  <c r="A41" i="42"/>
  <c r="AF42" i="42"/>
  <c r="AK34" i="43" l="1"/>
  <c r="AN34" i="43"/>
  <c r="AN4" i="43" s="1"/>
  <c r="B54" i="43" s="1"/>
  <c r="AC34" i="43"/>
  <c r="AI34" i="43" s="1"/>
  <c r="AH34" i="43" s="1"/>
  <c r="AD35" i="43" s="1"/>
  <c r="AC35" i="43" s="1"/>
  <c r="AI35" i="43" s="1"/>
  <c r="AH35" i="43" s="1"/>
  <c r="AD36" i="43" s="1"/>
  <c r="B34" i="43"/>
  <c r="AF45" i="43"/>
  <c r="A44" i="43"/>
  <c r="A42" i="42"/>
  <c r="AF43" i="42"/>
  <c r="AK35" i="43" l="1"/>
  <c r="B35" i="43"/>
  <c r="E10" i="43" s="1"/>
  <c r="AC36" i="43"/>
  <c r="AI36" i="43" s="1"/>
  <c r="AH36" i="43" s="1"/>
  <c r="AD37" i="43" s="1"/>
  <c r="B36" i="43"/>
  <c r="AK36" i="43"/>
  <c r="AF46" i="43"/>
  <c r="A45" i="43"/>
  <c r="A43" i="42"/>
  <c r="AF44" i="42"/>
  <c r="AI37" i="43" l="1"/>
  <c r="AH37" i="43" s="1"/>
  <c r="B37" i="43"/>
  <c r="AK37" i="43"/>
  <c r="AD38" i="43"/>
  <c r="A46" i="43"/>
  <c r="AF47" i="43"/>
  <c r="AF45" i="42"/>
  <c r="A44" i="42"/>
  <c r="AK38" i="43" l="1"/>
  <c r="AD39" i="43"/>
  <c r="B38" i="43"/>
  <c r="AC38" i="43"/>
  <c r="AI38" i="43" s="1"/>
  <c r="AH38" i="43" s="1"/>
  <c r="A47" i="43"/>
  <c r="AF48" i="43"/>
  <c r="AF46" i="42"/>
  <c r="A45" i="42"/>
  <c r="B39" i="43" l="1"/>
  <c r="AC39" i="43"/>
  <c r="AI39" i="43" s="1"/>
  <c r="AH39" i="43" s="1"/>
  <c r="AD40" i="43"/>
  <c r="AK39" i="43"/>
  <c r="A48" i="43"/>
  <c r="AF49" i="43"/>
  <c r="A46" i="42"/>
  <c r="AF47" i="42"/>
  <c r="AD41" i="43" l="1"/>
  <c r="AK40" i="43"/>
  <c r="B40" i="43"/>
  <c r="AC40" i="43"/>
  <c r="AI40" i="43" s="1"/>
  <c r="AH40" i="43" s="1"/>
  <c r="A49" i="43"/>
  <c r="AF50" i="43"/>
  <c r="AF48" i="42"/>
  <c r="A47" i="42"/>
  <c r="AC41" i="43" l="1"/>
  <c r="AI41" i="43" s="1"/>
  <c r="AH41" i="43" s="1"/>
  <c r="B41" i="43"/>
  <c r="AD42" i="43"/>
  <c r="AK41" i="43"/>
  <c r="AF51" i="43"/>
  <c r="A51" i="43" s="1"/>
  <c r="A50" i="43"/>
  <c r="A48" i="42"/>
  <c r="AF49" i="42"/>
  <c r="B42" i="43" l="1"/>
  <c r="AD43" i="43"/>
  <c r="AK42" i="43"/>
  <c r="AC42" i="43"/>
  <c r="AI42" i="43" s="1"/>
  <c r="AH42" i="43" s="1"/>
  <c r="A49" i="42"/>
  <c r="AF50" i="42"/>
  <c r="AK43" i="43" l="1"/>
  <c r="AC43" i="43"/>
  <c r="AI43" i="43" s="1"/>
  <c r="AH43" i="43" s="1"/>
  <c r="AD44" i="43"/>
  <c r="B43" i="43"/>
  <c r="AF51" i="42"/>
  <c r="A51" i="42" s="1"/>
  <c r="A50" i="42"/>
  <c r="AD45" i="43" l="1"/>
  <c r="B44" i="43"/>
  <c r="AC44" i="43"/>
  <c r="AI44" i="43" s="1"/>
  <c r="AH44" i="43" s="1"/>
  <c r="AK44" i="43"/>
  <c r="B45" i="43" l="1"/>
  <c r="AK45" i="43"/>
  <c r="AC45" i="43"/>
  <c r="AI45" i="43" s="1"/>
  <c r="AH45" i="43" s="1"/>
  <c r="AD46" i="43"/>
  <c r="B46" i="43" l="1"/>
  <c r="AK46" i="43"/>
  <c r="AD47" i="43"/>
  <c r="AC46" i="43"/>
  <c r="AI46" i="43" s="1"/>
  <c r="AH46" i="43" s="1"/>
  <c r="AC47" i="43" l="1"/>
  <c r="AI47" i="43" s="1"/>
  <c r="AH47" i="43" s="1"/>
  <c r="AD48" i="43"/>
  <c r="AK47" i="43"/>
  <c r="B47" i="43"/>
  <c r="AK48" i="43" l="1"/>
  <c r="AC48" i="43"/>
  <c r="AI48" i="43" s="1"/>
  <c r="AH48" i="43" s="1"/>
  <c r="AD49" i="43"/>
  <c r="B48" i="43"/>
  <c r="AC49" i="43" l="1"/>
  <c r="AI49" i="43" s="1"/>
  <c r="AH49" i="43" s="1"/>
  <c r="B49" i="43"/>
  <c r="AD50" i="43"/>
  <c r="AK49" i="43"/>
  <c r="AC50" i="43" l="1"/>
  <c r="AI50" i="43" s="1"/>
  <c r="AH50" i="43" s="1"/>
  <c r="AD51" i="43"/>
  <c r="AK50" i="43"/>
  <c r="B50" i="43"/>
  <c r="AC51" i="43" l="1"/>
  <c r="AI51" i="43" s="1"/>
  <c r="AH51" i="43" s="1"/>
  <c r="B51" i="43"/>
  <c r="AK51" i="43"/>
</calcChain>
</file>

<file path=xl/sharedStrings.xml><?xml version="1.0" encoding="utf-8"?>
<sst xmlns="http://schemas.openxmlformats.org/spreadsheetml/2006/main" count="1060" uniqueCount="92">
  <si>
    <t>ABCISADO</t>
  </si>
  <si>
    <t>COTA</t>
  </si>
  <si>
    <t>MAXIMETRO</t>
  </si>
  <si>
    <t>OBSERV.</t>
  </si>
  <si>
    <t>PRI</t>
  </si>
  <si>
    <t>PRD</t>
  </si>
  <si>
    <t>DETALLES</t>
  </si>
  <si>
    <t>Desbordamiento</t>
  </si>
  <si>
    <t>MIRA</t>
  </si>
  <si>
    <t>NAOI</t>
  </si>
  <si>
    <t>NAOD</t>
  </si>
  <si>
    <t xml:space="preserve">Cota cero (m) =  </t>
  </si>
  <si>
    <t xml:space="preserve">Lectura mira (m)= </t>
  </si>
  <si>
    <t xml:space="preserve">Cota inundacion  =   </t>
  </si>
  <si>
    <t>Cota BM (m) =</t>
  </si>
  <si>
    <t>CARTERA CALCULADA</t>
  </si>
  <si>
    <t>HOJA DE TRABAJO</t>
  </si>
  <si>
    <t>BM</t>
  </si>
  <si>
    <t>PERFIL TRANSVERSAL DE LA ESTACIÓN FLORENCIA, CORRIENTE HACHA, CÓDIGO 4403706</t>
  </si>
  <si>
    <t>S/BM</t>
  </si>
  <si>
    <t>S/5M</t>
  </si>
  <si>
    <t>S/BMAX</t>
  </si>
  <si>
    <t>S/4M</t>
  </si>
  <si>
    <t>S/3M</t>
  </si>
  <si>
    <t>S/BM AUX</t>
  </si>
  <si>
    <t>BM/AUX.</t>
  </si>
  <si>
    <t>S/5 M</t>
  </si>
  <si>
    <t>S/B. MAX.</t>
  </si>
  <si>
    <t>S/4 M</t>
  </si>
  <si>
    <t>S/3 M</t>
  </si>
  <si>
    <t xml:space="preserve"> </t>
  </si>
  <si>
    <t>BM AUX</t>
  </si>
  <si>
    <t>B/MAX</t>
  </si>
  <si>
    <t xml:space="preserve">BM </t>
  </si>
  <si>
    <t>BM LM:1.02</t>
  </si>
  <si>
    <t>PERFIL TRANSVERSAL DE LA ESTACIÓN FLORENCIA, CORRIENTE HACHA, CÓDIGO 44037060</t>
  </si>
  <si>
    <t>IDEAM                        CARTERA DE NIVELACION</t>
  </si>
  <si>
    <t>DATOS DE ALTURA Y DISTANCIA DE LA CARTERA</t>
  </si>
  <si>
    <t xml:space="preserve"> DESCRIPCION DEL TRABAJO:  PERFIL TRANSVERSAL Y VERIFICACION DE COTA CERO</t>
  </si>
  <si>
    <t>OCULTA</t>
  </si>
  <si>
    <t>Distanc (m)</t>
  </si>
  <si>
    <t>Vista Atrás (+)</t>
  </si>
  <si>
    <t>Vista Intemedia     ( - )</t>
  </si>
  <si>
    <t>Vista Adelante      ( - )</t>
  </si>
  <si>
    <t xml:space="preserve">Altura          </t>
  </si>
  <si>
    <t>Cota         (m)</t>
  </si>
  <si>
    <t>Distancia (m)</t>
  </si>
  <si>
    <t>Abscisa (m)</t>
  </si>
  <si>
    <t>Descripcion del Punto</t>
  </si>
  <si>
    <t xml:space="preserve">S/BM </t>
  </si>
  <si>
    <t>C-1</t>
  </si>
  <si>
    <t>C-2</t>
  </si>
  <si>
    <t>Lectura mira =  1.21 MTS</t>
  </si>
  <si>
    <t xml:space="preserve">Cota cero  =  </t>
  </si>
  <si>
    <t>Cota inundacion  =     (LM = 0.00 MTS  )</t>
  </si>
  <si>
    <t>Estación</t>
  </si>
  <si>
    <t>Corriente</t>
  </si>
  <si>
    <t>Código</t>
  </si>
  <si>
    <t>Levantó</t>
  </si>
  <si>
    <t>M.PALACIOS</t>
  </si>
  <si>
    <t>Dibujó</t>
  </si>
  <si>
    <t>J.RAMOS</t>
  </si>
  <si>
    <t>Revisó</t>
  </si>
  <si>
    <t>J.R.M.</t>
  </si>
  <si>
    <t>Fecha</t>
  </si>
  <si>
    <t>FLORENCIA</t>
  </si>
  <si>
    <t>RIO HACHA</t>
  </si>
  <si>
    <t>PERFIL TRANSVERSAL DE LA ESTACIÓN: FLORENCIA, CORRIENTE: RIO HACHA, CÓDIGO: 44037060</t>
  </si>
  <si>
    <t>Corriente:RIO HACHA - Estación:FLORENCIA Cód:44037060 - Levantó: M.PALACIOS - Fecha:30/01/2017</t>
  </si>
  <si>
    <t>A. RAMIREZ</t>
  </si>
  <si>
    <t>Corriente:RIO HACHA - Estación:FLORENCIA Cód:44037060 - Levantó: A. RAMIREZ - Fecha:21/03/2017</t>
  </si>
  <si>
    <t>PALACIOS</t>
  </si>
  <si>
    <t>Corriente:RIO HACHA - Estación:FLORENCIA Cód:44037060 - Levantó: PALACIOS - Fecha:11/09/2017</t>
  </si>
  <si>
    <t>Lectura mira =  1.07 MTS</t>
  </si>
  <si>
    <t>Lectura mira =  1.16 MTS</t>
  </si>
  <si>
    <t>Lectura mira =  1.22 MTS</t>
  </si>
  <si>
    <t>C-3</t>
  </si>
  <si>
    <t>C-4</t>
  </si>
  <si>
    <t>Lectura mira =  0.40 MTS</t>
  </si>
  <si>
    <t>Corriente:RIO HACHA - Estación:FLORENCIA Cód:44037060 - Levantó: A. RAMIREZ - Fecha:19/07/2018</t>
  </si>
  <si>
    <t>Corriente:RIO HACHA - Estación:FLORENCIA Cód:44037060 - Levantó: PALACIOS - Fecha:4/04/2018</t>
  </si>
  <si>
    <t>Lectura mira =  0.20 MTS</t>
  </si>
  <si>
    <t>D.CORTES</t>
  </si>
  <si>
    <t>Corriente:RIO HACHA - Estación:FLORENCIA Cód:44037060 - Levantó: D.CORTES - Fecha:24/05/2019</t>
  </si>
  <si>
    <t>9Corriente:RIO HACHA - Estación:FLORENCIA Cód:44037060 - Levantó: J. OCAMPO - Fecha:13/03/2019</t>
  </si>
  <si>
    <t>9Corriente:RIO HACHA - Estación:FLORENCIA Cód:44037060 - Levantó: GUEVARA - Fecha:20/07/2019</t>
  </si>
  <si>
    <t>Lectura mira =  2.45 MTS</t>
  </si>
  <si>
    <t>E. TAMAYO</t>
  </si>
  <si>
    <t>J. OCAMPO</t>
  </si>
  <si>
    <t>Corriente:RIO HACHA - Estación:FLORENCIA Cód:44037060 - Levantó: E. TAMAYO - Fecha:4/03/2020</t>
  </si>
  <si>
    <t>Lectura mira =  1.82 MTS</t>
  </si>
  <si>
    <t>J. CALDERÓN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</si>
</sst>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#,##0.000"/>
  </numFmts>
  <fonts count="3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5"/>
      <name val="Arial"/>
      <family val="2"/>
    </font>
    <font>
      <sz val="9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61"/>
      <name val="Arial"/>
      <family val="2"/>
    </font>
    <font>
      <sz val="10"/>
      <name val="Arial"/>
      <family val="2"/>
    </font>
    <font>
      <b/>
      <sz val="16"/>
      <color indexed="48"/>
      <name val="Arial"/>
      <family val="2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sz val="11"/>
      <name val="Arial"/>
      <family val="2"/>
    </font>
    <font>
      <b/>
      <sz val="10"/>
      <color indexed="56"/>
      <name val="Arial"/>
      <family val="2"/>
    </font>
    <font>
      <sz val="14"/>
      <name val="Arial"/>
      <family val="2"/>
    </font>
    <font>
      <b/>
      <sz val="10"/>
      <color indexed="48"/>
      <name val="Arial"/>
      <family val="2"/>
    </font>
    <font>
      <sz val="8"/>
      <name val="Arial"/>
      <family val="2"/>
    </font>
    <font>
      <b/>
      <sz val="10"/>
      <color indexed="18"/>
      <name val="Arial"/>
      <family val="2"/>
    </font>
    <font>
      <b/>
      <sz val="12"/>
      <color indexed="18"/>
      <name val="Arial"/>
      <family val="2"/>
    </font>
    <font>
      <b/>
      <sz val="9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0070C0"/>
      <name val="Arial"/>
      <family val="2"/>
    </font>
    <font>
      <b/>
      <sz val="10"/>
      <color rgb="FF0000CC"/>
      <name val="Arial"/>
      <family val="2"/>
    </font>
    <font>
      <b/>
      <i/>
      <sz val="16"/>
      <color indexed="48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9"/>
      <color indexed="10"/>
      <name val="Arial"/>
      <family val="2"/>
    </font>
    <font>
      <b/>
      <sz val="14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0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2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10" fillId="0" borderId="0" xfId="0" applyFont="1"/>
    <xf numFmtId="0" fontId="9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2" fontId="12" fillId="0" borderId="8" xfId="0" applyNumberFormat="1" applyFont="1" applyBorder="1" applyAlignment="1">
      <alignment horizontal="center"/>
    </xf>
    <xf numFmtId="2" fontId="12" fillId="0" borderId="9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4" fontId="6" fillId="2" borderId="10" xfId="0" applyNumberFormat="1" applyFont="1" applyFill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2" fontId="12" fillId="0" borderId="12" xfId="0" applyNumberFormat="1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2" fontId="14" fillId="0" borderId="0" xfId="0" applyNumberFormat="1" applyFont="1" applyAlignment="1">
      <alignment horizontal="left"/>
    </xf>
    <xf numFmtId="0" fontId="5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64" fontId="12" fillId="0" borderId="6" xfId="0" applyNumberFormat="1" applyFont="1" applyBorder="1" applyAlignment="1">
      <alignment horizontal="center"/>
    </xf>
    <xf numFmtId="2" fontId="13" fillId="0" borderId="10" xfId="0" applyNumberFormat="1" applyFont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0" fillId="0" borderId="10" xfId="0" applyNumberFormat="1" applyBorder="1"/>
    <xf numFmtId="164" fontId="12" fillId="0" borderId="18" xfId="0" applyNumberFormat="1" applyFont="1" applyBorder="1" applyAlignment="1">
      <alignment horizontal="center"/>
    </xf>
    <xf numFmtId="2" fontId="12" fillId="0" borderId="19" xfId="0" applyNumberFormat="1" applyFont="1" applyBorder="1" applyAlignment="1">
      <alignment horizontal="center"/>
    </xf>
    <xf numFmtId="164" fontId="12" fillId="2" borderId="10" xfId="0" applyNumberFormat="1" applyFont="1" applyFill="1" applyBorder="1" applyAlignment="1">
      <alignment horizontal="center"/>
    </xf>
    <xf numFmtId="164" fontId="12" fillId="0" borderId="20" xfId="0" applyNumberFormat="1" applyFont="1" applyBorder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64" fontId="10" fillId="3" borderId="10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/>
    </xf>
    <xf numFmtId="2" fontId="10" fillId="0" borderId="23" xfId="0" applyNumberFormat="1" applyFont="1" applyBorder="1" applyAlignment="1">
      <alignment horizontal="center"/>
    </xf>
    <xf numFmtId="164" fontId="10" fillId="0" borderId="24" xfId="0" applyNumberFormat="1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2" fontId="10" fillId="0" borderId="9" xfId="0" applyNumberFormat="1" applyFont="1" applyBorder="1" applyAlignment="1">
      <alignment horizontal="center"/>
    </xf>
    <xf numFmtId="164" fontId="10" fillId="0" borderId="26" xfId="0" applyNumberFormat="1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164" fontId="12" fillId="0" borderId="26" xfId="0" applyNumberFormat="1" applyFont="1" applyBorder="1" applyAlignment="1">
      <alignment horizontal="center"/>
    </xf>
    <xf numFmtId="164" fontId="10" fillId="0" borderId="25" xfId="0" applyNumberFormat="1" applyFont="1" applyBorder="1" applyAlignment="1">
      <alignment horizontal="center"/>
    </xf>
    <xf numFmtId="0" fontId="0" fillId="4" borderId="0" xfId="0" applyFill="1"/>
    <xf numFmtId="0" fontId="16" fillId="4" borderId="0" xfId="0" applyFont="1" applyFill="1"/>
    <xf numFmtId="0" fontId="17" fillId="0" borderId="25" xfId="0" applyFont="1" applyBorder="1" applyAlignment="1">
      <alignment horizontal="center"/>
    </xf>
    <xf numFmtId="0" fontId="16" fillId="0" borderId="0" xfId="0" applyFont="1" applyFill="1"/>
    <xf numFmtId="0" fontId="0" fillId="0" borderId="0" xfId="0" applyFill="1"/>
    <xf numFmtId="0" fontId="12" fillId="0" borderId="0" xfId="0" applyFont="1"/>
    <xf numFmtId="2" fontId="12" fillId="0" borderId="23" xfId="0" applyNumberFormat="1" applyFont="1" applyBorder="1" applyAlignment="1">
      <alignment horizontal="center"/>
    </xf>
    <xf numFmtId="164" fontId="12" fillId="0" borderId="24" xfId="0" applyNumberFormat="1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2" fontId="20" fillId="0" borderId="10" xfId="0" applyNumberFormat="1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164" fontId="5" fillId="0" borderId="27" xfId="0" applyNumberFormat="1" applyFont="1" applyBorder="1" applyAlignment="1">
      <alignment horizontal="center"/>
    </xf>
    <xf numFmtId="2" fontId="12" fillId="0" borderId="27" xfId="0" applyNumberFormat="1" applyFont="1" applyBorder="1" applyAlignment="1">
      <alignment horizontal="center"/>
    </xf>
    <xf numFmtId="164" fontId="12" fillId="3" borderId="27" xfId="0" applyNumberFormat="1" applyFont="1" applyFill="1" applyBorder="1" applyAlignment="1">
      <alignment horizontal="center"/>
    </xf>
    <xf numFmtId="0" fontId="12" fillId="0" borderId="27" xfId="0" applyFont="1" applyBorder="1" applyAlignment="1">
      <alignment horizontal="center"/>
    </xf>
    <xf numFmtId="164" fontId="12" fillId="0" borderId="27" xfId="0" applyNumberFormat="1" applyFont="1" applyBorder="1" applyAlignment="1">
      <alignment horizontal="center"/>
    </xf>
    <xf numFmtId="2" fontId="10" fillId="0" borderId="27" xfId="0" applyNumberFormat="1" applyFont="1" applyBorder="1" applyAlignment="1">
      <alignment horizontal="center"/>
    </xf>
    <xf numFmtId="164" fontId="10" fillId="0" borderId="27" xfId="0" applyNumberFormat="1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0" fillId="0" borderId="27" xfId="0" applyBorder="1"/>
    <xf numFmtId="0" fontId="15" fillId="0" borderId="27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2" fontId="4" fillId="0" borderId="27" xfId="0" applyNumberFormat="1" applyFont="1" applyBorder="1" applyAlignment="1">
      <alignment horizontal="center"/>
    </xf>
    <xf numFmtId="164" fontId="4" fillId="0" borderId="27" xfId="0" applyNumberFormat="1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2" fontId="12" fillId="0" borderId="21" xfId="0" applyNumberFormat="1" applyFont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164" fontId="2" fillId="0" borderId="26" xfId="0" applyNumberFormat="1" applyFont="1" applyBorder="1" applyAlignment="1">
      <alignment horizontal="center"/>
    </xf>
    <xf numFmtId="2" fontId="21" fillId="0" borderId="1" xfId="0" applyNumberFormat="1" applyFont="1" applyBorder="1" applyAlignment="1">
      <alignment horizontal="center"/>
    </xf>
    <xf numFmtId="164" fontId="21" fillId="0" borderId="6" xfId="0" applyNumberFormat="1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2" fillId="0" borderId="0" xfId="1" applyProtection="1">
      <protection locked="0"/>
    </xf>
    <xf numFmtId="0" fontId="12" fillId="0" borderId="0" xfId="1" applyFont="1" applyProtection="1">
      <protection locked="0"/>
    </xf>
    <xf numFmtId="0" fontId="2" fillId="0" borderId="0" xfId="1" applyProtection="1"/>
    <xf numFmtId="0" fontId="12" fillId="0" borderId="39" xfId="1" applyFont="1" applyBorder="1" applyAlignment="1" applyProtection="1">
      <alignment horizontal="center" wrapText="1"/>
      <protection locked="0"/>
    </xf>
    <xf numFmtId="0" fontId="12" fillId="0" borderId="40" xfId="1" applyFont="1" applyBorder="1" applyAlignment="1" applyProtection="1">
      <alignment horizontal="center" wrapText="1"/>
      <protection locked="0"/>
    </xf>
    <xf numFmtId="2" fontId="12" fillId="0" borderId="40" xfId="1" applyNumberFormat="1" applyFont="1" applyFill="1" applyBorder="1" applyAlignment="1" applyProtection="1">
      <alignment horizontal="center" wrapText="1"/>
      <protection locked="0"/>
    </xf>
    <xf numFmtId="0" fontId="12" fillId="0" borderId="41" xfId="1" applyFont="1" applyFill="1" applyBorder="1" applyAlignment="1" applyProtection="1">
      <alignment horizontal="center" wrapText="1"/>
      <protection locked="0"/>
    </xf>
    <xf numFmtId="165" fontId="12" fillId="0" borderId="20" xfId="1" applyNumberFormat="1" applyFont="1" applyFill="1" applyBorder="1" applyAlignment="1" applyProtection="1">
      <alignment horizontal="center" wrapText="1"/>
    </xf>
    <xf numFmtId="165" fontId="12" fillId="0" borderId="0" xfId="1" applyNumberFormat="1" applyFont="1" applyFill="1" applyBorder="1" applyAlignment="1" applyProtection="1">
      <alignment horizontal="center" wrapText="1"/>
    </xf>
    <xf numFmtId="0" fontId="2" fillId="0" borderId="0" xfId="1" applyFont="1" applyProtection="1"/>
    <xf numFmtId="164" fontId="2" fillId="0" borderId="9" xfId="1" applyNumberFormat="1" applyBorder="1" applyProtection="1"/>
    <xf numFmtId="164" fontId="2" fillId="0" borderId="27" xfId="1" applyNumberFormat="1" applyBorder="1" applyProtection="1"/>
    <xf numFmtId="0" fontId="12" fillId="0" borderId="26" xfId="1" applyFont="1" applyBorder="1" applyProtection="1"/>
    <xf numFmtId="0" fontId="6" fillId="0" borderId="8" xfId="1" applyFont="1" applyBorder="1" applyProtection="1">
      <protection locked="0"/>
    </xf>
    <xf numFmtId="4" fontId="27" fillId="0" borderId="33" xfId="1" applyNumberFormat="1" applyFont="1" applyBorder="1" applyProtection="1">
      <protection locked="0"/>
    </xf>
    <xf numFmtId="165" fontId="13" fillId="0" borderId="33" xfId="1" applyNumberFormat="1" applyFont="1" applyBorder="1" applyProtection="1">
      <protection locked="0"/>
    </xf>
    <xf numFmtId="165" fontId="27" fillId="0" borderId="33" xfId="1" applyNumberFormat="1" applyFont="1" applyBorder="1" applyProtection="1">
      <protection locked="0"/>
    </xf>
    <xf numFmtId="165" fontId="28" fillId="0" borderId="33" xfId="1" applyNumberFormat="1" applyFont="1" applyBorder="1" applyProtection="1">
      <protection locked="0"/>
    </xf>
    <xf numFmtId="165" fontId="6" fillId="0" borderId="33" xfId="1" applyNumberFormat="1" applyFont="1" applyBorder="1" applyProtection="1"/>
    <xf numFmtId="165" fontId="6" fillId="0" borderId="33" xfId="1" applyNumberFormat="1" applyFont="1" applyBorder="1" applyProtection="1">
      <protection locked="0"/>
    </xf>
    <xf numFmtId="2" fontId="27" fillId="0" borderId="33" xfId="1" applyNumberFormat="1" applyFont="1" applyBorder="1" applyProtection="1">
      <protection locked="0"/>
    </xf>
    <xf numFmtId="0" fontId="27" fillId="0" borderId="33" xfId="1" applyFont="1" applyBorder="1" applyProtection="1">
      <protection locked="0"/>
    </xf>
    <xf numFmtId="0" fontId="27" fillId="0" borderId="17" xfId="1" applyFont="1" applyBorder="1" applyProtection="1">
      <protection locked="0"/>
    </xf>
    <xf numFmtId="0" fontId="6" fillId="0" borderId="9" xfId="1" applyFont="1" applyBorder="1" applyProtection="1">
      <protection locked="0"/>
    </xf>
    <xf numFmtId="4" fontId="27" fillId="0" borderId="27" xfId="1" applyNumberFormat="1" applyFont="1" applyBorder="1" applyProtection="1">
      <protection locked="0"/>
    </xf>
    <xf numFmtId="165" fontId="13" fillId="0" borderId="27" xfId="1" applyNumberFormat="1" applyFont="1" applyBorder="1" applyProtection="1">
      <protection locked="0"/>
    </xf>
    <xf numFmtId="165" fontId="27" fillId="0" borderId="27" xfId="1" applyNumberFormat="1" applyFont="1" applyBorder="1" applyProtection="1">
      <protection locked="0"/>
    </xf>
    <xf numFmtId="165" fontId="28" fillId="0" borderId="27" xfId="1" applyNumberFormat="1" applyFont="1" applyBorder="1" applyProtection="1">
      <protection locked="0"/>
    </xf>
    <xf numFmtId="165" fontId="6" fillId="0" borderId="27" xfId="1" applyNumberFormat="1" applyFont="1" applyBorder="1" applyProtection="1"/>
    <xf numFmtId="165" fontId="27" fillId="0" borderId="27" xfId="1" applyNumberFormat="1" applyFont="1" applyBorder="1" applyProtection="1"/>
    <xf numFmtId="2" fontId="27" fillId="0" borderId="27" xfId="1" applyNumberFormat="1" applyFont="1" applyBorder="1" applyProtection="1">
      <protection locked="0"/>
    </xf>
    <xf numFmtId="0" fontId="6" fillId="0" borderId="26" xfId="1" applyFont="1" applyBorder="1" applyProtection="1">
      <protection locked="0"/>
    </xf>
    <xf numFmtId="0" fontId="27" fillId="0" borderId="26" xfId="1" applyFont="1" applyBorder="1" applyProtection="1">
      <protection locked="0"/>
    </xf>
    <xf numFmtId="0" fontId="2" fillId="0" borderId="0" xfId="1" applyFont="1" applyProtection="1">
      <protection locked="0"/>
    </xf>
    <xf numFmtId="0" fontId="2" fillId="0" borderId="26" xfId="1" applyBorder="1" applyProtection="1">
      <protection locked="0"/>
    </xf>
    <xf numFmtId="165" fontId="27" fillId="0" borderId="42" xfId="1" applyNumberFormat="1" applyFont="1" applyBorder="1" applyProtection="1">
      <protection locked="0"/>
    </xf>
    <xf numFmtId="165" fontId="28" fillId="0" borderId="42" xfId="1" applyNumberFormat="1" applyFont="1" applyBorder="1" applyProtection="1">
      <protection locked="0"/>
    </xf>
    <xf numFmtId="2" fontId="27" fillId="0" borderId="42" xfId="1" applyNumberFormat="1" applyFont="1" applyBorder="1" applyProtection="1">
      <protection locked="0"/>
    </xf>
    <xf numFmtId="164" fontId="2" fillId="0" borderId="1" xfId="1" applyNumberFormat="1" applyBorder="1" applyProtection="1"/>
    <xf numFmtId="164" fontId="2" fillId="0" borderId="43" xfId="1" applyNumberFormat="1" applyBorder="1" applyProtection="1"/>
    <xf numFmtId="0" fontId="6" fillId="0" borderId="1" xfId="1" applyFont="1" applyBorder="1" applyProtection="1">
      <protection locked="0"/>
    </xf>
    <xf numFmtId="4" fontId="27" fillId="0" borderId="43" xfId="1" applyNumberFormat="1" applyFont="1" applyBorder="1" applyProtection="1">
      <protection locked="0"/>
    </xf>
    <xf numFmtId="165" fontId="13" fillId="0" borderId="43" xfId="1" applyNumberFormat="1" applyFont="1" applyBorder="1" applyProtection="1">
      <protection locked="0"/>
    </xf>
    <xf numFmtId="165" fontId="27" fillId="0" borderId="43" xfId="1" applyNumberFormat="1" applyFont="1" applyBorder="1" applyProtection="1">
      <protection locked="0"/>
    </xf>
    <xf numFmtId="165" fontId="28" fillId="0" borderId="43" xfId="1" applyNumberFormat="1" applyFont="1" applyBorder="1" applyProtection="1">
      <protection locked="0"/>
    </xf>
    <xf numFmtId="165" fontId="6" fillId="0" borderId="43" xfId="1" applyNumberFormat="1" applyFont="1" applyBorder="1" applyProtection="1"/>
    <xf numFmtId="165" fontId="27" fillId="0" borderId="43" xfId="1" applyNumberFormat="1" applyFont="1" applyBorder="1" applyProtection="1"/>
    <xf numFmtId="2" fontId="27" fillId="0" borderId="43" xfId="1" applyNumberFormat="1" applyFont="1" applyBorder="1" applyProtection="1">
      <protection locked="0"/>
    </xf>
    <xf numFmtId="0" fontId="27" fillId="0" borderId="6" xfId="1" applyFont="1" applyBorder="1" applyProtection="1">
      <protection locked="0"/>
    </xf>
    <xf numFmtId="164" fontId="4" fillId="0" borderId="44" xfId="1" applyNumberFormat="1" applyFont="1" applyBorder="1" applyAlignment="1" applyProtection="1">
      <alignment horizontal="center"/>
      <protection locked="0"/>
    </xf>
    <xf numFmtId="0" fontId="4" fillId="0" borderId="44" xfId="1" applyFont="1" applyBorder="1" applyAlignment="1" applyProtection="1">
      <alignment horizontal="center"/>
      <protection locked="0"/>
    </xf>
    <xf numFmtId="2" fontId="21" fillId="0" borderId="23" xfId="1" applyNumberFormat="1" applyFont="1" applyBorder="1" applyAlignment="1" applyProtection="1">
      <alignment horizontal="center"/>
    </xf>
    <xf numFmtId="164" fontId="21" fillId="0" borderId="45" xfId="1" applyNumberFormat="1" applyFont="1" applyBorder="1" applyAlignment="1" applyProtection="1">
      <alignment horizontal="center"/>
    </xf>
    <xf numFmtId="0" fontId="7" fillId="0" borderId="7" xfId="1" applyFont="1" applyBorder="1" applyAlignment="1" applyProtection="1">
      <alignment horizontal="center"/>
      <protection locked="0"/>
    </xf>
    <xf numFmtId="2" fontId="21" fillId="0" borderId="9" xfId="1" applyNumberFormat="1" applyFont="1" applyBorder="1" applyAlignment="1" applyProtection="1">
      <alignment horizontal="center"/>
    </xf>
    <xf numFmtId="0" fontId="7" fillId="0" borderId="28" xfId="1" applyFont="1" applyBorder="1" applyAlignment="1" applyProtection="1">
      <alignment horizontal="center"/>
      <protection locked="0"/>
    </xf>
    <xf numFmtId="2" fontId="21" fillId="0" borderId="27" xfId="0" applyNumberFormat="1" applyFont="1" applyBorder="1" applyAlignment="1">
      <alignment horizontal="center"/>
    </xf>
    <xf numFmtId="164" fontId="29" fillId="0" borderId="27" xfId="0" applyNumberFormat="1" applyFont="1" applyBorder="1" applyAlignment="1">
      <alignment horizontal="center"/>
    </xf>
    <xf numFmtId="0" fontId="8" fillId="0" borderId="28" xfId="1" applyFont="1" applyBorder="1" applyAlignment="1" applyProtection="1">
      <alignment horizontal="center"/>
      <protection locked="0"/>
    </xf>
    <xf numFmtId="164" fontId="21" fillId="0" borderId="27" xfId="0" applyNumberFormat="1" applyFont="1" applyBorder="1" applyAlignment="1">
      <alignment horizontal="center"/>
    </xf>
    <xf numFmtId="0" fontId="9" fillId="0" borderId="28" xfId="1" applyFont="1" applyBorder="1" applyAlignment="1" applyProtection="1">
      <alignment horizontal="center"/>
      <protection locked="0"/>
    </xf>
    <xf numFmtId="0" fontId="9" fillId="0" borderId="2" xfId="1" applyFont="1" applyBorder="1" applyAlignment="1" applyProtection="1">
      <alignment horizontal="center"/>
      <protection locked="0"/>
    </xf>
    <xf numFmtId="2" fontId="7" fillId="0" borderId="8" xfId="1" applyNumberFormat="1" applyFont="1" applyBorder="1" applyAlignment="1" applyProtection="1">
      <alignment horizontal="center"/>
      <protection locked="0"/>
    </xf>
    <xf numFmtId="164" fontId="7" fillId="0" borderId="17" xfId="1" applyNumberFormat="1" applyFont="1" applyBorder="1" applyAlignment="1" applyProtection="1">
      <alignment horizontal="center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2" fillId="0" borderId="0" xfId="1" applyAlignment="1" applyProtection="1">
      <alignment horizontal="center"/>
      <protection locked="0"/>
    </xf>
    <xf numFmtId="2" fontId="7" fillId="0" borderId="1" xfId="1" applyNumberFormat="1" applyFont="1" applyBorder="1" applyAlignment="1" applyProtection="1">
      <alignment horizontal="center"/>
      <protection locked="0"/>
    </xf>
    <xf numFmtId="2" fontId="30" fillId="0" borderId="0" xfId="1" applyNumberFormat="1" applyFont="1" applyAlignment="1" applyProtection="1">
      <alignment horizontal="left"/>
      <protection locked="0"/>
    </xf>
    <xf numFmtId="164" fontId="3" fillId="0" borderId="0" xfId="1" applyNumberFormat="1" applyFont="1" applyAlignment="1" applyProtection="1">
      <alignment horizontal="center"/>
      <protection locked="0"/>
    </xf>
    <xf numFmtId="0" fontId="3" fillId="0" borderId="0" xfId="1" applyFont="1" applyAlignment="1" applyProtection="1">
      <alignment horizontal="center"/>
      <protection locked="0"/>
    </xf>
    <xf numFmtId="164" fontId="6" fillId="0" borderId="0" xfId="1" applyNumberFormat="1" applyFont="1" applyAlignment="1" applyProtection="1">
      <alignment horizontal="left"/>
    </xf>
    <xf numFmtId="2" fontId="6" fillId="0" borderId="0" xfId="1" applyNumberFormat="1" applyFont="1" applyAlignment="1" applyProtection="1">
      <alignment horizontal="left"/>
      <protection locked="0"/>
    </xf>
    <xf numFmtId="2" fontId="3" fillId="0" borderId="0" xfId="1" applyNumberFormat="1" applyFont="1" applyAlignment="1" applyProtection="1">
      <alignment horizontal="center"/>
      <protection locked="0"/>
    </xf>
    <xf numFmtId="2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31" fillId="0" borderId="0" xfId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31" fillId="0" borderId="0" xfId="1" applyFont="1" applyProtection="1"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1" fillId="0" borderId="26" xfId="1" applyFont="1" applyBorder="1" applyProtection="1"/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1" fillId="0" borderId="26" xfId="1" applyFont="1" applyBorder="1" applyProtection="1">
      <protection locked="0"/>
    </xf>
    <xf numFmtId="0" fontId="6" fillId="0" borderId="17" xfId="1" applyFont="1" applyBorder="1" applyProtection="1"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0" fontId="1" fillId="0" borderId="29" xfId="0" applyFont="1" applyFill="1" applyBorder="1" applyAlignment="1">
      <alignment horizontal="center" vertical="center" textRotation="255"/>
    </xf>
    <xf numFmtId="0" fontId="12" fillId="0" borderId="29" xfId="0" applyFont="1" applyFill="1" applyBorder="1" applyAlignment="1">
      <alignment vertical="center" textRotation="255" wrapText="1"/>
    </xf>
    <xf numFmtId="164" fontId="31" fillId="0" borderId="0" xfId="1" applyNumberFormat="1" applyFont="1" applyAlignment="1" applyProtection="1">
      <alignment horizontal="center"/>
      <protection locked="0"/>
    </xf>
    <xf numFmtId="14" fontId="31" fillId="0" borderId="0" xfId="1" applyNumberFormat="1" applyFont="1" applyAlignment="1" applyProtection="1">
      <alignment horizontal="center"/>
      <protection locked="0"/>
    </xf>
    <xf numFmtId="0" fontId="2" fillId="0" borderId="0" xfId="1" applyAlignment="1" applyProtection="1">
      <alignment horizontal="center"/>
    </xf>
    <xf numFmtId="0" fontId="12" fillId="0" borderId="29" xfId="1" applyFont="1" applyFill="1" applyBorder="1" applyAlignment="1" applyProtection="1">
      <alignment vertical="center" textRotation="255" wrapText="1"/>
      <protection locked="0"/>
    </xf>
    <xf numFmtId="1" fontId="31" fillId="0" borderId="0" xfId="1" applyNumberFormat="1" applyFont="1" applyAlignment="1" applyProtection="1">
      <alignment horizontal="center"/>
      <protection locked="0"/>
    </xf>
    <xf numFmtId="0" fontId="25" fillId="0" borderId="0" xfId="1" applyFont="1" applyAlignment="1" applyProtection="1">
      <alignment horizontal="center"/>
      <protection locked="0"/>
    </xf>
    <xf numFmtId="0" fontId="26" fillId="0" borderId="30" xfId="1" applyFont="1" applyBorder="1" applyAlignment="1" applyProtection="1">
      <alignment horizontal="left"/>
      <protection locked="0"/>
    </xf>
    <xf numFmtId="0" fontId="2" fillId="0" borderId="31" xfId="1" applyBorder="1" applyAlignment="1" applyProtection="1">
      <alignment horizontal="left"/>
      <protection locked="0"/>
    </xf>
    <xf numFmtId="0" fontId="2" fillId="0" borderId="32" xfId="1" applyBorder="1" applyAlignment="1" applyProtection="1">
      <alignment horizontal="left"/>
      <protection locked="0"/>
    </xf>
    <xf numFmtId="0" fontId="5" fillId="0" borderId="8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/>
      <protection locked="0"/>
    </xf>
    <xf numFmtId="164" fontId="5" fillId="0" borderId="33" xfId="1" applyNumberFormat="1" applyFont="1" applyBorder="1" applyAlignment="1" applyProtection="1">
      <alignment horizontal="center" vertical="center"/>
      <protection locked="0"/>
    </xf>
    <xf numFmtId="164" fontId="5" fillId="0" borderId="27" xfId="1" applyNumberFormat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26" xfId="1" applyFont="1" applyBorder="1" applyAlignment="1" applyProtection="1">
      <alignment horizontal="center" vertical="center"/>
      <protection locked="0"/>
    </xf>
    <xf numFmtId="0" fontId="12" fillId="0" borderId="29" xfId="1" applyFont="1" applyFill="1" applyBorder="1" applyAlignment="1" applyProtection="1">
      <alignment horizontal="center" vertical="center" textRotation="255"/>
      <protection locked="0"/>
    </xf>
    <xf numFmtId="0" fontId="12" fillId="0" borderId="34" xfId="1" applyFont="1" applyBorder="1" applyAlignment="1" applyProtection="1">
      <alignment horizontal="center"/>
      <protection locked="0"/>
    </xf>
    <xf numFmtId="0" fontId="2" fillId="0" borderId="0" xfId="1" applyBorder="1" applyAlignment="1" applyProtection="1">
      <alignment horizontal="center"/>
      <protection locked="0"/>
    </xf>
    <xf numFmtId="0" fontId="2" fillId="0" borderId="35" xfId="1" applyBorder="1" applyAlignment="1" applyProtection="1">
      <alignment horizontal="center"/>
      <protection locked="0"/>
    </xf>
    <xf numFmtId="0" fontId="12" fillId="0" borderId="36" xfId="1" applyFont="1" applyBorder="1" applyAlignment="1" applyProtection="1">
      <alignment horizontal="center"/>
      <protection locked="0"/>
    </xf>
    <xf numFmtId="0" fontId="2" fillId="0" borderId="37" xfId="1" applyBorder="1" applyAlignment="1" applyProtection="1">
      <alignment horizontal="center"/>
      <protection locked="0"/>
    </xf>
    <xf numFmtId="0" fontId="2" fillId="0" borderId="38" xfId="1" applyBorder="1" applyAlignment="1" applyProtection="1">
      <alignment horizontal="center"/>
      <protection locked="0"/>
    </xf>
    <xf numFmtId="0" fontId="1" fillId="0" borderId="34" xfId="1" applyFont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95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 VERGARA
Dibujó:        TRUJILLO
Revisó:    
 Fecha2005-10-31
 IDEAM - Area Operativa No. 04</a:t>
            </a:r>
          </a:p>
        </c:rich>
      </c:tx>
      <c:layout>
        <c:manualLayout>
          <c:xMode val="edge"/>
          <c:yMode val="edge"/>
          <c:x val="0.63295078022732443"/>
          <c:y val="2.2341820216635357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19417378498758E-2"/>
          <c:y val="3.8477482478830358E-2"/>
          <c:w val="0.93555669018188858"/>
          <c:h val="0.8998766063597422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2007-10-25'!$A$3:$A$31</c:f>
              <c:numCache>
                <c:formatCode>0.00</c:formatCode>
                <c:ptCount val="29"/>
                <c:pt idx="1">
                  <c:v>0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34</c:v>
                </c:pt>
                <c:pt idx="19">
                  <c:v>34.5</c:v>
                </c:pt>
                <c:pt idx="20">
                  <c:v>34.5</c:v>
                </c:pt>
                <c:pt idx="21">
                  <c:v>34.5</c:v>
                </c:pt>
                <c:pt idx="22">
                  <c:v>35.299999999999997</c:v>
                </c:pt>
                <c:pt idx="23">
                  <c:v>35.57</c:v>
                </c:pt>
                <c:pt idx="24">
                  <c:v>35.57</c:v>
                </c:pt>
              </c:numCache>
            </c:numRef>
          </c:xVal>
          <c:yVal>
            <c:numRef>
              <c:f>'Fecha 2007-10-25'!$B$3:$B$31</c:f>
              <c:numCache>
                <c:formatCode>0.000</c:formatCode>
                <c:ptCount val="29"/>
                <c:pt idx="0">
                  <c:v>270</c:v>
                </c:pt>
                <c:pt idx="1">
                  <c:v>268.26</c:v>
                </c:pt>
                <c:pt idx="2">
                  <c:v>265.62</c:v>
                </c:pt>
                <c:pt idx="3">
                  <c:v>263.43</c:v>
                </c:pt>
                <c:pt idx="4">
                  <c:v>263.32</c:v>
                </c:pt>
                <c:pt idx="5">
                  <c:v>263.52</c:v>
                </c:pt>
                <c:pt idx="6">
                  <c:v>263.13</c:v>
                </c:pt>
                <c:pt idx="7">
                  <c:v>262.92</c:v>
                </c:pt>
                <c:pt idx="8">
                  <c:v>263.14999999999998</c:v>
                </c:pt>
                <c:pt idx="9">
                  <c:v>263.07</c:v>
                </c:pt>
                <c:pt idx="10">
                  <c:v>262.93</c:v>
                </c:pt>
                <c:pt idx="11">
                  <c:v>263.52</c:v>
                </c:pt>
                <c:pt idx="12">
                  <c:v>263.82</c:v>
                </c:pt>
                <c:pt idx="13">
                  <c:v>263.82</c:v>
                </c:pt>
                <c:pt idx="14">
                  <c:v>263.92</c:v>
                </c:pt>
                <c:pt idx="15">
                  <c:v>264.22000000000003</c:v>
                </c:pt>
                <c:pt idx="16">
                  <c:v>264.12</c:v>
                </c:pt>
                <c:pt idx="17">
                  <c:v>264.42</c:v>
                </c:pt>
                <c:pt idx="18">
                  <c:v>264.92</c:v>
                </c:pt>
                <c:pt idx="19">
                  <c:v>265.23</c:v>
                </c:pt>
                <c:pt idx="20">
                  <c:v>265.62</c:v>
                </c:pt>
                <c:pt idx="21">
                  <c:v>266.60000000000002</c:v>
                </c:pt>
                <c:pt idx="22">
                  <c:v>266.62</c:v>
                </c:pt>
                <c:pt idx="23">
                  <c:v>266.62</c:v>
                </c:pt>
                <c:pt idx="24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A-4712-8701-175CB7CF472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2007-10-25'!$A$36:$A$37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'Fecha 2007-10-25'!$B$36:$B$37</c:f>
              <c:numCache>
                <c:formatCode>0.000</c:formatCode>
                <c:ptCount val="2"/>
                <c:pt idx="0">
                  <c:v>268.26400000000001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A-4712-8701-175CB7CF472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2007-10-25'!$A$34:$A$35</c:f>
              <c:numCache>
                <c:formatCode>0.00</c:formatCode>
                <c:ptCount val="2"/>
                <c:pt idx="0">
                  <c:v>34.299999999999997</c:v>
                </c:pt>
                <c:pt idx="1">
                  <c:v>34.299999999999997</c:v>
                </c:pt>
              </c:numCache>
            </c:numRef>
          </c:xVal>
          <c:yVal>
            <c:numRef>
              <c:f>'Fecha 2007-10-25'!$B$34:$B$35</c:f>
              <c:numCache>
                <c:formatCode>0.000</c:formatCode>
                <c:ptCount val="2"/>
                <c:pt idx="0">
                  <c:v>265.45999999999998</c:v>
                </c:pt>
                <c:pt idx="1">
                  <c:v>266.45999999999998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BA-4712-8701-175CB7CF472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2007-10-25'!$A$32:$A$33</c:f>
              <c:numCache>
                <c:formatCode>0.00</c:formatCode>
                <c:ptCount val="2"/>
                <c:pt idx="0">
                  <c:v>5.0999999999999996</c:v>
                </c:pt>
                <c:pt idx="1">
                  <c:v>34.5</c:v>
                </c:pt>
              </c:numCache>
            </c:numRef>
          </c:xVal>
          <c:yVal>
            <c:numRef>
              <c:f>'Fecha 2007-10-25'!$B$32:$B$33</c:f>
              <c:numCache>
                <c:formatCode>0.000</c:formatCode>
                <c:ptCount val="2"/>
                <c:pt idx="0">
                  <c:v>265.62</c:v>
                </c:pt>
                <c:pt idx="1">
                  <c:v>265.62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BA-4712-8701-175CB7CF472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2007-10-25'!$A$38:$A$39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2007-10-25'!$B$38:$B$39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BA-4712-8701-175CB7CF4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07664"/>
        <c:axId val="283004920"/>
      </c:scatterChart>
      <c:valAx>
        <c:axId val="283007664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6399581465268902"/>
              <c:y val="0.959454681109023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3004920"/>
        <c:crossesAt val="89"/>
        <c:crossBetween val="midCat"/>
        <c:majorUnit val="10"/>
        <c:minorUnit val="2"/>
      </c:valAx>
      <c:valAx>
        <c:axId val="283004920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938806507054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3007664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 PALACIOS
Dibujó:            PALACIOS
Revisó:    
 Fecha:  2006-10-26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0578598327639384E-2"/>
          <c:w val="0.93639726223056952"/>
          <c:h val="0.927826368076610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2006-10-26'!$A$3:$A$47</c:f>
              <c:numCache>
                <c:formatCode>0.00</c:formatCode>
                <c:ptCount val="45"/>
                <c:pt idx="1">
                  <c:v>0</c:v>
                </c:pt>
                <c:pt idx="2">
                  <c:v>3.5</c:v>
                </c:pt>
                <c:pt idx="3">
                  <c:v>3.5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7.5</c:v>
                </c:pt>
                <c:pt idx="9">
                  <c:v>9</c:v>
                </c:pt>
                <c:pt idx="10">
                  <c:v>10.5</c:v>
                </c:pt>
                <c:pt idx="11">
                  <c:v>12</c:v>
                </c:pt>
                <c:pt idx="12">
                  <c:v>13.5</c:v>
                </c:pt>
                <c:pt idx="13">
                  <c:v>15</c:v>
                </c:pt>
                <c:pt idx="14">
                  <c:v>16.5</c:v>
                </c:pt>
                <c:pt idx="15">
                  <c:v>18</c:v>
                </c:pt>
                <c:pt idx="16">
                  <c:v>19.5</c:v>
                </c:pt>
                <c:pt idx="17">
                  <c:v>21</c:v>
                </c:pt>
                <c:pt idx="18">
                  <c:v>22.5</c:v>
                </c:pt>
                <c:pt idx="19">
                  <c:v>24</c:v>
                </c:pt>
                <c:pt idx="20">
                  <c:v>25.5</c:v>
                </c:pt>
                <c:pt idx="21">
                  <c:v>27</c:v>
                </c:pt>
                <c:pt idx="22">
                  <c:v>28.5</c:v>
                </c:pt>
                <c:pt idx="23">
                  <c:v>30</c:v>
                </c:pt>
                <c:pt idx="24">
                  <c:v>31.5</c:v>
                </c:pt>
                <c:pt idx="25">
                  <c:v>33</c:v>
                </c:pt>
                <c:pt idx="26">
                  <c:v>34.299999999999997</c:v>
                </c:pt>
                <c:pt idx="27">
                  <c:v>34.299999999999997</c:v>
                </c:pt>
                <c:pt idx="28">
                  <c:v>34.299999999999997</c:v>
                </c:pt>
                <c:pt idx="29">
                  <c:v>35.6</c:v>
                </c:pt>
                <c:pt idx="30">
                  <c:v>35.6</c:v>
                </c:pt>
              </c:numCache>
            </c:numRef>
          </c:xVal>
          <c:yVal>
            <c:numRef>
              <c:f>'Fecha 2006-10-26'!$B$3:$B$47</c:f>
              <c:numCache>
                <c:formatCode>0.000</c:formatCode>
                <c:ptCount val="45"/>
                <c:pt idx="0">
                  <c:v>269.34199999999998</c:v>
                </c:pt>
                <c:pt idx="1">
                  <c:v>269.27</c:v>
                </c:pt>
                <c:pt idx="2">
                  <c:v>269.23</c:v>
                </c:pt>
                <c:pt idx="3">
                  <c:v>268.3</c:v>
                </c:pt>
                <c:pt idx="4">
                  <c:v>267.67</c:v>
                </c:pt>
                <c:pt idx="5">
                  <c:v>264.85000000000002</c:v>
                </c:pt>
                <c:pt idx="6">
                  <c:v>262.52999999999997</c:v>
                </c:pt>
                <c:pt idx="7">
                  <c:v>262.52999999999997</c:v>
                </c:pt>
                <c:pt idx="8">
                  <c:v>262.35000000000002</c:v>
                </c:pt>
                <c:pt idx="9">
                  <c:v>262.44</c:v>
                </c:pt>
                <c:pt idx="10">
                  <c:v>262.44</c:v>
                </c:pt>
                <c:pt idx="11">
                  <c:v>262.45</c:v>
                </c:pt>
                <c:pt idx="12">
                  <c:v>262.36</c:v>
                </c:pt>
                <c:pt idx="13">
                  <c:v>262.45999999999998</c:v>
                </c:pt>
                <c:pt idx="14">
                  <c:v>262.58</c:v>
                </c:pt>
                <c:pt idx="15">
                  <c:v>262.7</c:v>
                </c:pt>
                <c:pt idx="16">
                  <c:v>262.68</c:v>
                </c:pt>
                <c:pt idx="17">
                  <c:v>262.73</c:v>
                </c:pt>
                <c:pt idx="18">
                  <c:v>262.97000000000003</c:v>
                </c:pt>
                <c:pt idx="19">
                  <c:v>262.93</c:v>
                </c:pt>
                <c:pt idx="20">
                  <c:v>263.14999999999998</c:v>
                </c:pt>
                <c:pt idx="21">
                  <c:v>263.37</c:v>
                </c:pt>
                <c:pt idx="22">
                  <c:v>263.63</c:v>
                </c:pt>
                <c:pt idx="23">
                  <c:v>263.82</c:v>
                </c:pt>
                <c:pt idx="24">
                  <c:v>263.77999999999997</c:v>
                </c:pt>
                <c:pt idx="25">
                  <c:v>264.06</c:v>
                </c:pt>
                <c:pt idx="26">
                  <c:v>264.23</c:v>
                </c:pt>
                <c:pt idx="27">
                  <c:v>264.85000000000002</c:v>
                </c:pt>
                <c:pt idx="28">
                  <c:v>265.69</c:v>
                </c:pt>
                <c:pt idx="29">
                  <c:v>265.73</c:v>
                </c:pt>
                <c:pt idx="30">
                  <c:v>269.27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E-4815-8D35-E4D0F131B7F9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2006-10-26'!$A$52:$A$53</c:f>
              <c:numCache>
                <c:formatCode>0.00</c:formatCode>
                <c:ptCount val="2"/>
                <c:pt idx="0">
                  <c:v>5.3</c:v>
                </c:pt>
                <c:pt idx="1">
                  <c:v>5.3</c:v>
                </c:pt>
              </c:numCache>
            </c:numRef>
          </c:xVal>
          <c:yVal>
            <c:numRef>
              <c:f>'Fecha 2006-10-26'!$B$52:$B$53</c:f>
              <c:numCache>
                <c:formatCode>0.000</c:formatCode>
                <c:ptCount val="2"/>
                <c:pt idx="0">
                  <c:v>267.59199999999998</c:v>
                </c:pt>
                <c:pt idx="1">
                  <c:v>269.11200000000002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E-4815-8D35-E4D0F131B7F9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2006-10-26'!$A$50:$A$51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2006-10-26'!$B$50:$B$51</c:f>
              <c:numCache>
                <c:formatCode>0.000</c:formatCode>
                <c:ptCount val="2"/>
                <c:pt idx="0">
                  <c:v>264.77300000000002</c:v>
                </c:pt>
                <c:pt idx="1">
                  <c:v>265.77300000000002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4E-4815-8D35-E4D0F131B7F9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2006-10-26'!$A$48:$A$49</c:f>
              <c:numCache>
                <c:formatCode>0.00</c:formatCode>
                <c:ptCount val="2"/>
                <c:pt idx="0">
                  <c:v>5</c:v>
                </c:pt>
                <c:pt idx="1">
                  <c:v>34.299999999999997</c:v>
                </c:pt>
              </c:numCache>
            </c:numRef>
          </c:xVal>
          <c:yVal>
            <c:numRef>
              <c:f>'Fecha 2006-10-26'!$B$48:$B$49</c:f>
              <c:numCache>
                <c:formatCode>0.000</c:formatCode>
                <c:ptCount val="2"/>
                <c:pt idx="0">
                  <c:v>264.85000000000002</c:v>
                </c:pt>
                <c:pt idx="1">
                  <c:v>264.85000000000002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4E-4815-8D35-E4D0F131B7F9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2006-10-26'!$A$54:$A$55</c:f>
              <c:numCache>
                <c:formatCode>0.00</c:formatCode>
                <c:ptCount val="2"/>
                <c:pt idx="0">
                  <c:v>0</c:v>
                </c:pt>
                <c:pt idx="1">
                  <c:v>35.6</c:v>
                </c:pt>
              </c:numCache>
            </c:numRef>
          </c:xVal>
          <c:yVal>
            <c:numRef>
              <c:f>'Fecha 2006-10-26'!$B$54:$B$55</c:f>
              <c:numCache>
                <c:formatCode>0.000</c:formatCode>
                <c:ptCount val="2"/>
                <c:pt idx="0">
                  <c:v>269.27</c:v>
                </c:pt>
                <c:pt idx="1">
                  <c:v>269.27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4E-4815-8D35-E4D0F131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06096"/>
        <c:axId val="283005312"/>
      </c:scatterChart>
      <c:valAx>
        <c:axId val="283006096"/>
        <c:scaling>
          <c:orientation val="minMax"/>
          <c:max val="3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9878267044772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3005312"/>
        <c:crossesAt val="89"/>
        <c:crossBetween val="midCat"/>
        <c:majorUnit val="10"/>
        <c:minorUnit val="2"/>
      </c:valAx>
      <c:valAx>
        <c:axId val="283005312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0939747705211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3006096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ALEX
Dibujó:            PALACIOS
Revisó:    
 Fecha:  2007-03-23
 IDEAM - Area Operativa No. 04</a:t>
            </a:r>
          </a:p>
        </c:rich>
      </c:tx>
      <c:layout>
        <c:manualLayout>
          <c:xMode val="edge"/>
          <c:yMode val="edge"/>
          <c:x val="0.63295078022732443"/>
          <c:y val="2.041350685214067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2007-10-25'!$A$3:$A$31</c:f>
              <c:numCache>
                <c:formatCode>0.00</c:formatCode>
                <c:ptCount val="29"/>
                <c:pt idx="1">
                  <c:v>0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34</c:v>
                </c:pt>
                <c:pt idx="19">
                  <c:v>34.5</c:v>
                </c:pt>
                <c:pt idx="20">
                  <c:v>34.5</c:v>
                </c:pt>
                <c:pt idx="21">
                  <c:v>34.5</c:v>
                </c:pt>
                <c:pt idx="22">
                  <c:v>35.299999999999997</c:v>
                </c:pt>
                <c:pt idx="23">
                  <c:v>35.57</c:v>
                </c:pt>
                <c:pt idx="24">
                  <c:v>35.57</c:v>
                </c:pt>
              </c:numCache>
            </c:numRef>
          </c:xVal>
          <c:yVal>
            <c:numRef>
              <c:f>'Fecha 2007-10-25'!$B$3:$B$31</c:f>
              <c:numCache>
                <c:formatCode>0.000</c:formatCode>
                <c:ptCount val="29"/>
                <c:pt idx="0">
                  <c:v>270</c:v>
                </c:pt>
                <c:pt idx="1">
                  <c:v>268.26</c:v>
                </c:pt>
                <c:pt idx="2">
                  <c:v>265.62</c:v>
                </c:pt>
                <c:pt idx="3">
                  <c:v>263.43</c:v>
                </c:pt>
                <c:pt idx="4">
                  <c:v>263.32</c:v>
                </c:pt>
                <c:pt idx="5">
                  <c:v>263.52</c:v>
                </c:pt>
                <c:pt idx="6">
                  <c:v>263.13</c:v>
                </c:pt>
                <c:pt idx="7">
                  <c:v>262.92</c:v>
                </c:pt>
                <c:pt idx="8">
                  <c:v>263.14999999999998</c:v>
                </c:pt>
                <c:pt idx="9">
                  <c:v>263.07</c:v>
                </c:pt>
                <c:pt idx="10">
                  <c:v>262.93</c:v>
                </c:pt>
                <c:pt idx="11">
                  <c:v>263.52</c:v>
                </c:pt>
                <c:pt idx="12">
                  <c:v>263.82</c:v>
                </c:pt>
                <c:pt idx="13">
                  <c:v>263.82</c:v>
                </c:pt>
                <c:pt idx="14">
                  <c:v>263.92</c:v>
                </c:pt>
                <c:pt idx="15">
                  <c:v>264.22000000000003</c:v>
                </c:pt>
                <c:pt idx="16">
                  <c:v>264.12</c:v>
                </c:pt>
                <c:pt idx="17">
                  <c:v>264.42</c:v>
                </c:pt>
                <c:pt idx="18">
                  <c:v>264.92</c:v>
                </c:pt>
                <c:pt idx="19">
                  <c:v>265.23</c:v>
                </c:pt>
                <c:pt idx="20">
                  <c:v>265.62</c:v>
                </c:pt>
                <c:pt idx="21">
                  <c:v>266.60000000000002</c:v>
                </c:pt>
                <c:pt idx="22">
                  <c:v>266.62</c:v>
                </c:pt>
                <c:pt idx="23">
                  <c:v>266.62</c:v>
                </c:pt>
                <c:pt idx="24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9-481A-B1FA-09E0B7B3DDF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2007-10-25'!$A$36:$A$37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'Fecha 2007-10-25'!$B$36:$B$37</c:f>
              <c:numCache>
                <c:formatCode>0.000</c:formatCode>
                <c:ptCount val="2"/>
                <c:pt idx="0">
                  <c:v>268.26400000000001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B9-481A-B1FA-09E0B7B3DDF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2007-10-25'!$A$34:$A$35</c:f>
              <c:numCache>
                <c:formatCode>0.00</c:formatCode>
                <c:ptCount val="2"/>
                <c:pt idx="0">
                  <c:v>34.299999999999997</c:v>
                </c:pt>
                <c:pt idx="1">
                  <c:v>34.299999999999997</c:v>
                </c:pt>
              </c:numCache>
            </c:numRef>
          </c:xVal>
          <c:yVal>
            <c:numRef>
              <c:f>'Fecha 2007-10-25'!$B$34:$B$35</c:f>
              <c:numCache>
                <c:formatCode>0.000</c:formatCode>
                <c:ptCount val="2"/>
                <c:pt idx="0">
                  <c:v>265.45999999999998</c:v>
                </c:pt>
                <c:pt idx="1">
                  <c:v>266.45999999999998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B9-481A-B1FA-09E0B7B3DDF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2007-10-25'!$A$32:$A$33</c:f>
              <c:numCache>
                <c:formatCode>0.00</c:formatCode>
                <c:ptCount val="2"/>
                <c:pt idx="0">
                  <c:v>5.0999999999999996</c:v>
                </c:pt>
                <c:pt idx="1">
                  <c:v>34.5</c:v>
                </c:pt>
              </c:numCache>
            </c:numRef>
          </c:xVal>
          <c:yVal>
            <c:numRef>
              <c:f>'Fecha 2007-10-25'!$B$32:$B$33</c:f>
              <c:numCache>
                <c:formatCode>0.000</c:formatCode>
                <c:ptCount val="2"/>
                <c:pt idx="0">
                  <c:v>265.62</c:v>
                </c:pt>
                <c:pt idx="1">
                  <c:v>265.62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B9-481A-B1FA-09E0B7B3DDF3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2007-10-25'!$A$38:$A$39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2007-10-25'!$B$38:$B$39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B9-481A-B1FA-09E0B7B3D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53896"/>
        <c:axId val="419718008"/>
      </c:scatterChart>
      <c:valAx>
        <c:axId val="430053896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71212211144015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19718008"/>
        <c:crossesAt val="89"/>
        <c:crossBetween val="midCat"/>
        <c:majorUnit val="10"/>
        <c:minorUnit val="2"/>
      </c:valAx>
      <c:valAx>
        <c:axId val="419718008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7733773655197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0053896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 VERGARA
Dibujó:            PALACIOS
Revisó:    
 Fecha:  2007-10-25
 IDEAM - Area Operativa No. 04</a:t>
            </a:r>
          </a:p>
        </c:rich>
      </c:tx>
      <c:layout>
        <c:manualLayout>
          <c:xMode val="edge"/>
          <c:yMode val="edge"/>
          <c:x val="0.63295078022732443"/>
          <c:y val="2.261011169224284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7370133643230678E-2"/>
          <c:w val="0.93639726223056952"/>
          <c:h val="0.90321441022661242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2007-10-25'!$A$3:$A$31</c:f>
              <c:numCache>
                <c:formatCode>0.00</c:formatCode>
                <c:ptCount val="29"/>
                <c:pt idx="1">
                  <c:v>0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34</c:v>
                </c:pt>
                <c:pt idx="19">
                  <c:v>34.5</c:v>
                </c:pt>
                <c:pt idx="20">
                  <c:v>34.5</c:v>
                </c:pt>
                <c:pt idx="21">
                  <c:v>34.5</c:v>
                </c:pt>
                <c:pt idx="22">
                  <c:v>35.299999999999997</c:v>
                </c:pt>
                <c:pt idx="23">
                  <c:v>35.57</c:v>
                </c:pt>
                <c:pt idx="24">
                  <c:v>35.57</c:v>
                </c:pt>
              </c:numCache>
            </c:numRef>
          </c:xVal>
          <c:yVal>
            <c:numRef>
              <c:f>'Fecha 2007-10-25'!$B$3:$B$31</c:f>
              <c:numCache>
                <c:formatCode>0.000</c:formatCode>
                <c:ptCount val="29"/>
                <c:pt idx="0">
                  <c:v>270</c:v>
                </c:pt>
                <c:pt idx="1">
                  <c:v>268.26</c:v>
                </c:pt>
                <c:pt idx="2">
                  <c:v>265.62</c:v>
                </c:pt>
                <c:pt idx="3">
                  <c:v>263.43</c:v>
                </c:pt>
                <c:pt idx="4">
                  <c:v>263.32</c:v>
                </c:pt>
                <c:pt idx="5">
                  <c:v>263.52</c:v>
                </c:pt>
                <c:pt idx="6">
                  <c:v>263.13</c:v>
                </c:pt>
                <c:pt idx="7">
                  <c:v>262.92</c:v>
                </c:pt>
                <c:pt idx="8">
                  <c:v>263.14999999999998</c:v>
                </c:pt>
                <c:pt idx="9">
                  <c:v>263.07</c:v>
                </c:pt>
                <c:pt idx="10">
                  <c:v>262.93</c:v>
                </c:pt>
                <c:pt idx="11">
                  <c:v>263.52</c:v>
                </c:pt>
                <c:pt idx="12">
                  <c:v>263.82</c:v>
                </c:pt>
                <c:pt idx="13">
                  <c:v>263.82</c:v>
                </c:pt>
                <c:pt idx="14">
                  <c:v>263.92</c:v>
                </c:pt>
                <c:pt idx="15">
                  <c:v>264.22000000000003</c:v>
                </c:pt>
                <c:pt idx="16">
                  <c:v>264.12</c:v>
                </c:pt>
                <c:pt idx="17">
                  <c:v>264.42</c:v>
                </c:pt>
                <c:pt idx="18">
                  <c:v>264.92</c:v>
                </c:pt>
                <c:pt idx="19">
                  <c:v>265.23</c:v>
                </c:pt>
                <c:pt idx="20">
                  <c:v>265.62</c:v>
                </c:pt>
                <c:pt idx="21">
                  <c:v>266.60000000000002</c:v>
                </c:pt>
                <c:pt idx="22">
                  <c:v>266.62</c:v>
                </c:pt>
                <c:pt idx="23">
                  <c:v>266.62</c:v>
                </c:pt>
                <c:pt idx="24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A-4696-AAD8-4D320F1B0F1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2007-10-25'!$A$36:$A$37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'Fecha 2007-10-25'!$B$36:$B$37</c:f>
              <c:numCache>
                <c:formatCode>0.000</c:formatCode>
                <c:ptCount val="2"/>
                <c:pt idx="0">
                  <c:v>268.26400000000001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A-4696-AAD8-4D320F1B0F1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2007-10-25'!$A$34:$A$35</c:f>
              <c:numCache>
                <c:formatCode>0.00</c:formatCode>
                <c:ptCount val="2"/>
                <c:pt idx="0">
                  <c:v>34.299999999999997</c:v>
                </c:pt>
                <c:pt idx="1">
                  <c:v>34.299999999999997</c:v>
                </c:pt>
              </c:numCache>
            </c:numRef>
          </c:xVal>
          <c:yVal>
            <c:numRef>
              <c:f>'Fecha 2007-10-25'!$B$34:$B$35</c:f>
              <c:numCache>
                <c:formatCode>0.000</c:formatCode>
                <c:ptCount val="2"/>
                <c:pt idx="0">
                  <c:v>265.45999999999998</c:v>
                </c:pt>
                <c:pt idx="1">
                  <c:v>266.45999999999998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A-4696-AAD8-4D320F1B0F1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2007-10-25'!$A$32:$A$33</c:f>
              <c:numCache>
                <c:formatCode>0.00</c:formatCode>
                <c:ptCount val="2"/>
                <c:pt idx="0">
                  <c:v>5.0999999999999996</c:v>
                </c:pt>
                <c:pt idx="1">
                  <c:v>34.5</c:v>
                </c:pt>
              </c:numCache>
            </c:numRef>
          </c:xVal>
          <c:yVal>
            <c:numRef>
              <c:f>'Fecha 2007-10-25'!$B$32:$B$33</c:f>
              <c:numCache>
                <c:formatCode>0.000</c:formatCode>
                <c:ptCount val="2"/>
                <c:pt idx="0">
                  <c:v>265.62</c:v>
                </c:pt>
                <c:pt idx="1">
                  <c:v>265.62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A-4696-AAD8-4D320F1B0F1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2007-10-25'!$A$38:$A$39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2007-10-25'!$B$38:$B$39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FA-4696-AAD8-4D320F1B0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48136"/>
        <c:axId val="620548528"/>
      </c:scatterChart>
      <c:valAx>
        <c:axId val="620548136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03346297041337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48528"/>
        <c:crossesAt val="89"/>
        <c:crossBetween val="midCat"/>
        <c:majorUnit val="10"/>
        <c:minorUnit val="2"/>
      </c:valAx>
      <c:valAx>
        <c:axId val="620548528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19720801323192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48136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RAMIREZ
Dibujó:            D.A.S.
Revisó:    
 Fecha:  2009-03-24
 IDEAM - Area Operativa No. 04</a:t>
            </a:r>
          </a:p>
        </c:rich>
      </c:tx>
      <c:layout>
        <c:manualLayout>
          <c:xMode val="edge"/>
          <c:yMode val="edge"/>
          <c:x val="0.67329823469290895"/>
          <c:y val="0.23577787655575314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2689919209552271E-2"/>
          <c:w val="0.93639726223056952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2009-03-24'!$A$3:$A$41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3.7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7.5</c:v>
                </c:pt>
                <c:pt idx="10">
                  <c:v>9</c:v>
                </c:pt>
                <c:pt idx="11">
                  <c:v>10.5</c:v>
                </c:pt>
                <c:pt idx="12">
                  <c:v>12</c:v>
                </c:pt>
                <c:pt idx="13">
                  <c:v>13.5</c:v>
                </c:pt>
                <c:pt idx="14">
                  <c:v>15</c:v>
                </c:pt>
                <c:pt idx="15">
                  <c:v>16.5</c:v>
                </c:pt>
                <c:pt idx="16">
                  <c:v>18</c:v>
                </c:pt>
                <c:pt idx="17">
                  <c:v>19.5</c:v>
                </c:pt>
                <c:pt idx="18">
                  <c:v>21</c:v>
                </c:pt>
                <c:pt idx="19">
                  <c:v>22.5</c:v>
                </c:pt>
                <c:pt idx="20">
                  <c:v>24</c:v>
                </c:pt>
                <c:pt idx="21">
                  <c:v>25.5</c:v>
                </c:pt>
                <c:pt idx="22">
                  <c:v>27</c:v>
                </c:pt>
                <c:pt idx="23">
                  <c:v>28.5</c:v>
                </c:pt>
                <c:pt idx="24">
                  <c:v>30</c:v>
                </c:pt>
                <c:pt idx="25">
                  <c:v>31.5</c:v>
                </c:pt>
                <c:pt idx="26">
                  <c:v>33</c:v>
                </c:pt>
                <c:pt idx="27">
                  <c:v>34.700000000000003</c:v>
                </c:pt>
                <c:pt idx="28">
                  <c:v>34.700000000000003</c:v>
                </c:pt>
                <c:pt idx="29">
                  <c:v>34.700000000000003</c:v>
                </c:pt>
                <c:pt idx="30">
                  <c:v>34.700000000000003</c:v>
                </c:pt>
                <c:pt idx="31">
                  <c:v>34.700000000000003</c:v>
                </c:pt>
                <c:pt idx="32">
                  <c:v>35.5</c:v>
                </c:pt>
                <c:pt idx="33">
                  <c:v>35.5</c:v>
                </c:pt>
                <c:pt idx="34">
                  <c:v>35.5</c:v>
                </c:pt>
              </c:numCache>
            </c:numRef>
          </c:xVal>
          <c:yVal>
            <c:numRef>
              <c:f>'Fecha 2009-03-24'!$B$3:$B$41</c:f>
              <c:numCache>
                <c:formatCode>0.000</c:formatCode>
                <c:ptCount val="39"/>
                <c:pt idx="0">
                  <c:v>270</c:v>
                </c:pt>
                <c:pt idx="1">
                  <c:v>276.67</c:v>
                </c:pt>
                <c:pt idx="2">
                  <c:v>269.13</c:v>
                </c:pt>
                <c:pt idx="3">
                  <c:v>269.10000000000002</c:v>
                </c:pt>
                <c:pt idx="4">
                  <c:v>268.79000000000002</c:v>
                </c:pt>
                <c:pt idx="5">
                  <c:v>268.51</c:v>
                </c:pt>
                <c:pt idx="6">
                  <c:v>265.88</c:v>
                </c:pt>
                <c:pt idx="7">
                  <c:v>263.35000000000002</c:v>
                </c:pt>
                <c:pt idx="8">
                  <c:v>263.20999999999998</c:v>
                </c:pt>
                <c:pt idx="9">
                  <c:v>263.31</c:v>
                </c:pt>
                <c:pt idx="10">
                  <c:v>263.25</c:v>
                </c:pt>
                <c:pt idx="11">
                  <c:v>263.18</c:v>
                </c:pt>
                <c:pt idx="12">
                  <c:v>263.08</c:v>
                </c:pt>
                <c:pt idx="13">
                  <c:v>263.12</c:v>
                </c:pt>
                <c:pt idx="14">
                  <c:v>263.19</c:v>
                </c:pt>
                <c:pt idx="15">
                  <c:v>263.27999999999997</c:v>
                </c:pt>
                <c:pt idx="16">
                  <c:v>263.52</c:v>
                </c:pt>
                <c:pt idx="17">
                  <c:v>263.8</c:v>
                </c:pt>
                <c:pt idx="18">
                  <c:v>263.98</c:v>
                </c:pt>
                <c:pt idx="19">
                  <c:v>264.23</c:v>
                </c:pt>
                <c:pt idx="20">
                  <c:v>264.38</c:v>
                </c:pt>
                <c:pt idx="21">
                  <c:v>264.49</c:v>
                </c:pt>
                <c:pt idx="22">
                  <c:v>264.62</c:v>
                </c:pt>
                <c:pt idx="23">
                  <c:v>264.49</c:v>
                </c:pt>
                <c:pt idx="24">
                  <c:v>264.68</c:v>
                </c:pt>
                <c:pt idx="25">
                  <c:v>264.93</c:v>
                </c:pt>
                <c:pt idx="26">
                  <c:v>265.08</c:v>
                </c:pt>
                <c:pt idx="27">
                  <c:v>265.22000000000003</c:v>
                </c:pt>
                <c:pt idx="28">
                  <c:v>265.88</c:v>
                </c:pt>
                <c:pt idx="29">
                  <c:v>266.76</c:v>
                </c:pt>
                <c:pt idx="30">
                  <c:v>267.74</c:v>
                </c:pt>
                <c:pt idx="31">
                  <c:v>266.61</c:v>
                </c:pt>
                <c:pt idx="32">
                  <c:v>266.64</c:v>
                </c:pt>
                <c:pt idx="33">
                  <c:v>276.68</c:v>
                </c:pt>
                <c:pt idx="34">
                  <c:v>270.02999999999997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A7-43CC-9353-42308F83443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2009-03-24'!$A$46:$A$47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'Fecha 2009-03-24'!$B$46:$B$47</c:f>
              <c:numCache>
                <c:formatCode>0.000</c:formatCode>
                <c:ptCount val="2"/>
                <c:pt idx="0">
                  <c:v>268.738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A7-43CC-9353-42308F83443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2009-03-24'!$A$44:$A$45</c:f>
              <c:numCache>
                <c:formatCode>0.00</c:formatCode>
                <c:ptCount val="2"/>
                <c:pt idx="0">
                  <c:v>34.299999999999997</c:v>
                </c:pt>
                <c:pt idx="1">
                  <c:v>34.299999999999997</c:v>
                </c:pt>
              </c:numCache>
            </c:numRef>
          </c:xVal>
          <c:yVal>
            <c:numRef>
              <c:f>'Fecha 2009-03-24'!$B$44:$B$45</c:f>
              <c:numCache>
                <c:formatCode>0.000</c:formatCode>
                <c:ptCount val="2"/>
                <c:pt idx="0">
                  <c:v>264.73200000000003</c:v>
                </c:pt>
                <c:pt idx="1">
                  <c:v>266.45999999999998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A7-43CC-9353-42308F83443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2009-03-24'!$A$42:$A$43</c:f>
              <c:numCache>
                <c:formatCode>0.00</c:formatCode>
                <c:ptCount val="2"/>
                <c:pt idx="0">
                  <c:v>5</c:v>
                </c:pt>
                <c:pt idx="1">
                  <c:v>34.700000000000003</c:v>
                </c:pt>
              </c:numCache>
            </c:numRef>
          </c:xVal>
          <c:yVal>
            <c:numRef>
              <c:f>'Fecha 2009-03-24'!$B$42:$B$43</c:f>
              <c:numCache>
                <c:formatCode>0.000</c:formatCode>
                <c:ptCount val="2"/>
                <c:pt idx="0">
                  <c:v>265.88</c:v>
                </c:pt>
                <c:pt idx="1">
                  <c:v>265.88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A7-43CC-9353-42308F83443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2009-03-24'!$A$48:$A$49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2009-03-24'!$B$48:$B$49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A7-43CC-9353-42308F83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49312"/>
        <c:axId val="620549704"/>
      </c:scatterChart>
      <c:valAx>
        <c:axId val="620549312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6787846075692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49704"/>
        <c:crossesAt val="89"/>
        <c:crossBetween val="midCat"/>
        <c:majorUnit val="10"/>
        <c:minorUnit val="2"/>
      </c:valAx>
      <c:valAx>
        <c:axId val="620549704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49196723393446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49312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TAMAYO
Dibujó:            D.A.S.
Revisó:    
 Fecha:  2009-11-28
 IDEAM - Area Operativa No. 04</a:t>
            </a:r>
          </a:p>
        </c:rich>
      </c:tx>
      <c:layout>
        <c:manualLayout>
          <c:xMode val="edge"/>
          <c:yMode val="edge"/>
          <c:x val="0.63883472513791117"/>
          <c:y val="0.2525486834307001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743846303543182E-2"/>
          <c:w val="0.93723783427925056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2009-11-28'!$A$3:$A$41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7.5</c:v>
                </c:pt>
                <c:pt idx="11">
                  <c:v>9</c:v>
                </c:pt>
                <c:pt idx="12">
                  <c:v>10.5</c:v>
                </c:pt>
                <c:pt idx="13">
                  <c:v>12</c:v>
                </c:pt>
                <c:pt idx="14">
                  <c:v>13.5</c:v>
                </c:pt>
                <c:pt idx="15">
                  <c:v>15</c:v>
                </c:pt>
                <c:pt idx="16">
                  <c:v>16.5</c:v>
                </c:pt>
                <c:pt idx="17">
                  <c:v>18</c:v>
                </c:pt>
                <c:pt idx="18">
                  <c:v>19.5</c:v>
                </c:pt>
                <c:pt idx="19">
                  <c:v>21</c:v>
                </c:pt>
                <c:pt idx="20">
                  <c:v>22.5</c:v>
                </c:pt>
                <c:pt idx="21">
                  <c:v>24</c:v>
                </c:pt>
                <c:pt idx="22">
                  <c:v>25.5</c:v>
                </c:pt>
                <c:pt idx="23">
                  <c:v>27</c:v>
                </c:pt>
                <c:pt idx="24">
                  <c:v>28.5</c:v>
                </c:pt>
                <c:pt idx="25">
                  <c:v>30</c:v>
                </c:pt>
                <c:pt idx="26">
                  <c:v>31.5</c:v>
                </c:pt>
                <c:pt idx="27">
                  <c:v>33.200000000000003</c:v>
                </c:pt>
                <c:pt idx="28">
                  <c:v>33.200000000000003</c:v>
                </c:pt>
                <c:pt idx="29">
                  <c:v>33.299999999999997</c:v>
                </c:pt>
                <c:pt idx="30">
                  <c:v>33.299999999999997</c:v>
                </c:pt>
                <c:pt idx="31">
                  <c:v>33.299999999999997</c:v>
                </c:pt>
              </c:numCache>
            </c:numRef>
          </c:xVal>
          <c:yVal>
            <c:numRef>
              <c:f>'Fecha 2009-11-28'!$B$3:$B$41</c:f>
              <c:numCache>
                <c:formatCode>0.000</c:formatCode>
                <c:ptCount val="39"/>
                <c:pt idx="0">
                  <c:v>269.33999999999997</c:v>
                </c:pt>
                <c:pt idx="1">
                  <c:v>268.88</c:v>
                </c:pt>
                <c:pt idx="2">
                  <c:v>267.87</c:v>
                </c:pt>
                <c:pt idx="3">
                  <c:v>269.17</c:v>
                </c:pt>
                <c:pt idx="4">
                  <c:v>269.17</c:v>
                </c:pt>
                <c:pt idx="5">
                  <c:v>267.77</c:v>
                </c:pt>
                <c:pt idx="6">
                  <c:v>267.5</c:v>
                </c:pt>
                <c:pt idx="7">
                  <c:v>264.88</c:v>
                </c:pt>
                <c:pt idx="8">
                  <c:v>262.38</c:v>
                </c:pt>
                <c:pt idx="9">
                  <c:v>262.19</c:v>
                </c:pt>
                <c:pt idx="10">
                  <c:v>262.29000000000002</c:v>
                </c:pt>
                <c:pt idx="11">
                  <c:v>262.18</c:v>
                </c:pt>
                <c:pt idx="12">
                  <c:v>262.31</c:v>
                </c:pt>
                <c:pt idx="13">
                  <c:v>262.05</c:v>
                </c:pt>
                <c:pt idx="14">
                  <c:v>262.07</c:v>
                </c:pt>
                <c:pt idx="15">
                  <c:v>262.19</c:v>
                </c:pt>
                <c:pt idx="16">
                  <c:v>262.24</c:v>
                </c:pt>
                <c:pt idx="17">
                  <c:v>262.47000000000003</c:v>
                </c:pt>
                <c:pt idx="18">
                  <c:v>262.70999999999998</c:v>
                </c:pt>
                <c:pt idx="19">
                  <c:v>262.86</c:v>
                </c:pt>
                <c:pt idx="20">
                  <c:v>263.04000000000002</c:v>
                </c:pt>
                <c:pt idx="21">
                  <c:v>263.3</c:v>
                </c:pt>
                <c:pt idx="22">
                  <c:v>263.38</c:v>
                </c:pt>
                <c:pt idx="23">
                  <c:v>263.57</c:v>
                </c:pt>
                <c:pt idx="24">
                  <c:v>263.52</c:v>
                </c:pt>
                <c:pt idx="25">
                  <c:v>263.66000000000003</c:v>
                </c:pt>
                <c:pt idx="26">
                  <c:v>264.14</c:v>
                </c:pt>
                <c:pt idx="27">
                  <c:v>264.27999999999997</c:v>
                </c:pt>
                <c:pt idx="28">
                  <c:v>264.88</c:v>
                </c:pt>
                <c:pt idx="29">
                  <c:v>265.54000000000002</c:v>
                </c:pt>
                <c:pt idx="30">
                  <c:v>269.20999999999998</c:v>
                </c:pt>
                <c:pt idx="31">
                  <c:v>265.42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8-4676-A0C7-FFD1CF75D11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2009-11-28'!$A$46:$A$47</c:f>
              <c:numCache>
                <c:formatCode>0.00</c:formatCode>
                <c:ptCount val="2"/>
                <c:pt idx="0">
                  <c:v>32.42</c:v>
                </c:pt>
                <c:pt idx="1">
                  <c:v>32.42</c:v>
                </c:pt>
              </c:numCache>
            </c:numRef>
          </c:xVal>
          <c:yVal>
            <c:numRef>
              <c:f>'Fecha 2009-11-28'!$B$46:$B$47</c:f>
              <c:numCache>
                <c:formatCode>0.000</c:formatCode>
                <c:ptCount val="2"/>
                <c:pt idx="0">
                  <c:v>267.58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48-4676-A0C7-FFD1CF75D11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2009-11-28'!$A$44:$A$45</c:f>
              <c:numCache>
                <c:formatCode>0.00</c:formatCode>
                <c:ptCount val="2"/>
                <c:pt idx="0">
                  <c:v>32.369999999999997</c:v>
                </c:pt>
                <c:pt idx="1">
                  <c:v>32.369999999999997</c:v>
                </c:pt>
              </c:numCache>
            </c:numRef>
          </c:xVal>
          <c:yVal>
            <c:numRef>
              <c:f>'Fecha 2009-11-28'!$B$44:$B$45</c:f>
              <c:numCache>
                <c:formatCode>0.000</c:formatCode>
                <c:ptCount val="2"/>
                <c:pt idx="0">
                  <c:v>263.78199999999998</c:v>
                </c:pt>
                <c:pt idx="1">
                  <c:v>266.45999999999998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48-4676-A0C7-FFD1CF75D11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2009-11-28'!$A$42:$A$43</c:f>
              <c:numCache>
                <c:formatCode>0.00</c:formatCode>
                <c:ptCount val="2"/>
                <c:pt idx="0">
                  <c:v>5</c:v>
                </c:pt>
                <c:pt idx="1">
                  <c:v>33.200000000000003</c:v>
                </c:pt>
              </c:numCache>
            </c:numRef>
          </c:xVal>
          <c:yVal>
            <c:numRef>
              <c:f>'Fecha 2009-11-28'!$B$42:$B$43</c:f>
              <c:numCache>
                <c:formatCode>0.000</c:formatCode>
                <c:ptCount val="2"/>
                <c:pt idx="0">
                  <c:v>264.88</c:v>
                </c:pt>
                <c:pt idx="1">
                  <c:v>264.88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48-4676-A0C7-FFD1CF75D11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2009-11-28'!$A$48:$A$49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2009-11-28'!$B$48:$B$49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48-4676-A0C7-FFD1CF75D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50488"/>
        <c:axId val="620550880"/>
      </c:scatterChart>
      <c:valAx>
        <c:axId val="620550488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0880"/>
        <c:crossesAt val="89"/>
        <c:crossBetween val="midCat"/>
        <c:majorUnit val="10"/>
        <c:minorUnit val="2"/>
      </c:valAx>
      <c:valAx>
        <c:axId val="620550880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0488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RAMIREZ
Dibujó:         D.A.S.
Revisó:    
 Fecha:  2010-03-24
 IDEAM - Area Operativa No. 04</a:t>
            </a:r>
          </a:p>
        </c:rich>
      </c:tx>
      <c:layout>
        <c:manualLayout>
          <c:xMode val="edge"/>
          <c:yMode val="edge"/>
          <c:x val="0.63883472513791117"/>
          <c:y val="0.2525486834307001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743846303543182E-2"/>
          <c:w val="0.93723783427925056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2010-03-24'!$A$3:$A$41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</c:v>
                </c:pt>
                <c:pt idx="4">
                  <c:v>3.5</c:v>
                </c:pt>
                <c:pt idx="5">
                  <c:v>4</c:v>
                </c:pt>
                <c:pt idx="6">
                  <c:v>5.5</c:v>
                </c:pt>
                <c:pt idx="7">
                  <c:v>5.5</c:v>
                </c:pt>
                <c:pt idx="8">
                  <c:v>6.5</c:v>
                </c:pt>
                <c:pt idx="9">
                  <c:v>8</c:v>
                </c:pt>
                <c:pt idx="10">
                  <c:v>9.5</c:v>
                </c:pt>
                <c:pt idx="11">
                  <c:v>11</c:v>
                </c:pt>
                <c:pt idx="12">
                  <c:v>12.5</c:v>
                </c:pt>
                <c:pt idx="13">
                  <c:v>14</c:v>
                </c:pt>
                <c:pt idx="14">
                  <c:v>15.5</c:v>
                </c:pt>
                <c:pt idx="15">
                  <c:v>17</c:v>
                </c:pt>
                <c:pt idx="16">
                  <c:v>18.5</c:v>
                </c:pt>
                <c:pt idx="17">
                  <c:v>20</c:v>
                </c:pt>
                <c:pt idx="18">
                  <c:v>21.5</c:v>
                </c:pt>
                <c:pt idx="19">
                  <c:v>23</c:v>
                </c:pt>
                <c:pt idx="20">
                  <c:v>24.5</c:v>
                </c:pt>
                <c:pt idx="21">
                  <c:v>26</c:v>
                </c:pt>
                <c:pt idx="22">
                  <c:v>27.5</c:v>
                </c:pt>
                <c:pt idx="23">
                  <c:v>29</c:v>
                </c:pt>
                <c:pt idx="24">
                  <c:v>30.5</c:v>
                </c:pt>
                <c:pt idx="25">
                  <c:v>34.5</c:v>
                </c:pt>
                <c:pt idx="26">
                  <c:v>34.5</c:v>
                </c:pt>
                <c:pt idx="27">
                  <c:v>34.5</c:v>
                </c:pt>
                <c:pt idx="28">
                  <c:v>35.5</c:v>
                </c:pt>
                <c:pt idx="29">
                  <c:v>35.5</c:v>
                </c:pt>
              </c:numCache>
            </c:numRef>
          </c:xVal>
          <c:yVal>
            <c:numRef>
              <c:f>'Fecha 2010-03-24'!$B$3:$B$41</c:f>
              <c:numCache>
                <c:formatCode>0.000</c:formatCode>
                <c:ptCount val="39"/>
                <c:pt idx="0">
                  <c:v>269.33999999999997</c:v>
                </c:pt>
                <c:pt idx="1">
                  <c:v>276.64999999999998</c:v>
                </c:pt>
                <c:pt idx="2">
                  <c:v>269.20999999999998</c:v>
                </c:pt>
                <c:pt idx="3">
                  <c:v>269.26</c:v>
                </c:pt>
                <c:pt idx="4">
                  <c:v>268.17</c:v>
                </c:pt>
                <c:pt idx="5">
                  <c:v>267.88</c:v>
                </c:pt>
                <c:pt idx="6">
                  <c:v>265.70999999999998</c:v>
                </c:pt>
                <c:pt idx="7">
                  <c:v>263.77</c:v>
                </c:pt>
                <c:pt idx="8">
                  <c:v>263.70999999999998</c:v>
                </c:pt>
                <c:pt idx="9">
                  <c:v>263.70999999999998</c:v>
                </c:pt>
                <c:pt idx="10">
                  <c:v>263.58</c:v>
                </c:pt>
                <c:pt idx="11">
                  <c:v>263.51</c:v>
                </c:pt>
                <c:pt idx="12">
                  <c:v>263.35000000000002</c:v>
                </c:pt>
                <c:pt idx="13">
                  <c:v>263.39</c:v>
                </c:pt>
                <c:pt idx="14">
                  <c:v>263.45999999999998</c:v>
                </c:pt>
                <c:pt idx="15">
                  <c:v>263.61</c:v>
                </c:pt>
                <c:pt idx="16">
                  <c:v>263.49</c:v>
                </c:pt>
                <c:pt idx="17">
                  <c:v>263.63</c:v>
                </c:pt>
                <c:pt idx="18">
                  <c:v>263.77999999999997</c:v>
                </c:pt>
                <c:pt idx="19">
                  <c:v>263.95999999999998</c:v>
                </c:pt>
                <c:pt idx="20">
                  <c:v>264.14</c:v>
                </c:pt>
                <c:pt idx="21">
                  <c:v>264.27999999999997</c:v>
                </c:pt>
                <c:pt idx="22">
                  <c:v>264.39</c:v>
                </c:pt>
                <c:pt idx="23">
                  <c:v>264.36</c:v>
                </c:pt>
                <c:pt idx="24">
                  <c:v>264.61</c:v>
                </c:pt>
                <c:pt idx="25">
                  <c:v>265.32</c:v>
                </c:pt>
                <c:pt idx="26">
                  <c:v>265.70999999999998</c:v>
                </c:pt>
                <c:pt idx="27">
                  <c:v>266.52999999999997</c:v>
                </c:pt>
                <c:pt idx="28">
                  <c:v>266.56</c:v>
                </c:pt>
                <c:pt idx="29">
                  <c:v>276.61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0-4E83-8E34-9C9F32EB15F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2010-03-24'!$A$46:$A$47</c:f>
              <c:numCache>
                <c:formatCode>0.00</c:formatCode>
                <c:ptCount val="2"/>
                <c:pt idx="0">
                  <c:v>32.42</c:v>
                </c:pt>
                <c:pt idx="1">
                  <c:v>32.42</c:v>
                </c:pt>
              </c:numCache>
            </c:numRef>
          </c:xVal>
          <c:yVal>
            <c:numRef>
              <c:f>'Fecha 2010-03-24'!$B$46:$B$47</c:f>
              <c:numCache>
                <c:formatCode>0.000</c:formatCode>
                <c:ptCount val="2"/>
                <c:pt idx="0">
                  <c:v>268.738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80-4E83-8E34-9C9F32EB15F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2010-03-24'!$A$44:$A$45</c:f>
              <c:numCache>
                <c:formatCode>0.00</c:formatCode>
                <c:ptCount val="2"/>
                <c:pt idx="0">
                  <c:v>32.369999999999997</c:v>
                </c:pt>
                <c:pt idx="1">
                  <c:v>32.369999999999997</c:v>
                </c:pt>
              </c:numCache>
            </c:numRef>
          </c:xVal>
          <c:yVal>
            <c:numRef>
              <c:f>'Fecha 2010-03-24'!$B$44:$B$45</c:f>
              <c:numCache>
                <c:formatCode>0.000</c:formatCode>
                <c:ptCount val="2"/>
                <c:pt idx="0">
                  <c:v>264.73</c:v>
                </c:pt>
                <c:pt idx="1">
                  <c:v>266.73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80-4E83-8E34-9C9F32EB15F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2010-03-24'!$A$42:$A$43</c:f>
              <c:numCache>
                <c:formatCode>0.00</c:formatCode>
                <c:ptCount val="2"/>
                <c:pt idx="0">
                  <c:v>5.5</c:v>
                </c:pt>
                <c:pt idx="1">
                  <c:v>34.5</c:v>
                </c:pt>
              </c:numCache>
            </c:numRef>
          </c:xVal>
          <c:yVal>
            <c:numRef>
              <c:f>'Fecha 2010-03-24'!$B$42:$B$43</c:f>
              <c:numCache>
                <c:formatCode>0.000</c:formatCode>
                <c:ptCount val="2"/>
                <c:pt idx="0">
                  <c:v>265.70999999999998</c:v>
                </c:pt>
                <c:pt idx="1">
                  <c:v>265.70999999999998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80-4E83-8E34-9C9F32EB15FF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2010-03-24'!$A$48:$A$49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2010-03-24'!$B$48:$B$49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80-4E83-8E34-9C9F32EB1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51664"/>
        <c:axId val="620552056"/>
      </c:scatterChart>
      <c:valAx>
        <c:axId val="620551664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2056"/>
        <c:crossesAt val="89"/>
        <c:crossBetween val="midCat"/>
        <c:majorUnit val="10"/>
        <c:minorUnit val="2"/>
      </c:valAx>
      <c:valAx>
        <c:axId val="620552056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1664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VERGARA
Dibujó:            PALACIOS
Revisó:    
 Fecha:  2010-05-18
 IDEAM - Area Operativa No. 04</a:t>
            </a:r>
          </a:p>
        </c:rich>
      </c:tx>
      <c:layout>
        <c:manualLayout>
          <c:xMode val="edge"/>
          <c:yMode val="edge"/>
          <c:x val="0.63883472513791117"/>
          <c:y val="0.2525486834307001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743846303543182E-2"/>
          <c:w val="0.93723783427925056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2010-05-18'!$A$3:$A$41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14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24</c:v>
                </c:pt>
                <c:pt idx="18">
                  <c:v>26</c:v>
                </c:pt>
                <c:pt idx="19">
                  <c:v>28</c:v>
                </c:pt>
                <c:pt idx="20">
                  <c:v>30</c:v>
                </c:pt>
                <c:pt idx="21">
                  <c:v>32</c:v>
                </c:pt>
                <c:pt idx="22">
                  <c:v>32.5</c:v>
                </c:pt>
                <c:pt idx="23">
                  <c:v>32.5</c:v>
                </c:pt>
                <c:pt idx="24">
                  <c:v>32.5</c:v>
                </c:pt>
                <c:pt idx="25">
                  <c:v>33.5</c:v>
                </c:pt>
                <c:pt idx="26">
                  <c:v>33.5</c:v>
                </c:pt>
              </c:numCache>
            </c:numRef>
          </c:xVal>
          <c:yVal>
            <c:numRef>
              <c:f>'Fecha 2010-05-18'!$B$3:$B$41</c:f>
              <c:numCache>
                <c:formatCode>0.000</c:formatCode>
                <c:ptCount val="39"/>
                <c:pt idx="0">
                  <c:v>270</c:v>
                </c:pt>
                <c:pt idx="1">
                  <c:v>270.93</c:v>
                </c:pt>
                <c:pt idx="2">
                  <c:v>269.06</c:v>
                </c:pt>
                <c:pt idx="3">
                  <c:v>269.06</c:v>
                </c:pt>
                <c:pt idx="4">
                  <c:v>268.75</c:v>
                </c:pt>
                <c:pt idx="5">
                  <c:v>266.08</c:v>
                </c:pt>
                <c:pt idx="6">
                  <c:v>263.52</c:v>
                </c:pt>
                <c:pt idx="7">
                  <c:v>263.43</c:v>
                </c:pt>
                <c:pt idx="8">
                  <c:v>263.27999999999997</c:v>
                </c:pt>
                <c:pt idx="9">
                  <c:v>263.13</c:v>
                </c:pt>
                <c:pt idx="10">
                  <c:v>263.08999999999997</c:v>
                </c:pt>
                <c:pt idx="11">
                  <c:v>263.02999999999997</c:v>
                </c:pt>
                <c:pt idx="12">
                  <c:v>263.32</c:v>
                </c:pt>
                <c:pt idx="13">
                  <c:v>263.58</c:v>
                </c:pt>
                <c:pt idx="14">
                  <c:v>263.72000000000003</c:v>
                </c:pt>
                <c:pt idx="15">
                  <c:v>263.93</c:v>
                </c:pt>
                <c:pt idx="16">
                  <c:v>263.99</c:v>
                </c:pt>
                <c:pt idx="17">
                  <c:v>264.02999999999997</c:v>
                </c:pt>
                <c:pt idx="18">
                  <c:v>264.06</c:v>
                </c:pt>
                <c:pt idx="19">
                  <c:v>264.13</c:v>
                </c:pt>
                <c:pt idx="20">
                  <c:v>264.23</c:v>
                </c:pt>
                <c:pt idx="21">
                  <c:v>265.23</c:v>
                </c:pt>
                <c:pt idx="22">
                  <c:v>265.27999999999997</c:v>
                </c:pt>
                <c:pt idx="23">
                  <c:v>266.08</c:v>
                </c:pt>
                <c:pt idx="24">
                  <c:v>266.41000000000003</c:v>
                </c:pt>
                <c:pt idx="25">
                  <c:v>266.43</c:v>
                </c:pt>
                <c:pt idx="26">
                  <c:v>270.95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B-4317-A9E0-2382F6C6F5C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2010-05-18'!$A$46:$A$47</c:f>
              <c:numCache>
                <c:formatCode>0.00</c:formatCode>
                <c:ptCount val="2"/>
                <c:pt idx="0">
                  <c:v>32.42</c:v>
                </c:pt>
                <c:pt idx="1">
                  <c:v>32.42</c:v>
                </c:pt>
              </c:numCache>
            </c:numRef>
          </c:xVal>
          <c:yVal>
            <c:numRef>
              <c:f>'Fecha 2010-05-18'!$B$46:$B$47</c:f>
              <c:numCache>
                <c:formatCode>0.000</c:formatCode>
                <c:ptCount val="2"/>
                <c:pt idx="0">
                  <c:v>268.738</c:v>
                </c:pt>
                <c:pt idx="1">
                  <c:v>269.78399999999999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BB-4317-A9E0-2382F6C6F5C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2010-05-18'!$A$44:$A$45</c:f>
              <c:numCache>
                <c:formatCode>0.00</c:formatCode>
                <c:ptCount val="2"/>
                <c:pt idx="0">
                  <c:v>32.369999999999997</c:v>
                </c:pt>
                <c:pt idx="1">
                  <c:v>32.369999999999997</c:v>
                </c:pt>
              </c:numCache>
            </c:numRef>
          </c:xVal>
          <c:yVal>
            <c:numRef>
              <c:f>'Fecha 2010-05-18'!$B$44:$B$45</c:f>
              <c:numCache>
                <c:formatCode>0.000</c:formatCode>
                <c:ptCount val="2"/>
                <c:pt idx="0">
                  <c:v>264.73</c:v>
                </c:pt>
                <c:pt idx="1">
                  <c:v>266.73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BB-4317-A9E0-2382F6C6F5C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2010-05-18'!$A$42:$A$43</c:f>
              <c:numCache>
                <c:formatCode>0.00</c:formatCode>
                <c:ptCount val="2"/>
                <c:pt idx="0">
                  <c:v>4</c:v>
                </c:pt>
                <c:pt idx="1">
                  <c:v>32.5</c:v>
                </c:pt>
              </c:numCache>
            </c:numRef>
          </c:xVal>
          <c:yVal>
            <c:numRef>
              <c:f>'Fecha 2010-05-18'!$B$42:$B$43</c:f>
              <c:numCache>
                <c:formatCode>0.000</c:formatCode>
                <c:ptCount val="2"/>
                <c:pt idx="0">
                  <c:v>266.08</c:v>
                </c:pt>
                <c:pt idx="1">
                  <c:v>266.08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BB-4317-A9E0-2382F6C6F5C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2010-05-18'!$A$48:$A$49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2010-05-18'!$B$48:$B$49</c:f>
              <c:numCache>
                <c:formatCode>0.000</c:formatCode>
                <c:ptCount val="2"/>
                <c:pt idx="0">
                  <c:v>268.26</c:v>
                </c:pt>
                <c:pt idx="1">
                  <c:v>268.26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BB-4317-A9E0-2382F6C6F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52840"/>
        <c:axId val="620553232"/>
      </c:scatterChart>
      <c:valAx>
        <c:axId val="620552840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3232"/>
        <c:crossesAt val="89"/>
        <c:crossBetween val="midCat"/>
        <c:majorUnit val="10"/>
        <c:minorUnit val="2"/>
      </c:valAx>
      <c:valAx>
        <c:axId val="620553232"/>
        <c:scaling>
          <c:orientation val="minMax"/>
          <c:max val="270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2840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RAMIREZ
Dibujó:            PALACIOS
Revisó:    
 Fecha:  2010-10-06
 IDEAM - Area Operativa No. 04</a:t>
            </a:r>
          </a:p>
        </c:rich>
      </c:tx>
      <c:layout>
        <c:manualLayout>
          <c:xMode val="edge"/>
          <c:yMode val="edge"/>
          <c:x val="0.68376813705687967"/>
          <c:y val="5.645161290322580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743846303543182E-2"/>
          <c:w val="0.93723783427925056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2010-10-06'!$A$3:$A$41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3.7</c:v>
                </c:pt>
                <c:pt idx="4">
                  <c:v>3.7</c:v>
                </c:pt>
                <c:pt idx="5">
                  <c:v>4.3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7.5</c:v>
                </c:pt>
                <c:pt idx="10">
                  <c:v>9</c:v>
                </c:pt>
                <c:pt idx="11">
                  <c:v>10.5</c:v>
                </c:pt>
                <c:pt idx="12">
                  <c:v>12</c:v>
                </c:pt>
                <c:pt idx="13">
                  <c:v>13.5</c:v>
                </c:pt>
                <c:pt idx="14">
                  <c:v>15</c:v>
                </c:pt>
                <c:pt idx="15">
                  <c:v>16.5</c:v>
                </c:pt>
                <c:pt idx="16">
                  <c:v>18</c:v>
                </c:pt>
                <c:pt idx="17">
                  <c:v>19.5</c:v>
                </c:pt>
                <c:pt idx="18">
                  <c:v>21</c:v>
                </c:pt>
                <c:pt idx="19">
                  <c:v>22.5</c:v>
                </c:pt>
                <c:pt idx="20">
                  <c:v>24</c:v>
                </c:pt>
                <c:pt idx="21">
                  <c:v>26</c:v>
                </c:pt>
                <c:pt idx="22">
                  <c:v>28</c:v>
                </c:pt>
                <c:pt idx="23">
                  <c:v>30</c:v>
                </c:pt>
                <c:pt idx="24">
                  <c:v>32</c:v>
                </c:pt>
                <c:pt idx="25">
                  <c:v>34.200000000000003</c:v>
                </c:pt>
                <c:pt idx="26">
                  <c:v>34.200000000000003</c:v>
                </c:pt>
                <c:pt idx="27">
                  <c:v>35.5</c:v>
                </c:pt>
                <c:pt idx="28">
                  <c:v>35.5</c:v>
                </c:pt>
              </c:numCache>
            </c:numRef>
          </c:xVal>
          <c:yVal>
            <c:numRef>
              <c:f>'Fecha 2010-10-06'!$B$3:$B$41</c:f>
              <c:numCache>
                <c:formatCode>0.000</c:formatCode>
                <c:ptCount val="39"/>
                <c:pt idx="0">
                  <c:v>270</c:v>
                </c:pt>
                <c:pt idx="1">
                  <c:v>276.67</c:v>
                </c:pt>
                <c:pt idx="2">
                  <c:v>269.77</c:v>
                </c:pt>
                <c:pt idx="3">
                  <c:v>269.85000000000002</c:v>
                </c:pt>
                <c:pt idx="4">
                  <c:v>268.87</c:v>
                </c:pt>
                <c:pt idx="5">
                  <c:v>267.74</c:v>
                </c:pt>
                <c:pt idx="6">
                  <c:v>264.77999999999997</c:v>
                </c:pt>
                <c:pt idx="7">
                  <c:v>263.08</c:v>
                </c:pt>
                <c:pt idx="8">
                  <c:v>263.02999999999997</c:v>
                </c:pt>
                <c:pt idx="9">
                  <c:v>262.83</c:v>
                </c:pt>
                <c:pt idx="10">
                  <c:v>262.73</c:v>
                </c:pt>
                <c:pt idx="11">
                  <c:v>262.58</c:v>
                </c:pt>
                <c:pt idx="12">
                  <c:v>262.48</c:v>
                </c:pt>
                <c:pt idx="13">
                  <c:v>262.58</c:v>
                </c:pt>
                <c:pt idx="14">
                  <c:v>262.77999999999997</c:v>
                </c:pt>
                <c:pt idx="15">
                  <c:v>262.88</c:v>
                </c:pt>
                <c:pt idx="16">
                  <c:v>263.02999999999997</c:v>
                </c:pt>
                <c:pt idx="17">
                  <c:v>263.27999999999997</c:v>
                </c:pt>
                <c:pt idx="18">
                  <c:v>263.27999999999997</c:v>
                </c:pt>
                <c:pt idx="19">
                  <c:v>263.43</c:v>
                </c:pt>
                <c:pt idx="20">
                  <c:v>263.48</c:v>
                </c:pt>
                <c:pt idx="21">
                  <c:v>263.68</c:v>
                </c:pt>
                <c:pt idx="22">
                  <c:v>263.77999999999997</c:v>
                </c:pt>
                <c:pt idx="23">
                  <c:v>263.89999999999998</c:v>
                </c:pt>
                <c:pt idx="24">
                  <c:v>263.89999999999998</c:v>
                </c:pt>
                <c:pt idx="25">
                  <c:v>264.77999999999997</c:v>
                </c:pt>
                <c:pt idx="26">
                  <c:v>265.68</c:v>
                </c:pt>
                <c:pt idx="27">
                  <c:v>265.7</c:v>
                </c:pt>
                <c:pt idx="28">
                  <c:v>276.67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3-43CE-AC69-F5C8FE45C78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2010-10-06'!$A$46:$A$47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2010-10-06'!$B$46:$B$47</c:f>
              <c:numCache>
                <c:formatCode>0.000</c:formatCode>
                <c:ptCount val="2"/>
                <c:pt idx="0">
                  <c:v>268.78800000000001</c:v>
                </c:pt>
                <c:pt idx="1">
                  <c:v>270.28800000000001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A3-43CE-AC69-F5C8FE45C78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2010-10-06'!$A$44:$A$45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2010-10-06'!$B$44:$B$45</c:f>
              <c:numCache>
                <c:formatCode>0.000</c:formatCode>
                <c:ptCount val="2"/>
                <c:pt idx="0">
                  <c:v>263.77100000000002</c:v>
                </c:pt>
                <c:pt idx="1">
                  <c:v>265.77100000000002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A3-43CE-AC69-F5C8FE45C78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2010-10-06'!$A$42:$A$43</c:f>
              <c:numCache>
                <c:formatCode>0.00</c:formatCode>
                <c:ptCount val="2"/>
                <c:pt idx="0">
                  <c:v>5</c:v>
                </c:pt>
                <c:pt idx="1">
                  <c:v>34.200000000000003</c:v>
                </c:pt>
              </c:numCache>
            </c:numRef>
          </c:xVal>
          <c:yVal>
            <c:numRef>
              <c:f>'Fecha 2010-10-06'!$B$42:$B$43</c:f>
              <c:numCache>
                <c:formatCode>0.000</c:formatCode>
                <c:ptCount val="2"/>
                <c:pt idx="0">
                  <c:v>264.77999999999997</c:v>
                </c:pt>
                <c:pt idx="1">
                  <c:v>264.77999999999997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A3-43CE-AC69-F5C8FE45C78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2010-10-06'!$A$48:$A$49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2010-10-06'!$B$48:$B$49</c:f>
              <c:numCache>
                <c:formatCode>0.000</c:formatCode>
                <c:ptCount val="2"/>
                <c:pt idx="0">
                  <c:v>276.67</c:v>
                </c:pt>
                <c:pt idx="1">
                  <c:v>276.67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A3-43CE-AC69-F5C8FE45C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54016"/>
        <c:axId val="620554408"/>
      </c:scatterChart>
      <c:valAx>
        <c:axId val="620554016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4408"/>
        <c:crossesAt val="89"/>
        <c:crossBetween val="midCat"/>
        <c:majorUnit val="10"/>
        <c:minorUnit val="2"/>
      </c:valAx>
      <c:valAx>
        <c:axId val="620554408"/>
        <c:scaling>
          <c:orientation val="minMax"/>
          <c:max val="277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4016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VERGARA
Dibujó:     JIMENEZ SANZ
Revisó:    
 Fecha:  2011-03-08
 IDEAM - Area Operativa No. 04</a:t>
            </a:r>
          </a:p>
        </c:rich>
      </c:tx>
      <c:layout>
        <c:manualLayout>
          <c:xMode val="edge"/>
          <c:yMode val="edge"/>
          <c:x val="0.36564880609436018"/>
          <c:y val="0.1654012510316897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818103913538858E-2"/>
          <c:w val="0.93807840632793149"/>
          <c:h val="0.919115812198108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2011-03-08'!$A$3:$A$41</c:f>
              <c:numCache>
                <c:formatCode>0.00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13</c:v>
                </c:pt>
                <c:pt idx="11">
                  <c:v>15</c:v>
                </c:pt>
                <c:pt idx="12">
                  <c:v>17</c:v>
                </c:pt>
                <c:pt idx="13">
                  <c:v>19</c:v>
                </c:pt>
                <c:pt idx="14">
                  <c:v>21</c:v>
                </c:pt>
                <c:pt idx="15">
                  <c:v>23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31</c:v>
                </c:pt>
                <c:pt idx="20">
                  <c:v>33</c:v>
                </c:pt>
                <c:pt idx="21">
                  <c:v>35.4</c:v>
                </c:pt>
                <c:pt idx="22">
                  <c:v>35.4</c:v>
                </c:pt>
                <c:pt idx="23">
                  <c:v>35.4</c:v>
                </c:pt>
                <c:pt idx="24">
                  <c:v>36.700000000000003</c:v>
                </c:pt>
                <c:pt idx="25">
                  <c:v>36.700000000000003</c:v>
                </c:pt>
              </c:numCache>
            </c:numRef>
          </c:xVal>
          <c:yVal>
            <c:numRef>
              <c:f>'Fecha 2011-03-08'!$B$3:$B$41</c:f>
              <c:numCache>
                <c:formatCode>0.000</c:formatCode>
                <c:ptCount val="39"/>
                <c:pt idx="0">
                  <c:v>270</c:v>
                </c:pt>
                <c:pt idx="1">
                  <c:v>270.93</c:v>
                </c:pt>
                <c:pt idx="2">
                  <c:v>269.02</c:v>
                </c:pt>
                <c:pt idx="3">
                  <c:v>269.02</c:v>
                </c:pt>
                <c:pt idx="4">
                  <c:v>268.93</c:v>
                </c:pt>
                <c:pt idx="5">
                  <c:v>265.54000000000002</c:v>
                </c:pt>
                <c:pt idx="6">
                  <c:v>264.19</c:v>
                </c:pt>
                <c:pt idx="7">
                  <c:v>264.19</c:v>
                </c:pt>
                <c:pt idx="8">
                  <c:v>263.97000000000003</c:v>
                </c:pt>
                <c:pt idx="9">
                  <c:v>264.12</c:v>
                </c:pt>
                <c:pt idx="10">
                  <c:v>264.06</c:v>
                </c:pt>
                <c:pt idx="11">
                  <c:v>264.02999999999997</c:v>
                </c:pt>
                <c:pt idx="12">
                  <c:v>264.19</c:v>
                </c:pt>
                <c:pt idx="13">
                  <c:v>264.33999999999997</c:v>
                </c:pt>
                <c:pt idx="14">
                  <c:v>264.45999999999998</c:v>
                </c:pt>
                <c:pt idx="15">
                  <c:v>264.52</c:v>
                </c:pt>
                <c:pt idx="16">
                  <c:v>264.61</c:v>
                </c:pt>
                <c:pt idx="17">
                  <c:v>264.74</c:v>
                </c:pt>
                <c:pt idx="18">
                  <c:v>264.89999999999998</c:v>
                </c:pt>
                <c:pt idx="19">
                  <c:v>264.86</c:v>
                </c:pt>
                <c:pt idx="20">
                  <c:v>264.89</c:v>
                </c:pt>
                <c:pt idx="21">
                  <c:v>265.19</c:v>
                </c:pt>
                <c:pt idx="22">
                  <c:v>265.54000000000002</c:v>
                </c:pt>
                <c:pt idx="23">
                  <c:v>266.39</c:v>
                </c:pt>
                <c:pt idx="24">
                  <c:v>266.41000000000003</c:v>
                </c:pt>
                <c:pt idx="25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4B-4021-8C7E-8012E607CA3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2011-03-08'!$A$46:$A$47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2011-03-08'!$B$46:$B$47</c:f>
              <c:numCache>
                <c:formatCode>0.000</c:formatCode>
                <c:ptCount val="2"/>
                <c:pt idx="0">
                  <c:v>268.738</c:v>
                </c:pt>
                <c:pt idx="1">
                  <c:v>270.238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4B-4021-8C7E-8012E607CA3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2011-03-08'!$A$44:$A$45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2011-03-08'!$B$44:$B$45</c:f>
              <c:numCache>
                <c:formatCode>0.000</c:formatCode>
                <c:ptCount val="2"/>
                <c:pt idx="0">
                  <c:v>264.73</c:v>
                </c:pt>
                <c:pt idx="1">
                  <c:v>266.73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4B-4021-8C7E-8012E607CA3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2011-03-08'!$A$42:$A$43</c:f>
              <c:numCache>
                <c:formatCode>0.00</c:formatCode>
                <c:ptCount val="2"/>
                <c:pt idx="0">
                  <c:v>4</c:v>
                </c:pt>
                <c:pt idx="1">
                  <c:v>35.4</c:v>
                </c:pt>
              </c:numCache>
            </c:numRef>
          </c:xVal>
          <c:yVal>
            <c:numRef>
              <c:f>'Fecha 2011-03-08'!$B$42:$B$43</c:f>
              <c:numCache>
                <c:formatCode>0.000</c:formatCode>
                <c:ptCount val="2"/>
                <c:pt idx="0">
                  <c:v>265.54000000000002</c:v>
                </c:pt>
                <c:pt idx="1">
                  <c:v>265.54000000000002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4B-4021-8C7E-8012E607CA3E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lg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2011-03-08'!$A$48:$A$49</c:f>
              <c:numCache>
                <c:formatCode>0.00</c:formatCode>
                <c:ptCount val="2"/>
                <c:pt idx="0">
                  <c:v>0</c:v>
                </c:pt>
                <c:pt idx="1">
                  <c:v>36.700000000000003</c:v>
                </c:pt>
              </c:numCache>
            </c:numRef>
          </c:xVal>
          <c:yVal>
            <c:numRef>
              <c:f>'Fecha 2011-03-08'!$B$48:$B$49</c:f>
              <c:numCache>
                <c:formatCode>0.000</c:formatCode>
                <c:ptCount val="2"/>
                <c:pt idx="0">
                  <c:v>270.93</c:v>
                </c:pt>
                <c:pt idx="1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4B-4021-8C7E-8012E607C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55192"/>
        <c:axId val="620555584"/>
      </c:scatterChart>
      <c:valAx>
        <c:axId val="620555192"/>
        <c:scaling>
          <c:orientation val="minMax"/>
          <c:max val="3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96662317967193"/>
              <c:y val="0.9617042055789537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5584"/>
        <c:crossesAt val="89"/>
        <c:crossBetween val="midCat"/>
        <c:majorUnit val="10"/>
        <c:minorUnit val="2"/>
      </c:valAx>
      <c:valAx>
        <c:axId val="620555584"/>
        <c:scaling>
          <c:orientation val="minMax"/>
          <c:max val="271.2"/>
          <c:min val="26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7397912470243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55192"/>
        <c:crossesAt val="0"/>
        <c:crossBetween val="midCat"/>
        <c:majorUnit val="2"/>
        <c:min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VERGARA
Dibujó:          D.A.S.
Revisó:    
 Fecha:        2011-08-28
 IDEAM - Area Operativa No. 04</a:t>
            </a:r>
          </a:p>
        </c:rich>
      </c:tx>
      <c:layout>
        <c:manualLayout>
          <c:xMode val="edge"/>
          <c:yMode val="edge"/>
          <c:x val="0.62538563251502732"/>
          <c:y val="8.681356362712726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6231462677451818E-2"/>
          <c:y val="1.8743846303543182E-2"/>
          <c:w val="0.93723783427925056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2011-08-28'!$A$3:$A$41</c:f>
              <c:numCache>
                <c:formatCode>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</c:v>
                </c:pt>
                <c:pt idx="4">
                  <c:v>3.5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22</c:v>
                </c:pt>
                <c:pt idx="21">
                  <c:v>24</c:v>
                </c:pt>
                <c:pt idx="22">
                  <c:v>26</c:v>
                </c:pt>
                <c:pt idx="23">
                  <c:v>28</c:v>
                </c:pt>
                <c:pt idx="24">
                  <c:v>30</c:v>
                </c:pt>
                <c:pt idx="25">
                  <c:v>32</c:v>
                </c:pt>
                <c:pt idx="26">
                  <c:v>34</c:v>
                </c:pt>
                <c:pt idx="27">
                  <c:v>34.5</c:v>
                </c:pt>
                <c:pt idx="28">
                  <c:v>34.5</c:v>
                </c:pt>
                <c:pt idx="29">
                  <c:v>34.5</c:v>
                </c:pt>
                <c:pt idx="30">
                  <c:v>36.700000000000003</c:v>
                </c:pt>
                <c:pt idx="31">
                  <c:v>36.700000000000003</c:v>
                </c:pt>
                <c:pt idx="32">
                  <c:v>36.700000000000003</c:v>
                </c:pt>
              </c:numCache>
            </c:numRef>
          </c:xVal>
          <c:yVal>
            <c:numRef>
              <c:f>'Fecha 2011-08-28'!$B$3:$B$41</c:f>
              <c:numCache>
                <c:formatCode>0.000</c:formatCode>
                <c:ptCount val="39"/>
                <c:pt idx="0">
                  <c:v>270</c:v>
                </c:pt>
                <c:pt idx="1">
                  <c:v>269.35000000000002</c:v>
                </c:pt>
                <c:pt idx="2">
                  <c:v>269.27</c:v>
                </c:pt>
                <c:pt idx="3">
                  <c:v>269.22000000000003</c:v>
                </c:pt>
                <c:pt idx="4">
                  <c:v>268.20999999999998</c:v>
                </c:pt>
                <c:pt idx="5">
                  <c:v>267.89</c:v>
                </c:pt>
                <c:pt idx="6">
                  <c:v>268.76</c:v>
                </c:pt>
                <c:pt idx="7">
                  <c:v>267.79000000000002</c:v>
                </c:pt>
                <c:pt idx="8">
                  <c:v>267.74</c:v>
                </c:pt>
                <c:pt idx="9">
                  <c:v>266.77</c:v>
                </c:pt>
                <c:pt idx="10">
                  <c:v>265.02</c:v>
                </c:pt>
                <c:pt idx="11">
                  <c:v>262.89999999999998</c:v>
                </c:pt>
                <c:pt idx="12">
                  <c:v>262.83</c:v>
                </c:pt>
                <c:pt idx="13">
                  <c:v>262.73</c:v>
                </c:pt>
                <c:pt idx="14">
                  <c:v>262.61</c:v>
                </c:pt>
                <c:pt idx="15">
                  <c:v>262.44</c:v>
                </c:pt>
                <c:pt idx="16">
                  <c:v>262.39999999999998</c:v>
                </c:pt>
                <c:pt idx="17">
                  <c:v>262.43</c:v>
                </c:pt>
                <c:pt idx="18">
                  <c:v>262.69</c:v>
                </c:pt>
                <c:pt idx="19">
                  <c:v>263.02</c:v>
                </c:pt>
                <c:pt idx="20">
                  <c:v>263.16000000000003</c:v>
                </c:pt>
                <c:pt idx="21">
                  <c:v>263.22000000000003</c:v>
                </c:pt>
                <c:pt idx="22">
                  <c:v>263.33999999999997</c:v>
                </c:pt>
                <c:pt idx="23">
                  <c:v>263.35000000000002</c:v>
                </c:pt>
                <c:pt idx="24">
                  <c:v>263.22000000000003</c:v>
                </c:pt>
                <c:pt idx="25">
                  <c:v>263.29000000000002</c:v>
                </c:pt>
                <c:pt idx="26">
                  <c:v>264.22000000000003</c:v>
                </c:pt>
                <c:pt idx="27">
                  <c:v>264.32</c:v>
                </c:pt>
                <c:pt idx="28">
                  <c:v>265.02</c:v>
                </c:pt>
                <c:pt idx="29">
                  <c:v>266.39</c:v>
                </c:pt>
                <c:pt idx="30">
                  <c:v>269.10000000000002</c:v>
                </c:pt>
                <c:pt idx="31">
                  <c:v>269</c:v>
                </c:pt>
                <c:pt idx="32">
                  <c:v>269.35000000000002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A-44BB-8D98-01BC17B1FF9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2011-08-28'!$A$46:$A$47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2011-08-28'!$B$46:$B$47</c:f>
              <c:numCache>
                <c:formatCode>0.000</c:formatCode>
                <c:ptCount val="2"/>
                <c:pt idx="0">
                  <c:v>268.78800000000001</c:v>
                </c:pt>
                <c:pt idx="1">
                  <c:v>270.28800000000001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A-44BB-8D98-01BC17B1FF9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2011-08-28'!$A$44:$A$45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2011-08-28'!$B$44:$B$45</c:f>
              <c:numCache>
                <c:formatCode>0.000</c:formatCode>
                <c:ptCount val="2"/>
                <c:pt idx="0">
                  <c:v>263.76499999999999</c:v>
                </c:pt>
                <c:pt idx="1">
                  <c:v>265.77100000000002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3A-44BB-8D98-01BC17B1FF9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2011-08-28'!$A$42:$A$43</c:f>
              <c:numCache>
                <c:formatCode>0.00</c:formatCode>
                <c:ptCount val="2"/>
                <c:pt idx="0">
                  <c:v>4</c:v>
                </c:pt>
                <c:pt idx="1">
                  <c:v>34.5</c:v>
                </c:pt>
              </c:numCache>
            </c:numRef>
          </c:xVal>
          <c:yVal>
            <c:numRef>
              <c:f>'Fecha 2011-08-28'!$B$42:$B$43</c:f>
              <c:numCache>
                <c:formatCode>0.000</c:formatCode>
                <c:ptCount val="2"/>
                <c:pt idx="0">
                  <c:v>265.02</c:v>
                </c:pt>
                <c:pt idx="1">
                  <c:v>265.02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3A-44BB-8D98-01BC17B1FF96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2011-08-28'!$A$48:$A$49</c:f>
              <c:numCache>
                <c:formatCode>0.00</c:formatCode>
                <c:ptCount val="2"/>
                <c:pt idx="0">
                  <c:v>0</c:v>
                </c:pt>
                <c:pt idx="1">
                  <c:v>35.57</c:v>
                </c:pt>
              </c:numCache>
            </c:numRef>
          </c:xVal>
          <c:yVal>
            <c:numRef>
              <c:f>'Fecha 2011-08-28'!$B$48:$B$49</c:f>
              <c:numCache>
                <c:formatCode>0.000</c:formatCode>
                <c:ptCount val="2"/>
                <c:pt idx="0">
                  <c:v>276.67</c:v>
                </c:pt>
                <c:pt idx="1">
                  <c:v>276.67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3A-44BB-8D98-01BC17B1F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75152"/>
        <c:axId val="620575544"/>
      </c:scatterChart>
      <c:valAx>
        <c:axId val="620575152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5544"/>
        <c:crossesAt val="89"/>
        <c:crossBetween val="midCat"/>
        <c:majorUnit val="10"/>
        <c:minorUnit val="2"/>
      </c:valAx>
      <c:valAx>
        <c:axId val="620575544"/>
        <c:scaling>
          <c:orientation val="minMax"/>
          <c:max val="277"/>
          <c:min val="2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5152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VERGARA
Dibujó:          VERGARA.
Revisó:    
 Fecha:        2011-12-05
 IDEAM - Area Operativa No. 04</a:t>
            </a:r>
          </a:p>
        </c:rich>
      </c:tx>
      <c:layout>
        <c:manualLayout>
          <c:xMode val="edge"/>
          <c:yMode val="edge"/>
          <c:x val="0.64508016397025225"/>
          <c:y val="4.33467741935483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2011-12-05)'!$A$3:$A$34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3.5</c:v>
                </c:pt>
                <c:pt idx="7">
                  <c:v>3.5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7.5</c:v>
                </c:pt>
                <c:pt idx="13">
                  <c:v>9</c:v>
                </c:pt>
                <c:pt idx="14">
                  <c:v>10.5</c:v>
                </c:pt>
                <c:pt idx="15">
                  <c:v>12</c:v>
                </c:pt>
                <c:pt idx="16">
                  <c:v>13.5</c:v>
                </c:pt>
                <c:pt idx="17">
                  <c:v>15</c:v>
                </c:pt>
                <c:pt idx="18">
                  <c:v>16.5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34.5</c:v>
                </c:pt>
                <c:pt idx="28">
                  <c:v>34.5</c:v>
                </c:pt>
                <c:pt idx="29">
                  <c:v>34.5</c:v>
                </c:pt>
                <c:pt idx="30">
                  <c:v>36.700000000000003</c:v>
                </c:pt>
                <c:pt idx="31">
                  <c:v>36.700000000000003</c:v>
                </c:pt>
              </c:numCache>
            </c:numRef>
          </c:xVal>
          <c:yVal>
            <c:numRef>
              <c:f>'Fecha 2011-12-05)'!$B$3:$B$34</c:f>
              <c:numCache>
                <c:formatCode>0.000</c:formatCode>
                <c:ptCount val="32"/>
                <c:pt idx="0">
                  <c:v>269.34800000000001</c:v>
                </c:pt>
                <c:pt idx="1">
                  <c:v>268.77</c:v>
                </c:pt>
                <c:pt idx="2">
                  <c:v>267.8</c:v>
                </c:pt>
                <c:pt idx="3">
                  <c:v>267.74</c:v>
                </c:pt>
                <c:pt idx="4">
                  <c:v>266.75</c:v>
                </c:pt>
                <c:pt idx="5">
                  <c:v>269.27</c:v>
                </c:pt>
                <c:pt idx="6">
                  <c:v>269.23</c:v>
                </c:pt>
                <c:pt idx="7">
                  <c:v>268.20999999999998</c:v>
                </c:pt>
                <c:pt idx="8">
                  <c:v>267.89</c:v>
                </c:pt>
                <c:pt idx="9">
                  <c:v>264.70999999999998</c:v>
                </c:pt>
                <c:pt idx="10">
                  <c:v>261.60000000000002</c:v>
                </c:pt>
                <c:pt idx="11">
                  <c:v>261.58999999999997</c:v>
                </c:pt>
                <c:pt idx="12">
                  <c:v>261.42</c:v>
                </c:pt>
                <c:pt idx="13">
                  <c:v>261.81</c:v>
                </c:pt>
                <c:pt idx="14">
                  <c:v>261.95999999999998</c:v>
                </c:pt>
                <c:pt idx="15">
                  <c:v>261.99</c:v>
                </c:pt>
                <c:pt idx="16">
                  <c:v>262.3</c:v>
                </c:pt>
                <c:pt idx="17">
                  <c:v>262.16000000000003</c:v>
                </c:pt>
                <c:pt idx="18">
                  <c:v>262.19</c:v>
                </c:pt>
                <c:pt idx="19">
                  <c:v>262.39999999999998</c:v>
                </c:pt>
                <c:pt idx="20">
                  <c:v>262.55</c:v>
                </c:pt>
                <c:pt idx="21">
                  <c:v>262.82</c:v>
                </c:pt>
                <c:pt idx="22">
                  <c:v>262.85000000000002</c:v>
                </c:pt>
                <c:pt idx="23">
                  <c:v>263.06</c:v>
                </c:pt>
                <c:pt idx="24">
                  <c:v>263.20999999999998</c:v>
                </c:pt>
                <c:pt idx="25">
                  <c:v>263.36</c:v>
                </c:pt>
                <c:pt idx="26">
                  <c:v>263.49</c:v>
                </c:pt>
                <c:pt idx="27">
                  <c:v>264.31</c:v>
                </c:pt>
                <c:pt idx="28">
                  <c:v>264.70999999999998</c:v>
                </c:pt>
                <c:pt idx="29">
                  <c:v>266.39</c:v>
                </c:pt>
                <c:pt idx="30">
                  <c:v>266.27</c:v>
                </c:pt>
                <c:pt idx="31">
                  <c:v>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4-4E7B-B388-4F4E6B3A15C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2011-12-05)'!$A$46:$A$47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2011-12-05)'!$B$46:$B$47</c:f>
              <c:numCache>
                <c:formatCode>0.000</c:formatCode>
                <c:ptCount val="2"/>
                <c:pt idx="0">
                  <c:v>268.78800000000001</c:v>
                </c:pt>
                <c:pt idx="1">
                  <c:v>270.28800000000001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04-4E7B-B388-4F4E6B3A15C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2011-12-05)'!$A$44:$A$45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2011-12-05)'!$B$44:$B$45</c:f>
              <c:numCache>
                <c:formatCode>0.000</c:formatCode>
                <c:ptCount val="2"/>
                <c:pt idx="0">
                  <c:v>263.76499999999999</c:v>
                </c:pt>
                <c:pt idx="1">
                  <c:v>265.77100000000002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04-4E7B-B388-4F4E6B3A15C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2011-12-05)'!$A$42:$A$43</c:f>
              <c:numCache>
                <c:formatCode>0.00</c:formatCode>
                <c:ptCount val="2"/>
                <c:pt idx="0">
                  <c:v>5</c:v>
                </c:pt>
                <c:pt idx="1">
                  <c:v>34.5</c:v>
                </c:pt>
              </c:numCache>
            </c:numRef>
          </c:xVal>
          <c:yVal>
            <c:numRef>
              <c:f>'Fecha 2011-12-05)'!$B$42:$B$43</c:f>
              <c:numCache>
                <c:formatCode>0.000</c:formatCode>
                <c:ptCount val="2"/>
                <c:pt idx="0">
                  <c:v>264.70999999999998</c:v>
                </c:pt>
                <c:pt idx="1">
                  <c:v>264.70999999999998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04-4E7B-B388-4F4E6B3A15C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2011-12-05)'!$A$48:$A$49</c:f>
              <c:numCache>
                <c:formatCode>0.00</c:formatCode>
                <c:ptCount val="2"/>
                <c:pt idx="0">
                  <c:v>0</c:v>
                </c:pt>
                <c:pt idx="1">
                  <c:v>36.700000000000003</c:v>
                </c:pt>
              </c:numCache>
            </c:numRef>
          </c:xVal>
          <c:yVal>
            <c:numRef>
              <c:f>'Fecha 2011-12-05)'!$B$48:$B$49</c:f>
              <c:numCache>
                <c:formatCode>0.000</c:formatCode>
                <c:ptCount val="2"/>
                <c:pt idx="0">
                  <c:v>269.27</c:v>
                </c:pt>
                <c:pt idx="1">
                  <c:v>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04-4E7B-B388-4F4E6B3A1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76328"/>
        <c:axId val="620576720"/>
      </c:scatterChart>
      <c:valAx>
        <c:axId val="620576328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36516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6720"/>
        <c:crossesAt val="89"/>
        <c:crossBetween val="midCat"/>
        <c:majorUnit val="10"/>
        <c:minorUnit val="2"/>
      </c:valAx>
      <c:valAx>
        <c:axId val="620576720"/>
        <c:scaling>
          <c:orientation val="minMax"/>
          <c:max val="277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6861400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6328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VERGARA
Dibujó:            D.A.S.
Revisó:    
 Fecha:        2013-06-04
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2307692307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2013-06-04'!$A$3:$A$33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3.5</c:v>
                </c:pt>
                <c:pt idx="3">
                  <c:v>3.5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7.5</c:v>
                </c:pt>
                <c:pt idx="12">
                  <c:v>9</c:v>
                </c:pt>
                <c:pt idx="13">
                  <c:v>10.5</c:v>
                </c:pt>
                <c:pt idx="14">
                  <c:v>12</c:v>
                </c:pt>
                <c:pt idx="15">
                  <c:v>13.5</c:v>
                </c:pt>
                <c:pt idx="16">
                  <c:v>15</c:v>
                </c:pt>
                <c:pt idx="17">
                  <c:v>16.5</c:v>
                </c:pt>
                <c:pt idx="18">
                  <c:v>18</c:v>
                </c:pt>
                <c:pt idx="19">
                  <c:v>20</c:v>
                </c:pt>
                <c:pt idx="20">
                  <c:v>22</c:v>
                </c:pt>
                <c:pt idx="21">
                  <c:v>24</c:v>
                </c:pt>
                <c:pt idx="22">
                  <c:v>26</c:v>
                </c:pt>
                <c:pt idx="23">
                  <c:v>28</c:v>
                </c:pt>
                <c:pt idx="24">
                  <c:v>30</c:v>
                </c:pt>
                <c:pt idx="25">
                  <c:v>32</c:v>
                </c:pt>
                <c:pt idx="26">
                  <c:v>34.5</c:v>
                </c:pt>
                <c:pt idx="27">
                  <c:v>34.5</c:v>
                </c:pt>
                <c:pt idx="28">
                  <c:v>34.5</c:v>
                </c:pt>
                <c:pt idx="29">
                  <c:v>36.700000000000003</c:v>
                </c:pt>
                <c:pt idx="30">
                  <c:v>36.700000000000003</c:v>
                </c:pt>
              </c:numCache>
            </c:numRef>
          </c:xVal>
          <c:yVal>
            <c:numRef>
              <c:f>'Fecha 2013-06-04'!$B$3:$B$33</c:f>
              <c:numCache>
                <c:formatCode>0.000</c:formatCode>
                <c:ptCount val="31"/>
                <c:pt idx="0">
                  <c:v>269.34800000000001</c:v>
                </c:pt>
                <c:pt idx="1">
                  <c:v>269.27</c:v>
                </c:pt>
                <c:pt idx="2">
                  <c:v>269.20999999999998</c:v>
                </c:pt>
                <c:pt idx="3">
                  <c:v>268.2</c:v>
                </c:pt>
                <c:pt idx="4">
                  <c:v>267.87</c:v>
                </c:pt>
                <c:pt idx="5">
                  <c:v>267.8</c:v>
                </c:pt>
                <c:pt idx="6">
                  <c:v>267.74</c:v>
                </c:pt>
                <c:pt idx="7">
                  <c:v>266.75</c:v>
                </c:pt>
                <c:pt idx="8">
                  <c:v>264.89999999999998</c:v>
                </c:pt>
                <c:pt idx="9">
                  <c:v>261.60000000000002</c:v>
                </c:pt>
                <c:pt idx="10">
                  <c:v>261.58999999999997</c:v>
                </c:pt>
                <c:pt idx="11">
                  <c:v>261.42</c:v>
                </c:pt>
                <c:pt idx="12">
                  <c:v>261.81</c:v>
                </c:pt>
                <c:pt idx="13">
                  <c:v>261.95999999999998</c:v>
                </c:pt>
                <c:pt idx="14">
                  <c:v>261.99</c:v>
                </c:pt>
                <c:pt idx="15">
                  <c:v>262.3</c:v>
                </c:pt>
                <c:pt idx="16">
                  <c:v>262.16000000000003</c:v>
                </c:pt>
                <c:pt idx="17">
                  <c:v>262.19</c:v>
                </c:pt>
                <c:pt idx="18">
                  <c:v>262.39999999999998</c:v>
                </c:pt>
                <c:pt idx="19">
                  <c:v>262.55</c:v>
                </c:pt>
                <c:pt idx="20">
                  <c:v>262.81</c:v>
                </c:pt>
                <c:pt idx="21">
                  <c:v>262.83</c:v>
                </c:pt>
                <c:pt idx="22">
                  <c:v>263.06</c:v>
                </c:pt>
                <c:pt idx="23">
                  <c:v>263.20999999999998</c:v>
                </c:pt>
                <c:pt idx="24">
                  <c:v>263.36</c:v>
                </c:pt>
                <c:pt idx="25">
                  <c:v>263.51</c:v>
                </c:pt>
                <c:pt idx="26">
                  <c:v>264.29000000000002</c:v>
                </c:pt>
                <c:pt idx="27">
                  <c:v>264.89999999999998</c:v>
                </c:pt>
                <c:pt idx="28">
                  <c:v>266.39</c:v>
                </c:pt>
                <c:pt idx="29">
                  <c:v>269</c:v>
                </c:pt>
                <c:pt idx="30">
                  <c:v>269.35000000000002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17-459E-940F-66C6BBB19E6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2013-06-04'!$A$45:$A$46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2013-06-04'!$B$45:$B$46</c:f>
              <c:numCache>
                <c:formatCode>0.000</c:formatCode>
                <c:ptCount val="2"/>
                <c:pt idx="0">
                  <c:v>268.78800000000001</c:v>
                </c:pt>
                <c:pt idx="1">
                  <c:v>270.28800000000001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17-459E-940F-66C6BBB19E6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2013-06-04'!$A$43:$A$44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2013-06-04'!$B$43:$B$44</c:f>
              <c:numCache>
                <c:formatCode>0.000</c:formatCode>
                <c:ptCount val="2"/>
                <c:pt idx="0">
                  <c:v>263.76499999999999</c:v>
                </c:pt>
                <c:pt idx="1">
                  <c:v>265.77100000000002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17-459E-940F-66C6BBB19E6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2013-06-04'!$A$41:$A$42</c:f>
              <c:numCache>
                <c:formatCode>0.00</c:formatCode>
                <c:ptCount val="2"/>
                <c:pt idx="0">
                  <c:v>5</c:v>
                </c:pt>
                <c:pt idx="1">
                  <c:v>34.5</c:v>
                </c:pt>
              </c:numCache>
            </c:numRef>
          </c:xVal>
          <c:yVal>
            <c:numRef>
              <c:f>'Fecha 2013-06-04'!$B$41:$B$42</c:f>
              <c:numCache>
                <c:formatCode>0.000</c:formatCode>
                <c:ptCount val="2"/>
                <c:pt idx="0">
                  <c:v>264.89999999999998</c:v>
                </c:pt>
                <c:pt idx="1">
                  <c:v>264.89999999999998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17-459E-940F-66C6BBB19E66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2013-06-04'!$A$47:$A$48</c:f>
              <c:numCache>
                <c:formatCode>0.00</c:formatCode>
                <c:ptCount val="2"/>
                <c:pt idx="0">
                  <c:v>0</c:v>
                </c:pt>
                <c:pt idx="1">
                  <c:v>36.700000000000003</c:v>
                </c:pt>
              </c:numCache>
            </c:numRef>
          </c:xVal>
          <c:yVal>
            <c:numRef>
              <c:f>'Fecha 2013-06-04'!$B$47:$B$48</c:f>
              <c:numCache>
                <c:formatCode>0.000</c:formatCode>
                <c:ptCount val="2"/>
                <c:pt idx="0">
                  <c:v>269.27</c:v>
                </c:pt>
                <c:pt idx="1">
                  <c:v>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17-459E-940F-66C6BBB19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77504"/>
        <c:axId val="620577896"/>
      </c:scatterChart>
      <c:valAx>
        <c:axId val="620577504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247324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7896"/>
        <c:crossesAt val="89"/>
        <c:crossBetween val="midCat"/>
        <c:majorUnit val="10"/>
        <c:minorUnit val="2"/>
      </c:valAx>
      <c:valAx>
        <c:axId val="620577896"/>
        <c:scaling>
          <c:orientation val="minMax"/>
          <c:max val="277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32142136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7504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PALACIOS
Dibujó:            PALACIOS
Revisó:    
 Fecha:        2013-10-01
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2307692307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2013-10-01'!$A$3:$A$33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4</c:v>
                </c:pt>
                <c:pt idx="9">
                  <c:v>5.5</c:v>
                </c:pt>
                <c:pt idx="10">
                  <c:v>7</c:v>
                </c:pt>
                <c:pt idx="11">
                  <c:v>8.5</c:v>
                </c:pt>
                <c:pt idx="12">
                  <c:v>10</c:v>
                </c:pt>
                <c:pt idx="13">
                  <c:v>11.5</c:v>
                </c:pt>
                <c:pt idx="14">
                  <c:v>13</c:v>
                </c:pt>
                <c:pt idx="15">
                  <c:v>14.5</c:v>
                </c:pt>
                <c:pt idx="16">
                  <c:v>16</c:v>
                </c:pt>
                <c:pt idx="17">
                  <c:v>17.5</c:v>
                </c:pt>
                <c:pt idx="18">
                  <c:v>19</c:v>
                </c:pt>
                <c:pt idx="19">
                  <c:v>21</c:v>
                </c:pt>
                <c:pt idx="20">
                  <c:v>23</c:v>
                </c:pt>
                <c:pt idx="21">
                  <c:v>25</c:v>
                </c:pt>
                <c:pt idx="22">
                  <c:v>27</c:v>
                </c:pt>
                <c:pt idx="23">
                  <c:v>29</c:v>
                </c:pt>
                <c:pt idx="24">
                  <c:v>33.5</c:v>
                </c:pt>
                <c:pt idx="25">
                  <c:v>33.5</c:v>
                </c:pt>
                <c:pt idx="26">
                  <c:v>33.5</c:v>
                </c:pt>
                <c:pt idx="27">
                  <c:v>34.5</c:v>
                </c:pt>
                <c:pt idx="28">
                  <c:v>34.5</c:v>
                </c:pt>
              </c:numCache>
            </c:numRef>
          </c:xVal>
          <c:yVal>
            <c:numRef>
              <c:f>'Fecha 2013-10-01'!$B$3:$B$33</c:f>
              <c:numCache>
                <c:formatCode>0.000</c:formatCode>
                <c:ptCount val="31"/>
                <c:pt idx="0">
                  <c:v>269.35000000000002</c:v>
                </c:pt>
                <c:pt idx="1">
                  <c:v>277.23</c:v>
                </c:pt>
                <c:pt idx="2">
                  <c:v>269.23</c:v>
                </c:pt>
                <c:pt idx="3">
                  <c:v>269.26</c:v>
                </c:pt>
                <c:pt idx="4">
                  <c:v>268.2</c:v>
                </c:pt>
                <c:pt idx="5">
                  <c:v>268.2</c:v>
                </c:pt>
                <c:pt idx="6">
                  <c:v>264.92</c:v>
                </c:pt>
                <c:pt idx="7">
                  <c:v>262.12</c:v>
                </c:pt>
                <c:pt idx="8">
                  <c:v>262.08</c:v>
                </c:pt>
                <c:pt idx="9">
                  <c:v>262.17</c:v>
                </c:pt>
                <c:pt idx="10">
                  <c:v>262.11</c:v>
                </c:pt>
                <c:pt idx="11">
                  <c:v>262.08</c:v>
                </c:pt>
                <c:pt idx="12">
                  <c:v>261.95999999999998</c:v>
                </c:pt>
                <c:pt idx="13">
                  <c:v>261.89999999999998</c:v>
                </c:pt>
                <c:pt idx="14">
                  <c:v>261.81</c:v>
                </c:pt>
                <c:pt idx="15">
                  <c:v>262.02</c:v>
                </c:pt>
                <c:pt idx="16">
                  <c:v>262.17</c:v>
                </c:pt>
                <c:pt idx="17">
                  <c:v>262.32</c:v>
                </c:pt>
                <c:pt idx="18">
                  <c:v>262.56</c:v>
                </c:pt>
                <c:pt idx="19">
                  <c:v>262.86</c:v>
                </c:pt>
                <c:pt idx="20">
                  <c:v>263.01</c:v>
                </c:pt>
                <c:pt idx="21">
                  <c:v>263.16000000000003</c:v>
                </c:pt>
                <c:pt idx="22">
                  <c:v>263.22000000000003</c:v>
                </c:pt>
                <c:pt idx="23">
                  <c:v>263.19</c:v>
                </c:pt>
                <c:pt idx="24">
                  <c:v>264.64999999999998</c:v>
                </c:pt>
                <c:pt idx="25">
                  <c:v>264.92</c:v>
                </c:pt>
                <c:pt idx="26">
                  <c:v>266.39999999999998</c:v>
                </c:pt>
                <c:pt idx="27">
                  <c:v>266.39</c:v>
                </c:pt>
                <c:pt idx="28">
                  <c:v>277.23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3-4A1E-B101-D7E4E294408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2013-10-01'!$A$45:$A$46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2013-10-01'!$B$45:$B$46</c:f>
              <c:numCache>
                <c:formatCode>0.000</c:formatCode>
                <c:ptCount val="2"/>
                <c:pt idx="0">
                  <c:v>268.76499999999999</c:v>
                </c:pt>
                <c:pt idx="1">
                  <c:v>270.26499999999999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83-4A1E-B101-D7E4E294408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2013-10-01'!$A$43:$A$44</c:f>
              <c:numCache>
                <c:formatCode>0.00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xVal>
          <c:yVal>
            <c:numRef>
              <c:f>'Fecha 2013-10-01'!$B$43:$B$44</c:f>
              <c:numCache>
                <c:formatCode>0.000</c:formatCode>
                <c:ptCount val="2"/>
                <c:pt idx="0">
                  <c:v>263.74799999999999</c:v>
                </c:pt>
                <c:pt idx="1">
                  <c:v>265.74799999999999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83-4A1E-B101-D7E4E294408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2013-10-01'!$A$41:$A$42</c:f>
              <c:numCache>
                <c:formatCode>0.00</c:formatCode>
                <c:ptCount val="2"/>
                <c:pt idx="0">
                  <c:v>3.5</c:v>
                </c:pt>
                <c:pt idx="1">
                  <c:v>33.5</c:v>
                </c:pt>
              </c:numCache>
            </c:numRef>
          </c:xVal>
          <c:yVal>
            <c:numRef>
              <c:f>'Fecha 2013-10-01'!$B$41:$B$42</c:f>
              <c:numCache>
                <c:formatCode>0.000</c:formatCode>
                <c:ptCount val="2"/>
                <c:pt idx="0">
                  <c:v>264.92</c:v>
                </c:pt>
                <c:pt idx="1">
                  <c:v>264.92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83-4A1E-B101-D7E4E2944083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2013-10-01'!$A$47:$A$48</c:f>
              <c:numCache>
                <c:formatCode>0.00</c:formatCode>
                <c:ptCount val="2"/>
                <c:pt idx="0">
                  <c:v>0</c:v>
                </c:pt>
                <c:pt idx="1">
                  <c:v>34.5</c:v>
                </c:pt>
              </c:numCache>
            </c:numRef>
          </c:xVal>
          <c:yVal>
            <c:numRef>
              <c:f>'Fecha 2013-10-01'!$B$47:$B$48</c:f>
              <c:numCache>
                <c:formatCode>0.000</c:formatCode>
                <c:ptCount val="2"/>
                <c:pt idx="0">
                  <c:v>277.23</c:v>
                </c:pt>
                <c:pt idx="1">
                  <c:v>277.23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83-4A1E-B101-D7E4E2944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78680"/>
        <c:axId val="620579072"/>
      </c:scatterChart>
      <c:valAx>
        <c:axId val="620578680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247324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9072"/>
        <c:crossesAt val="89"/>
        <c:crossBetween val="midCat"/>
        <c:majorUnit val="10"/>
        <c:minorUnit val="2"/>
      </c:valAx>
      <c:valAx>
        <c:axId val="620579072"/>
        <c:scaling>
          <c:orientation val="minMax"/>
          <c:max val="278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32142136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8680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PALACIOS
Dibujó:           PALACIOS
Revisó:    
 Fecha:        2014-08-19
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2307692307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2014-08-19'!$A$3:$A$33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</c:v>
                </c:pt>
                <c:pt idx="4">
                  <c:v>3.5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6</c:v>
                </c:pt>
                <c:pt idx="9">
                  <c:v>7.5</c:v>
                </c:pt>
                <c:pt idx="10">
                  <c:v>9</c:v>
                </c:pt>
                <c:pt idx="11">
                  <c:v>10.5</c:v>
                </c:pt>
                <c:pt idx="12">
                  <c:v>12</c:v>
                </c:pt>
                <c:pt idx="13">
                  <c:v>13.5</c:v>
                </c:pt>
                <c:pt idx="14">
                  <c:v>15</c:v>
                </c:pt>
                <c:pt idx="15">
                  <c:v>16.5</c:v>
                </c:pt>
                <c:pt idx="16">
                  <c:v>18</c:v>
                </c:pt>
                <c:pt idx="17">
                  <c:v>19.5</c:v>
                </c:pt>
                <c:pt idx="18">
                  <c:v>21.5</c:v>
                </c:pt>
                <c:pt idx="19">
                  <c:v>23.5</c:v>
                </c:pt>
                <c:pt idx="20">
                  <c:v>25.5</c:v>
                </c:pt>
                <c:pt idx="21">
                  <c:v>27.5</c:v>
                </c:pt>
                <c:pt idx="22">
                  <c:v>29.5</c:v>
                </c:pt>
                <c:pt idx="23">
                  <c:v>31.5</c:v>
                </c:pt>
                <c:pt idx="24">
                  <c:v>33.700000000000003</c:v>
                </c:pt>
                <c:pt idx="25">
                  <c:v>33.700000000000003</c:v>
                </c:pt>
                <c:pt idx="26">
                  <c:v>33.700000000000003</c:v>
                </c:pt>
                <c:pt idx="27">
                  <c:v>34.6</c:v>
                </c:pt>
                <c:pt idx="28">
                  <c:v>34.6</c:v>
                </c:pt>
              </c:numCache>
            </c:numRef>
          </c:xVal>
          <c:yVal>
            <c:numRef>
              <c:f>'Fecha 2014-08-19'!$B$3:$B$33</c:f>
              <c:numCache>
                <c:formatCode>0.000</c:formatCode>
                <c:ptCount val="31"/>
                <c:pt idx="0">
                  <c:v>270.3</c:v>
                </c:pt>
                <c:pt idx="1">
                  <c:v>278.2</c:v>
                </c:pt>
                <c:pt idx="2">
                  <c:v>270.2</c:v>
                </c:pt>
                <c:pt idx="3">
                  <c:v>270.18</c:v>
                </c:pt>
                <c:pt idx="4">
                  <c:v>269.16000000000003</c:v>
                </c:pt>
                <c:pt idx="5">
                  <c:v>268.89</c:v>
                </c:pt>
                <c:pt idx="6">
                  <c:v>266</c:v>
                </c:pt>
                <c:pt idx="7">
                  <c:v>264</c:v>
                </c:pt>
                <c:pt idx="8">
                  <c:v>263.99</c:v>
                </c:pt>
                <c:pt idx="9">
                  <c:v>263.79000000000002</c:v>
                </c:pt>
                <c:pt idx="10">
                  <c:v>263.73</c:v>
                </c:pt>
                <c:pt idx="11">
                  <c:v>263.58999999999997</c:v>
                </c:pt>
                <c:pt idx="12">
                  <c:v>263.43</c:v>
                </c:pt>
                <c:pt idx="13">
                  <c:v>263.44</c:v>
                </c:pt>
                <c:pt idx="14">
                  <c:v>263.5</c:v>
                </c:pt>
                <c:pt idx="15">
                  <c:v>263.70999999999998</c:v>
                </c:pt>
                <c:pt idx="16">
                  <c:v>263.97000000000003</c:v>
                </c:pt>
                <c:pt idx="17">
                  <c:v>264.08999999999997</c:v>
                </c:pt>
                <c:pt idx="18">
                  <c:v>264.24</c:v>
                </c:pt>
                <c:pt idx="19">
                  <c:v>264.25</c:v>
                </c:pt>
                <c:pt idx="20">
                  <c:v>264.36</c:v>
                </c:pt>
                <c:pt idx="21">
                  <c:v>264.5</c:v>
                </c:pt>
                <c:pt idx="22">
                  <c:v>264.33</c:v>
                </c:pt>
                <c:pt idx="23">
                  <c:v>264.18</c:v>
                </c:pt>
                <c:pt idx="24">
                  <c:v>265.05</c:v>
                </c:pt>
                <c:pt idx="25">
                  <c:v>266</c:v>
                </c:pt>
                <c:pt idx="26">
                  <c:v>266.48</c:v>
                </c:pt>
                <c:pt idx="27">
                  <c:v>266.48</c:v>
                </c:pt>
                <c:pt idx="28">
                  <c:v>278.2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6-4C89-9089-CC1F445B7CC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2014-08-19'!$A$45:$A$46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2014-08-19'!$B$45:$B$46</c:f>
              <c:numCache>
                <c:formatCode>0.000</c:formatCode>
                <c:ptCount val="2"/>
                <c:pt idx="0">
                  <c:v>268.76499999999999</c:v>
                </c:pt>
                <c:pt idx="1">
                  <c:v>270.26499999999999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6-4C89-9089-CC1F445B7CC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2014-08-19'!$A$43:$A$44</c:f>
              <c:numCache>
                <c:formatCode>0.00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xVal>
          <c:yVal>
            <c:numRef>
              <c:f>'Fecha 2014-08-19'!$B$43:$B$44</c:f>
              <c:numCache>
                <c:formatCode>0.000</c:formatCode>
                <c:ptCount val="2"/>
                <c:pt idx="0">
                  <c:v>263.74799999999999</c:v>
                </c:pt>
                <c:pt idx="1">
                  <c:v>265.74799999999999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66-4C89-9089-CC1F445B7CC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2014-08-19'!$A$41:$A$42</c:f>
              <c:numCache>
                <c:formatCode>0.00</c:formatCode>
                <c:ptCount val="2"/>
                <c:pt idx="0">
                  <c:v>4.5</c:v>
                </c:pt>
                <c:pt idx="1">
                  <c:v>33.700000000000003</c:v>
                </c:pt>
              </c:numCache>
            </c:numRef>
          </c:xVal>
          <c:yVal>
            <c:numRef>
              <c:f>'Fecha 2014-08-19'!$B$41:$B$42</c:f>
              <c:numCache>
                <c:formatCode>0.000</c:formatCode>
                <c:ptCount val="2"/>
                <c:pt idx="0">
                  <c:v>266</c:v>
                </c:pt>
                <c:pt idx="1">
                  <c:v>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66-4C89-9089-CC1F445B7CC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2014-08-19'!$A$47:$A$48</c:f>
              <c:numCache>
                <c:formatCode>0.00</c:formatCode>
                <c:ptCount val="2"/>
                <c:pt idx="0">
                  <c:v>0</c:v>
                </c:pt>
                <c:pt idx="1">
                  <c:v>34.5</c:v>
                </c:pt>
              </c:numCache>
            </c:numRef>
          </c:xVal>
          <c:yVal>
            <c:numRef>
              <c:f>'Fecha 2014-08-19'!$B$47:$B$48</c:f>
              <c:numCache>
                <c:formatCode>0.000</c:formatCode>
                <c:ptCount val="2"/>
                <c:pt idx="0">
                  <c:v>277.23</c:v>
                </c:pt>
                <c:pt idx="1">
                  <c:v>277.23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66-4C89-9089-CC1F445B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79856"/>
        <c:axId val="620580248"/>
      </c:scatterChart>
      <c:valAx>
        <c:axId val="620579856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247324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80248"/>
        <c:crossesAt val="89"/>
        <c:crossBetween val="midCat"/>
        <c:majorUnit val="10"/>
        <c:minorUnit val="2"/>
      </c:valAx>
      <c:valAx>
        <c:axId val="620580248"/>
        <c:scaling>
          <c:orientation val="minMax"/>
          <c:max val="278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32142136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79856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RAMIREZ
Dibujó:           RAMIREZ
Revisó:    
 Fecha:        2015-07-21
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2307692307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2015-07-27'!$A$3:$A$33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3.6</c:v>
                </c:pt>
                <c:pt idx="6">
                  <c:v>4</c:v>
                </c:pt>
                <c:pt idx="7">
                  <c:v>4</c:v>
                </c:pt>
                <c:pt idx="8">
                  <c:v>7.01</c:v>
                </c:pt>
                <c:pt idx="9">
                  <c:v>8.49</c:v>
                </c:pt>
                <c:pt idx="10">
                  <c:v>10.07</c:v>
                </c:pt>
                <c:pt idx="11">
                  <c:v>11.47</c:v>
                </c:pt>
                <c:pt idx="12">
                  <c:v>13.09</c:v>
                </c:pt>
                <c:pt idx="13">
                  <c:v>14.38</c:v>
                </c:pt>
                <c:pt idx="14">
                  <c:v>15.81</c:v>
                </c:pt>
                <c:pt idx="15">
                  <c:v>17.739999999999998</c:v>
                </c:pt>
                <c:pt idx="16">
                  <c:v>19.059999999999999</c:v>
                </c:pt>
                <c:pt idx="17">
                  <c:v>20.58</c:v>
                </c:pt>
                <c:pt idx="18">
                  <c:v>22.11</c:v>
                </c:pt>
                <c:pt idx="19">
                  <c:v>23.62</c:v>
                </c:pt>
                <c:pt idx="20">
                  <c:v>25.12</c:v>
                </c:pt>
                <c:pt idx="21">
                  <c:v>26.65</c:v>
                </c:pt>
                <c:pt idx="22">
                  <c:v>28.14</c:v>
                </c:pt>
                <c:pt idx="23">
                  <c:v>29.45</c:v>
                </c:pt>
                <c:pt idx="24">
                  <c:v>31.09</c:v>
                </c:pt>
                <c:pt idx="25">
                  <c:v>32.51</c:v>
                </c:pt>
                <c:pt idx="26">
                  <c:v>35.4</c:v>
                </c:pt>
                <c:pt idx="27">
                  <c:v>35.4</c:v>
                </c:pt>
                <c:pt idx="28">
                  <c:v>35.799999999999997</c:v>
                </c:pt>
                <c:pt idx="29">
                  <c:v>36.9</c:v>
                </c:pt>
                <c:pt idx="30">
                  <c:v>36.9</c:v>
                </c:pt>
              </c:numCache>
            </c:numRef>
          </c:xVal>
          <c:yVal>
            <c:numRef>
              <c:f>'Fecha 2015-07-27'!$B$3:$B$33</c:f>
              <c:numCache>
                <c:formatCode>0.000</c:formatCode>
                <c:ptCount val="31"/>
                <c:pt idx="0">
                  <c:v>269.33999999999997</c:v>
                </c:pt>
                <c:pt idx="1">
                  <c:v>275.5</c:v>
                </c:pt>
                <c:pt idx="2">
                  <c:v>269.37</c:v>
                </c:pt>
                <c:pt idx="3">
                  <c:v>269.19</c:v>
                </c:pt>
                <c:pt idx="4">
                  <c:v>268.29000000000002</c:v>
                </c:pt>
                <c:pt idx="5">
                  <c:v>267.64999999999998</c:v>
                </c:pt>
                <c:pt idx="6">
                  <c:v>265.27999999999997</c:v>
                </c:pt>
                <c:pt idx="7">
                  <c:v>262.37</c:v>
                </c:pt>
                <c:pt idx="8">
                  <c:v>262.36</c:v>
                </c:pt>
                <c:pt idx="9">
                  <c:v>262.25</c:v>
                </c:pt>
                <c:pt idx="10">
                  <c:v>262.27</c:v>
                </c:pt>
                <c:pt idx="11">
                  <c:v>262.04000000000002</c:v>
                </c:pt>
                <c:pt idx="12">
                  <c:v>261.93</c:v>
                </c:pt>
                <c:pt idx="13">
                  <c:v>261.87</c:v>
                </c:pt>
                <c:pt idx="14">
                  <c:v>262.02999999999997</c:v>
                </c:pt>
                <c:pt idx="15">
                  <c:v>262.14999999999998</c:v>
                </c:pt>
                <c:pt idx="16">
                  <c:v>262.24</c:v>
                </c:pt>
                <c:pt idx="17">
                  <c:v>262.33</c:v>
                </c:pt>
                <c:pt idx="18">
                  <c:v>262.41000000000003</c:v>
                </c:pt>
                <c:pt idx="19">
                  <c:v>262.44</c:v>
                </c:pt>
                <c:pt idx="20">
                  <c:v>262.62</c:v>
                </c:pt>
                <c:pt idx="21">
                  <c:v>262.72000000000003</c:v>
                </c:pt>
                <c:pt idx="22">
                  <c:v>262.82</c:v>
                </c:pt>
                <c:pt idx="23">
                  <c:v>262.83999999999997</c:v>
                </c:pt>
                <c:pt idx="24">
                  <c:v>262.87</c:v>
                </c:pt>
                <c:pt idx="25">
                  <c:v>263.29000000000002</c:v>
                </c:pt>
                <c:pt idx="26">
                  <c:v>263.57</c:v>
                </c:pt>
                <c:pt idx="27">
                  <c:v>265.27999999999997</c:v>
                </c:pt>
                <c:pt idx="28">
                  <c:v>266.67</c:v>
                </c:pt>
                <c:pt idx="29" formatCode="General">
                  <c:v>266.62</c:v>
                </c:pt>
                <c:pt idx="30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68-4954-B50D-6D75208DB11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2015-07-27'!$A$45:$A$46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2015-07-27'!$B$45:$B$46</c:f>
              <c:numCache>
                <c:formatCode>0.000</c:formatCode>
                <c:ptCount val="2"/>
                <c:pt idx="0">
                  <c:v>268.76499999999999</c:v>
                </c:pt>
                <c:pt idx="1">
                  <c:v>270.26499999999999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68-4954-B50D-6D75208DB11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2015-07-27'!$A$43:$A$44</c:f>
              <c:numCache>
                <c:formatCode>0.00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'Fecha 2015-07-27'!$B$43:$B$44</c:f>
              <c:numCache>
                <c:formatCode>0.000</c:formatCode>
                <c:ptCount val="2"/>
                <c:pt idx="0">
                  <c:v>263.74799999999999</c:v>
                </c:pt>
                <c:pt idx="1">
                  <c:v>265.74799999999999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68-4954-B50D-6D75208DB11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2015-07-27'!$A$41:$A$42</c:f>
              <c:numCache>
                <c:formatCode>0.00</c:formatCode>
                <c:ptCount val="2"/>
                <c:pt idx="0">
                  <c:v>4</c:v>
                </c:pt>
                <c:pt idx="1">
                  <c:v>35.4</c:v>
                </c:pt>
              </c:numCache>
            </c:numRef>
          </c:xVal>
          <c:yVal>
            <c:numRef>
              <c:f>'Fecha 2015-07-27'!$B$41:$B$42</c:f>
              <c:numCache>
                <c:formatCode>0.000</c:formatCode>
                <c:ptCount val="2"/>
                <c:pt idx="0">
                  <c:v>265.27999999999997</c:v>
                </c:pt>
                <c:pt idx="1">
                  <c:v>265.27999999999997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68-4954-B50D-6D75208DB11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2015-07-27'!$A$47:$A$48</c:f>
              <c:numCache>
                <c:formatCode>0.00</c:formatCode>
                <c:ptCount val="2"/>
                <c:pt idx="0">
                  <c:v>0</c:v>
                </c:pt>
                <c:pt idx="1">
                  <c:v>36.9</c:v>
                </c:pt>
              </c:numCache>
            </c:numRef>
          </c:xVal>
          <c:yVal>
            <c:numRef>
              <c:f>'Fecha 2015-07-27'!$B$47:$B$48</c:f>
              <c:numCache>
                <c:formatCode>0.000</c:formatCode>
                <c:ptCount val="2"/>
                <c:pt idx="0">
                  <c:v>275.5</c:v>
                </c:pt>
                <c:pt idx="1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68-4954-B50D-6D75208DB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81032"/>
        <c:axId val="620581424"/>
      </c:scatterChart>
      <c:valAx>
        <c:axId val="620581032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247324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81424"/>
        <c:crossesAt val="89"/>
        <c:crossBetween val="midCat"/>
        <c:majorUnit val="10"/>
        <c:minorUnit val="2"/>
      </c:valAx>
      <c:valAx>
        <c:axId val="620581424"/>
        <c:scaling>
          <c:orientation val="minMax"/>
          <c:max val="278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632142136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81032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TAMAYO
Dibujó:           TAMAYO
Revisó:    
 Fecha:        2016-05-19
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9855275100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2016-05-19 '!$A$3:$A$31</c:f>
              <c:numCache>
                <c:formatCode>0.00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9.5</c:v>
                </c:pt>
                <c:pt idx="6">
                  <c:v>16.8</c:v>
                </c:pt>
                <c:pt idx="7">
                  <c:v>22.8</c:v>
                </c:pt>
                <c:pt idx="8">
                  <c:v>23.8</c:v>
                </c:pt>
                <c:pt idx="9">
                  <c:v>24.8</c:v>
                </c:pt>
                <c:pt idx="10">
                  <c:v>25.8</c:v>
                </c:pt>
                <c:pt idx="11">
                  <c:v>26.8</c:v>
                </c:pt>
                <c:pt idx="12">
                  <c:v>27.8</c:v>
                </c:pt>
                <c:pt idx="13">
                  <c:v>28.8</c:v>
                </c:pt>
                <c:pt idx="14">
                  <c:v>30.3</c:v>
                </c:pt>
                <c:pt idx="15">
                  <c:v>31.8</c:v>
                </c:pt>
                <c:pt idx="16">
                  <c:v>33.299999999999997</c:v>
                </c:pt>
                <c:pt idx="17">
                  <c:v>34.799999999999997</c:v>
                </c:pt>
                <c:pt idx="18">
                  <c:v>36.299999999999997</c:v>
                </c:pt>
                <c:pt idx="19">
                  <c:v>37.799999999999997</c:v>
                </c:pt>
                <c:pt idx="20">
                  <c:v>39.299999999999997</c:v>
                </c:pt>
                <c:pt idx="21">
                  <c:v>40.799999999999997</c:v>
                </c:pt>
                <c:pt idx="22">
                  <c:v>42.3</c:v>
                </c:pt>
                <c:pt idx="23">
                  <c:v>43.8</c:v>
                </c:pt>
                <c:pt idx="24">
                  <c:v>45.3</c:v>
                </c:pt>
                <c:pt idx="25">
                  <c:v>46.8</c:v>
                </c:pt>
                <c:pt idx="26">
                  <c:v>49.8</c:v>
                </c:pt>
                <c:pt idx="27">
                  <c:v>51.3</c:v>
                </c:pt>
                <c:pt idx="28">
                  <c:v>52.3</c:v>
                </c:pt>
              </c:numCache>
            </c:numRef>
          </c:xVal>
          <c:yVal>
            <c:numRef>
              <c:f>'Fecha 2016-05-19 '!$B$3:$B$31</c:f>
              <c:numCache>
                <c:formatCode>0.000</c:formatCode>
                <c:ptCount val="29"/>
                <c:pt idx="0">
                  <c:v>270.3</c:v>
                </c:pt>
                <c:pt idx="1">
                  <c:v>278.45999999999998</c:v>
                </c:pt>
                <c:pt idx="2">
                  <c:v>270.29000000000002</c:v>
                </c:pt>
                <c:pt idx="3">
                  <c:v>270.02999999999997</c:v>
                </c:pt>
                <c:pt idx="4">
                  <c:v>269.27</c:v>
                </c:pt>
                <c:pt idx="5">
                  <c:v>269.25</c:v>
                </c:pt>
                <c:pt idx="6">
                  <c:v>265</c:v>
                </c:pt>
                <c:pt idx="7">
                  <c:v>262.42</c:v>
                </c:pt>
                <c:pt idx="8">
                  <c:v>262</c:v>
                </c:pt>
                <c:pt idx="9">
                  <c:v>262</c:v>
                </c:pt>
                <c:pt idx="10">
                  <c:v>261.93</c:v>
                </c:pt>
                <c:pt idx="11">
                  <c:v>261.88</c:v>
                </c:pt>
                <c:pt idx="12">
                  <c:v>261.91000000000003</c:v>
                </c:pt>
                <c:pt idx="13">
                  <c:v>261.93</c:v>
                </c:pt>
                <c:pt idx="14">
                  <c:v>262.08</c:v>
                </c:pt>
                <c:pt idx="15">
                  <c:v>262.10000000000002</c:v>
                </c:pt>
                <c:pt idx="16">
                  <c:v>262.42</c:v>
                </c:pt>
                <c:pt idx="17">
                  <c:v>262.37</c:v>
                </c:pt>
                <c:pt idx="18">
                  <c:v>262.68</c:v>
                </c:pt>
                <c:pt idx="19">
                  <c:v>262.52</c:v>
                </c:pt>
                <c:pt idx="20">
                  <c:v>262.64999999999998</c:v>
                </c:pt>
                <c:pt idx="21">
                  <c:v>263.05</c:v>
                </c:pt>
                <c:pt idx="22">
                  <c:v>263.08</c:v>
                </c:pt>
                <c:pt idx="23">
                  <c:v>262.82</c:v>
                </c:pt>
                <c:pt idx="24">
                  <c:v>263.12</c:v>
                </c:pt>
                <c:pt idx="25">
                  <c:v>263.2</c:v>
                </c:pt>
                <c:pt idx="26">
                  <c:v>264.2</c:v>
                </c:pt>
                <c:pt idx="27">
                  <c:v>265</c:v>
                </c:pt>
                <c:pt idx="28">
                  <c:v>266.82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A-440D-94C3-1CFCEA1F6990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2016-05-19 '!$A$38:$A$39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'Fecha 2016-05-19 '!$B$38:$B$39</c:f>
              <c:numCache>
                <c:formatCode>0.000</c:formatCode>
                <c:ptCount val="2"/>
                <c:pt idx="0">
                  <c:v>268.76499999999999</c:v>
                </c:pt>
                <c:pt idx="1">
                  <c:v>270.26499999999999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A-440D-94C3-1CFCEA1F6990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2016-05-19 '!$A$36:$A$37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'Fecha 2016-05-19 '!$B$36:$B$37</c:f>
              <c:numCache>
                <c:formatCode>0.000</c:formatCode>
                <c:ptCount val="2"/>
                <c:pt idx="0">
                  <c:v>263.74799999999999</c:v>
                </c:pt>
                <c:pt idx="1">
                  <c:v>265.74799999999999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FA-440D-94C3-1CFCEA1F6990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2016-05-19 '!$A$34:$A$35</c:f>
              <c:numCache>
                <c:formatCode>0.00</c:formatCode>
                <c:ptCount val="2"/>
                <c:pt idx="0">
                  <c:v>16.8</c:v>
                </c:pt>
                <c:pt idx="1">
                  <c:v>51.3</c:v>
                </c:pt>
              </c:numCache>
            </c:numRef>
          </c:xVal>
          <c:yVal>
            <c:numRef>
              <c:f>'Fecha 2016-05-19 '!$B$34:$B$35</c:f>
              <c:numCache>
                <c:formatCode>0.000</c:formatCode>
                <c:ptCount val="2"/>
                <c:pt idx="0">
                  <c:v>265</c:v>
                </c:pt>
                <c:pt idx="1">
                  <c:v>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FA-440D-94C3-1CFCEA1F6990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2016-05-19 '!$A$40:$A$41</c:f>
              <c:numCache>
                <c:formatCode>0.00</c:formatCode>
                <c:ptCount val="2"/>
                <c:pt idx="0">
                  <c:v>0</c:v>
                </c:pt>
                <c:pt idx="1">
                  <c:v>36.9</c:v>
                </c:pt>
              </c:numCache>
            </c:numRef>
          </c:xVal>
          <c:yVal>
            <c:numRef>
              <c:f>'Fecha 2016-05-19 '!$B$40:$B$41</c:f>
              <c:numCache>
                <c:formatCode>0.000</c:formatCode>
                <c:ptCount val="2"/>
                <c:pt idx="0">
                  <c:v>275.5</c:v>
                </c:pt>
                <c:pt idx="1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FA-440D-94C3-1CFCEA1F6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582208"/>
        <c:axId val="434356264"/>
      </c:scatterChart>
      <c:valAx>
        <c:axId val="620582208"/>
        <c:scaling>
          <c:orientation val="minMax"/>
          <c:max val="5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926607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56264"/>
        <c:crossesAt val="89"/>
        <c:crossBetween val="midCat"/>
        <c:majorUnit val="10"/>
        <c:minorUnit val="2"/>
      </c:valAx>
      <c:valAx>
        <c:axId val="434356264"/>
        <c:scaling>
          <c:orientation val="minMax"/>
          <c:max val="278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70422155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20582208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
Levantó:         E.H.T.H
Dibujó:           O.F.R.V.
Revisó:    
 Fecha:          2016-09-15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64508016397025225"/>
          <c:y val="4.307699855275100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2016-09-15'!$A$3:$A$31</c:f>
              <c:numCache>
                <c:formatCode>0.00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3.7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20</c:v>
                </c:pt>
                <c:pt idx="14">
                  <c:v>22</c:v>
                </c:pt>
                <c:pt idx="15">
                  <c:v>24</c:v>
                </c:pt>
                <c:pt idx="16">
                  <c:v>26</c:v>
                </c:pt>
                <c:pt idx="17">
                  <c:v>28</c:v>
                </c:pt>
                <c:pt idx="18">
                  <c:v>30</c:v>
                </c:pt>
                <c:pt idx="19">
                  <c:v>32</c:v>
                </c:pt>
                <c:pt idx="20">
                  <c:v>33</c:v>
                </c:pt>
                <c:pt idx="21">
                  <c:v>33.9</c:v>
                </c:pt>
                <c:pt idx="22">
                  <c:v>33.9</c:v>
                </c:pt>
                <c:pt idx="23">
                  <c:v>33.9</c:v>
                </c:pt>
              </c:numCache>
            </c:numRef>
          </c:xVal>
          <c:yVal>
            <c:numRef>
              <c:f>'Fecha 2016-09-15'!$B$3:$B$31</c:f>
              <c:numCache>
                <c:formatCode>0.000</c:formatCode>
                <c:ptCount val="29"/>
                <c:pt idx="0">
                  <c:v>269.35000000000002</c:v>
                </c:pt>
                <c:pt idx="1">
                  <c:v>270.05</c:v>
                </c:pt>
                <c:pt idx="2">
                  <c:v>268.95999999999998</c:v>
                </c:pt>
                <c:pt idx="3">
                  <c:v>267.16000000000003</c:v>
                </c:pt>
                <c:pt idx="4">
                  <c:v>266</c:v>
                </c:pt>
                <c:pt idx="5">
                  <c:v>265.27</c:v>
                </c:pt>
                <c:pt idx="6">
                  <c:v>262.07</c:v>
                </c:pt>
                <c:pt idx="7">
                  <c:v>262.17</c:v>
                </c:pt>
                <c:pt idx="8">
                  <c:v>262.27</c:v>
                </c:pt>
                <c:pt idx="9">
                  <c:v>262.56</c:v>
                </c:pt>
                <c:pt idx="10">
                  <c:v>262.97000000000003</c:v>
                </c:pt>
                <c:pt idx="11">
                  <c:v>263.37</c:v>
                </c:pt>
                <c:pt idx="12">
                  <c:v>263.57</c:v>
                </c:pt>
                <c:pt idx="13">
                  <c:v>263.27</c:v>
                </c:pt>
                <c:pt idx="14">
                  <c:v>263.07</c:v>
                </c:pt>
                <c:pt idx="15">
                  <c:v>263.17</c:v>
                </c:pt>
                <c:pt idx="16">
                  <c:v>263.44</c:v>
                </c:pt>
                <c:pt idx="17">
                  <c:v>263.64</c:v>
                </c:pt>
                <c:pt idx="18">
                  <c:v>263.87</c:v>
                </c:pt>
                <c:pt idx="19">
                  <c:v>264.2</c:v>
                </c:pt>
                <c:pt idx="20">
                  <c:v>265.27</c:v>
                </c:pt>
                <c:pt idx="21">
                  <c:v>265.61</c:v>
                </c:pt>
                <c:pt idx="22">
                  <c:v>269.37</c:v>
                </c:pt>
                <c:pt idx="23">
                  <c:v>269.36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D-4760-AA16-3F62502E279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2016-09-15'!$A$38:$A$39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2016-09-15'!$B$38:$B$39</c:f>
              <c:numCache>
                <c:formatCode>0.000</c:formatCode>
                <c:ptCount val="2"/>
                <c:pt idx="0">
                  <c:v>268.76499999999999</c:v>
                </c:pt>
                <c:pt idx="1">
                  <c:v>270.26499999999999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3D-4760-AA16-3F62502E279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2016-09-15'!$A$36:$A$37</c:f>
              <c:numCache>
                <c:formatCode>0.00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xVal>
          <c:yVal>
            <c:numRef>
              <c:f>'Fecha 2016-09-15'!$B$36:$B$37</c:f>
              <c:numCache>
                <c:formatCode>0.000</c:formatCode>
                <c:ptCount val="2"/>
                <c:pt idx="0">
                  <c:v>263.74799999999999</c:v>
                </c:pt>
                <c:pt idx="1">
                  <c:v>265.74799999999999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3D-4760-AA16-3F62502E279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2016-09-15'!$A$34:$A$35</c:f>
              <c:numCache>
                <c:formatCode>0.00</c:formatCode>
                <c:ptCount val="2"/>
                <c:pt idx="0">
                  <c:v>4</c:v>
                </c:pt>
                <c:pt idx="1">
                  <c:v>33</c:v>
                </c:pt>
              </c:numCache>
            </c:numRef>
          </c:xVal>
          <c:yVal>
            <c:numRef>
              <c:f>'Fecha 2016-09-15'!$B$34:$B$35</c:f>
              <c:numCache>
                <c:formatCode>0.000</c:formatCode>
                <c:ptCount val="2"/>
                <c:pt idx="0">
                  <c:v>265.27</c:v>
                </c:pt>
                <c:pt idx="1">
                  <c:v>265.27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3D-4760-AA16-3F62502E279E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2016-09-15'!$A$40:$A$41</c:f>
              <c:numCache>
                <c:formatCode>0.00</c:formatCode>
                <c:ptCount val="2"/>
                <c:pt idx="0">
                  <c:v>0</c:v>
                </c:pt>
                <c:pt idx="1">
                  <c:v>33.9</c:v>
                </c:pt>
              </c:numCache>
            </c:numRef>
          </c:xVal>
          <c:yVal>
            <c:numRef>
              <c:f>'Fecha 2016-09-15'!$B$40:$B$41</c:f>
              <c:numCache>
                <c:formatCode>0.000</c:formatCode>
                <c:ptCount val="2"/>
                <c:pt idx="0">
                  <c:v>270.05</c:v>
                </c:pt>
                <c:pt idx="1">
                  <c:v>269.37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3D-4760-AA16-3F62502E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57440"/>
        <c:axId val="434357832"/>
      </c:scatterChart>
      <c:valAx>
        <c:axId val="434357440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926607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57832"/>
        <c:crossesAt val="89"/>
        <c:crossBetween val="midCat"/>
        <c:majorUnit val="10"/>
        <c:minorUnit val="2"/>
      </c:valAx>
      <c:valAx>
        <c:axId val="434357832"/>
        <c:scaling>
          <c:orientation val="minMax"/>
          <c:max val="278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70422155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57440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FLORENCIA  
CORRIENTE:  HACHA
Código:           44037060
Levantó:         A.</a:t>
            </a:r>
            <a:r>
              <a:rPr lang="es-CO" baseline="0"/>
              <a:t> RAMIREZ</a:t>
            </a:r>
            <a:r>
              <a:rPr lang="es-CO"/>
              <a:t>
Dibujó:           D. CORTES
Revisó:    
 Fecha:          2016-11-21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71460637647375658"/>
          <c:y val="4.612578801481590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959565924738802E-2"/>
          <c:y val="2.005967675093245E-2"/>
          <c:w val="0.93723783427925067"/>
          <c:h val="0.92042150532662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2016-11-21'!$A$3:$A$35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</c:v>
                </c:pt>
                <c:pt idx="4">
                  <c:v>3.5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6.91</c:v>
                </c:pt>
                <c:pt idx="9">
                  <c:v>8.31</c:v>
                </c:pt>
                <c:pt idx="10">
                  <c:v>9.7100000000000009</c:v>
                </c:pt>
                <c:pt idx="11">
                  <c:v>11.11</c:v>
                </c:pt>
                <c:pt idx="12">
                  <c:v>12.49</c:v>
                </c:pt>
                <c:pt idx="13">
                  <c:v>13.93</c:v>
                </c:pt>
                <c:pt idx="14">
                  <c:v>15.36</c:v>
                </c:pt>
                <c:pt idx="15">
                  <c:v>16.72</c:v>
                </c:pt>
                <c:pt idx="16">
                  <c:v>18.100000000000001</c:v>
                </c:pt>
                <c:pt idx="17">
                  <c:v>19.55</c:v>
                </c:pt>
                <c:pt idx="18">
                  <c:v>20.95</c:v>
                </c:pt>
                <c:pt idx="19">
                  <c:v>22.27</c:v>
                </c:pt>
                <c:pt idx="20">
                  <c:v>23.71</c:v>
                </c:pt>
                <c:pt idx="21">
                  <c:v>25.06</c:v>
                </c:pt>
                <c:pt idx="22">
                  <c:v>26.56</c:v>
                </c:pt>
                <c:pt idx="23">
                  <c:v>27.88</c:v>
                </c:pt>
                <c:pt idx="24">
                  <c:v>29.33</c:v>
                </c:pt>
                <c:pt idx="25">
                  <c:v>30.66</c:v>
                </c:pt>
                <c:pt idx="26">
                  <c:v>32.17</c:v>
                </c:pt>
                <c:pt idx="27">
                  <c:v>33.65</c:v>
                </c:pt>
                <c:pt idx="28">
                  <c:v>33.65</c:v>
                </c:pt>
                <c:pt idx="29">
                  <c:v>33.65</c:v>
                </c:pt>
                <c:pt idx="30">
                  <c:v>34.65</c:v>
                </c:pt>
                <c:pt idx="31">
                  <c:v>34.65</c:v>
                </c:pt>
                <c:pt idx="32">
                  <c:v>34.65</c:v>
                </c:pt>
              </c:numCache>
            </c:numRef>
          </c:xVal>
          <c:yVal>
            <c:numRef>
              <c:f>'Fecha 2016-11-21'!$B$3:$B$35</c:f>
              <c:numCache>
                <c:formatCode>0.000</c:formatCode>
                <c:ptCount val="33"/>
                <c:pt idx="0">
                  <c:v>269.35000000000002</c:v>
                </c:pt>
                <c:pt idx="1">
                  <c:v>277.8</c:v>
                </c:pt>
                <c:pt idx="2">
                  <c:v>269.3</c:v>
                </c:pt>
                <c:pt idx="3">
                  <c:v>269.23</c:v>
                </c:pt>
                <c:pt idx="4">
                  <c:v>268.2</c:v>
                </c:pt>
                <c:pt idx="5">
                  <c:v>267.89</c:v>
                </c:pt>
                <c:pt idx="6">
                  <c:v>264.58999999999997</c:v>
                </c:pt>
                <c:pt idx="7">
                  <c:v>261.8</c:v>
                </c:pt>
                <c:pt idx="8">
                  <c:v>261.8</c:v>
                </c:pt>
                <c:pt idx="9">
                  <c:v>261.86</c:v>
                </c:pt>
                <c:pt idx="10">
                  <c:v>261.83</c:v>
                </c:pt>
                <c:pt idx="11">
                  <c:v>261.72000000000003</c:v>
                </c:pt>
                <c:pt idx="12">
                  <c:v>261.67</c:v>
                </c:pt>
                <c:pt idx="13">
                  <c:v>261.63</c:v>
                </c:pt>
                <c:pt idx="14">
                  <c:v>261.76</c:v>
                </c:pt>
                <c:pt idx="15">
                  <c:v>261.86</c:v>
                </c:pt>
                <c:pt idx="16">
                  <c:v>262</c:v>
                </c:pt>
                <c:pt idx="17">
                  <c:v>262.2</c:v>
                </c:pt>
                <c:pt idx="18">
                  <c:v>262.32</c:v>
                </c:pt>
                <c:pt idx="19">
                  <c:v>262.39</c:v>
                </c:pt>
                <c:pt idx="20">
                  <c:v>262.42</c:v>
                </c:pt>
                <c:pt idx="21">
                  <c:v>262.58999999999997</c:v>
                </c:pt>
                <c:pt idx="22">
                  <c:v>262.61</c:v>
                </c:pt>
                <c:pt idx="23">
                  <c:v>262.61</c:v>
                </c:pt>
                <c:pt idx="24">
                  <c:v>262.60000000000002</c:v>
                </c:pt>
                <c:pt idx="25">
                  <c:v>262.81</c:v>
                </c:pt>
                <c:pt idx="26">
                  <c:v>263.27999999999997</c:v>
                </c:pt>
                <c:pt idx="27">
                  <c:v>263.39999999999998</c:v>
                </c:pt>
                <c:pt idx="28">
                  <c:v>264.58999999999997</c:v>
                </c:pt>
                <c:pt idx="29">
                  <c:v>265.51</c:v>
                </c:pt>
                <c:pt idx="30">
                  <c:v>265.26</c:v>
                </c:pt>
                <c:pt idx="31">
                  <c:v>277.79000000000002</c:v>
                </c:pt>
                <c:pt idx="32">
                  <c:v>269.32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E-45DB-AE2D-E52BFE1BF580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2016-11-21'!$A$40:$A$41</c:f>
              <c:numCache>
                <c:formatCode>0.00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'Fecha 2016-11-21'!$B$40:$B$41</c:f>
              <c:numCache>
                <c:formatCode>0.000</c:formatCode>
                <c:ptCount val="2"/>
                <c:pt idx="0">
                  <c:v>267.81</c:v>
                </c:pt>
                <c:pt idx="1">
                  <c:v>269.31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E-45DB-AE2D-E52BFE1BF580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2016-11-21'!$A$38:$A$39</c:f>
              <c:numCache>
                <c:formatCode>0.00</c:formatCode>
                <c:ptCount val="2"/>
                <c:pt idx="0">
                  <c:v>32.5</c:v>
                </c:pt>
                <c:pt idx="1">
                  <c:v>32.5</c:v>
                </c:pt>
              </c:numCache>
            </c:numRef>
          </c:xVal>
          <c:yVal>
            <c:numRef>
              <c:f>'Fecha 2016-11-21'!$B$38:$B$39</c:f>
              <c:numCache>
                <c:formatCode>0.000</c:formatCode>
                <c:ptCount val="2"/>
                <c:pt idx="0">
                  <c:v>263.62</c:v>
                </c:pt>
                <c:pt idx="1">
                  <c:v>265.62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DE-45DB-AE2D-E52BFE1BF580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2016-11-21'!$A$36:$A$37</c:f>
              <c:numCache>
                <c:formatCode>0.00</c:formatCode>
                <c:ptCount val="2"/>
                <c:pt idx="0">
                  <c:v>3.9</c:v>
                </c:pt>
                <c:pt idx="1">
                  <c:v>33.65</c:v>
                </c:pt>
              </c:numCache>
            </c:numRef>
          </c:xVal>
          <c:yVal>
            <c:numRef>
              <c:f>'Fecha 2016-11-21'!$B$36:$B$37</c:f>
              <c:numCache>
                <c:formatCode>0.000</c:formatCode>
                <c:ptCount val="2"/>
                <c:pt idx="0">
                  <c:v>264.58999999999997</c:v>
                </c:pt>
                <c:pt idx="1">
                  <c:v>264.58999999999997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DE-45DB-AE2D-E52BFE1BF580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2016-11-21'!$A$42:$A$43</c:f>
              <c:numCache>
                <c:formatCode>0.00</c:formatCode>
                <c:ptCount val="2"/>
                <c:pt idx="0">
                  <c:v>0</c:v>
                </c:pt>
                <c:pt idx="1">
                  <c:v>34.65</c:v>
                </c:pt>
              </c:numCache>
            </c:numRef>
          </c:xVal>
          <c:yVal>
            <c:numRef>
              <c:f>'Fecha 2016-11-21'!$B$42:$B$43</c:f>
              <c:numCache>
                <c:formatCode>0.000</c:formatCode>
                <c:ptCount val="2"/>
                <c:pt idx="0">
                  <c:v>277.8</c:v>
                </c:pt>
                <c:pt idx="1">
                  <c:v>277.79000000000002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DE-45DB-AE2D-E52BFE1BF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58224"/>
        <c:axId val="434358616"/>
      </c:scatterChart>
      <c:valAx>
        <c:axId val="434358224"/>
        <c:scaling>
          <c:orientation val="minMax"/>
          <c:max val="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12611007728323"/>
              <c:y val="0.96284175926607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58616"/>
        <c:crossesAt val="89"/>
        <c:crossBetween val="midCat"/>
        <c:majorUnit val="10"/>
        <c:minorUnit val="2"/>
      </c:valAx>
      <c:valAx>
        <c:axId val="434358616"/>
        <c:scaling>
          <c:orientation val="minMax"/>
          <c:max val="285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097370422155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58224"/>
        <c:crossesAt val="0"/>
        <c:crossBetween val="midCat"/>
        <c:majorUnit val="1.06"/>
        <c:minorUnit val="1.06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M.PALACIOS, Dibujó: J.RAMOS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30/01/2017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10.5</c:v>
                </c:pt>
                <c:pt idx="5">
                  <c:v>11.5</c:v>
                </c:pt>
                <c:pt idx="6">
                  <c:v>12.5</c:v>
                </c:pt>
                <c:pt idx="7">
                  <c:v>13</c:v>
                </c:pt>
                <c:pt idx="8">
                  <c:v>13.5</c:v>
                </c:pt>
                <c:pt idx="9">
                  <c:v>14</c:v>
                </c:pt>
                <c:pt idx="10">
                  <c:v>14.5</c:v>
                </c:pt>
                <c:pt idx="11">
                  <c:v>15</c:v>
                </c:pt>
                <c:pt idx="12">
                  <c:v>15.5</c:v>
                </c:pt>
                <c:pt idx="13">
                  <c:v>16</c:v>
                </c:pt>
                <c:pt idx="14">
                  <c:v>16.5</c:v>
                </c:pt>
                <c:pt idx="15">
                  <c:v>17</c:v>
                </c:pt>
                <c:pt idx="16">
                  <c:v>17.5</c:v>
                </c:pt>
                <c:pt idx="17">
                  <c:v>18</c:v>
                </c:pt>
                <c:pt idx="18">
                  <c:v>18.5</c:v>
                </c:pt>
                <c:pt idx="19">
                  <c:v>19</c:v>
                </c:pt>
                <c:pt idx="20">
                  <c:v>19.5</c:v>
                </c:pt>
                <c:pt idx="21">
                  <c:v>20</c:v>
                </c:pt>
                <c:pt idx="22">
                  <c:v>20.5</c:v>
                </c:pt>
                <c:pt idx="23">
                  <c:v>21</c:v>
                </c:pt>
                <c:pt idx="24">
                  <c:v>23</c:v>
                </c:pt>
                <c:pt idx="25">
                  <c:v>23</c:v>
                </c:pt>
                <c:pt idx="26">
                  <c:v>25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  <c:pt idx="30">
                  <c:v>32</c:v>
                </c:pt>
              </c:numCache>
            </c:numRef>
          </c:xVal>
          <c:yVal>
            <c:numRef>
              <c:f>'PLANTILLA NAOI-NAOD'!$B$5:$B$35</c:f>
              <c:numCache>
                <c:formatCode>0.000</c:formatCode>
                <c:ptCount val="31"/>
                <c:pt idx="0">
                  <c:v>98.69</c:v>
                </c:pt>
                <c:pt idx="1">
                  <c:v>97.131999999999991</c:v>
                </c:pt>
                <c:pt idx="2">
                  <c:v>96.361999999999995</c:v>
                </c:pt>
                <c:pt idx="3">
                  <c:v>95.071999999999989</c:v>
                </c:pt>
                <c:pt idx="4">
                  <c:v>94.821999999999989</c:v>
                </c:pt>
                <c:pt idx="5">
                  <c:v>94.521999999999991</c:v>
                </c:pt>
                <c:pt idx="6">
                  <c:v>94.471999999999994</c:v>
                </c:pt>
                <c:pt idx="7">
                  <c:v>94.461999999999989</c:v>
                </c:pt>
                <c:pt idx="8">
                  <c:v>94.441999999999993</c:v>
                </c:pt>
                <c:pt idx="9">
                  <c:v>94.431999999999988</c:v>
                </c:pt>
                <c:pt idx="10">
                  <c:v>94.321999999999989</c:v>
                </c:pt>
                <c:pt idx="11">
                  <c:v>94.261999999999986</c:v>
                </c:pt>
                <c:pt idx="12">
                  <c:v>94.35199999999999</c:v>
                </c:pt>
                <c:pt idx="13">
                  <c:v>94.331999999999994</c:v>
                </c:pt>
                <c:pt idx="14">
                  <c:v>94.261999999999986</c:v>
                </c:pt>
                <c:pt idx="15">
                  <c:v>94.321999999999989</c:v>
                </c:pt>
                <c:pt idx="16">
                  <c:v>94.281999999999982</c:v>
                </c:pt>
                <c:pt idx="17">
                  <c:v>94.321999999999989</c:v>
                </c:pt>
                <c:pt idx="18">
                  <c:v>94.341999999999985</c:v>
                </c:pt>
                <c:pt idx="19">
                  <c:v>94.431999999999988</c:v>
                </c:pt>
                <c:pt idx="20">
                  <c:v>94.451999999999984</c:v>
                </c:pt>
                <c:pt idx="21">
                  <c:v>94.521999999999991</c:v>
                </c:pt>
                <c:pt idx="22">
                  <c:v>94.521999999999991</c:v>
                </c:pt>
                <c:pt idx="23">
                  <c:v>94.471999999999994</c:v>
                </c:pt>
                <c:pt idx="24">
                  <c:v>94.771999999999991</c:v>
                </c:pt>
                <c:pt idx="25">
                  <c:v>94.801999999999992</c:v>
                </c:pt>
                <c:pt idx="26">
                  <c:v>96.512</c:v>
                </c:pt>
                <c:pt idx="27">
                  <c:v>98.012</c:v>
                </c:pt>
                <c:pt idx="28">
                  <c:v>98.122</c:v>
                </c:pt>
                <c:pt idx="29">
                  <c:v>98.221000000000004</c:v>
                </c:pt>
                <c:pt idx="30">
                  <c:v>98.694000000000003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E-4AD0-A18C-9CAF905016E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'PLANTILLA NAOI-NAOD'!$A$57:$A$58</c:f>
              <c:numCache>
                <c:formatCode>0.00</c:formatCode>
                <c:ptCount val="2"/>
                <c:pt idx="0">
                  <c:v>23.5</c:v>
                </c:pt>
                <c:pt idx="1">
                  <c:v>23.5</c:v>
                </c:pt>
              </c:numCache>
            </c:numRef>
          </c:xVal>
          <c:yVal>
            <c:numRef>
              <c:f>'PLANTILLA NAOI-NAOD'!$B$57:$B$58</c:f>
              <c:numCache>
                <c:formatCode>0.000</c:formatCode>
                <c:ptCount val="2"/>
                <c:pt idx="0">
                  <c:v>96.317999999999998</c:v>
                </c:pt>
                <c:pt idx="1">
                  <c:v>97.817999999999998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6E-4AD0-A18C-9CAF905016E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NAOI-NAOD'!$A$55:$A$56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'PLANTILLA NAOI-NAOD'!$B$55:$B$56</c:f>
              <c:numCache>
                <c:formatCode>0.000</c:formatCode>
                <c:ptCount val="2"/>
                <c:pt idx="0">
                  <c:v>93.302999999999997</c:v>
                </c:pt>
                <c:pt idx="1">
                  <c:v>97.302999999999997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6E-4AD0-A18C-9CAF905016E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'PLANTILLA NAOI-NAOD'!$A$53:$A$54</c:f>
              <c:numCache>
                <c:formatCode>0.00</c:formatCode>
                <c:ptCount val="2"/>
                <c:pt idx="0">
                  <c:v>10.5</c:v>
                </c:pt>
                <c:pt idx="1">
                  <c:v>23</c:v>
                </c:pt>
              </c:numCache>
            </c:numRef>
          </c:xVal>
          <c:yVal>
            <c:numRef>
              <c:f>'PLANTILLA NAOI-NAOD'!$B$53:$B$54</c:f>
              <c:numCache>
                <c:formatCode>0.000</c:formatCode>
                <c:ptCount val="2"/>
                <c:pt idx="0">
                  <c:v>94.821999999999989</c:v>
                </c:pt>
                <c:pt idx="1">
                  <c:v>94.801999999999992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6E-4AD0-A18C-9CAF905016E1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'PLANTILLA NAOI-NAOD'!$A$59:$A$60</c:f>
              <c:numCache>
                <c:formatCode>0.00</c:formatCode>
                <c:ptCount val="2"/>
              </c:numCache>
            </c:numRef>
          </c:xVal>
          <c:yVal>
            <c:numRef>
              <c:f>'PLANTILLA NAOI-NAOD'!$B$59:$B$60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6E-4AD0-A18C-9CAF90501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0184"/>
        <c:axId val="434360576"/>
      </c:scatterChart>
      <c:valAx>
        <c:axId val="434360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0576"/>
        <c:crosses val="autoZero"/>
        <c:crossBetween val="midCat"/>
      </c:valAx>
      <c:valAx>
        <c:axId val="43436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01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A. RAMIREZ, Dibujó: A. RAMIREZ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21/03/2017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'2017-3-21'!$A$5:$A$37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6.02</c:v>
                </c:pt>
                <c:pt idx="10">
                  <c:v>7.4499999999999993</c:v>
                </c:pt>
                <c:pt idx="11">
                  <c:v>8.82</c:v>
                </c:pt>
                <c:pt idx="12">
                  <c:v>10.210000000000001</c:v>
                </c:pt>
                <c:pt idx="13">
                  <c:v>11.790000000000001</c:v>
                </c:pt>
                <c:pt idx="14">
                  <c:v>13.120000000000001</c:v>
                </c:pt>
                <c:pt idx="15">
                  <c:v>14.490000000000002</c:v>
                </c:pt>
                <c:pt idx="16">
                  <c:v>15.810000000000002</c:v>
                </c:pt>
                <c:pt idx="17">
                  <c:v>17.28</c:v>
                </c:pt>
                <c:pt idx="18">
                  <c:v>18.700000000000003</c:v>
                </c:pt>
                <c:pt idx="19">
                  <c:v>20.130000000000003</c:v>
                </c:pt>
                <c:pt idx="20">
                  <c:v>21.480000000000004</c:v>
                </c:pt>
                <c:pt idx="21">
                  <c:v>22.810000000000002</c:v>
                </c:pt>
                <c:pt idx="22">
                  <c:v>24.150000000000002</c:v>
                </c:pt>
                <c:pt idx="23">
                  <c:v>25.51</c:v>
                </c:pt>
                <c:pt idx="24">
                  <c:v>26.98</c:v>
                </c:pt>
                <c:pt idx="25">
                  <c:v>28.4</c:v>
                </c:pt>
                <c:pt idx="26">
                  <c:v>30.099999999999998</c:v>
                </c:pt>
                <c:pt idx="27">
                  <c:v>32.879999999999995</c:v>
                </c:pt>
                <c:pt idx="28">
                  <c:v>32.879999999999995</c:v>
                </c:pt>
                <c:pt idx="29">
                  <c:v>32.879999999999995</c:v>
                </c:pt>
                <c:pt idx="30">
                  <c:v>33.799999999999997</c:v>
                </c:pt>
                <c:pt idx="31">
                  <c:v>33.799999999999997</c:v>
                </c:pt>
                <c:pt idx="32">
                  <c:v>33.799999999999997</c:v>
                </c:pt>
              </c:numCache>
            </c:numRef>
          </c:xVal>
          <c:yVal>
            <c:numRef>
              <c:f>'2017-3-21'!$B$5:$B$37</c:f>
              <c:numCache>
                <c:formatCode>0.000</c:formatCode>
                <c:ptCount val="33"/>
                <c:pt idx="0">
                  <c:v>269.33999999999997</c:v>
                </c:pt>
                <c:pt idx="1">
                  <c:v>278.29599999999999</c:v>
                </c:pt>
                <c:pt idx="2">
                  <c:v>269.30199999999996</c:v>
                </c:pt>
                <c:pt idx="3">
                  <c:v>269.23899999999998</c:v>
                </c:pt>
                <c:pt idx="4">
                  <c:v>268.31599999999997</c:v>
                </c:pt>
                <c:pt idx="5">
                  <c:v>268.286</c:v>
                </c:pt>
                <c:pt idx="6">
                  <c:v>265.52999999999997</c:v>
                </c:pt>
                <c:pt idx="7">
                  <c:v>264.88599999999997</c:v>
                </c:pt>
                <c:pt idx="8">
                  <c:v>261.87599999999998</c:v>
                </c:pt>
                <c:pt idx="9">
                  <c:v>261.88599999999997</c:v>
                </c:pt>
                <c:pt idx="10">
                  <c:v>261.69599999999997</c:v>
                </c:pt>
                <c:pt idx="11">
                  <c:v>261.81599999999997</c:v>
                </c:pt>
                <c:pt idx="12">
                  <c:v>261.83599999999996</c:v>
                </c:pt>
                <c:pt idx="13">
                  <c:v>261.80599999999998</c:v>
                </c:pt>
                <c:pt idx="14">
                  <c:v>261.87599999999998</c:v>
                </c:pt>
                <c:pt idx="15">
                  <c:v>262.02599999999995</c:v>
                </c:pt>
                <c:pt idx="16">
                  <c:v>262.12599999999998</c:v>
                </c:pt>
                <c:pt idx="17">
                  <c:v>262.23599999999999</c:v>
                </c:pt>
                <c:pt idx="18">
                  <c:v>262.47599999999994</c:v>
                </c:pt>
                <c:pt idx="19">
                  <c:v>262.67599999999999</c:v>
                </c:pt>
                <c:pt idx="20">
                  <c:v>262.73599999999999</c:v>
                </c:pt>
                <c:pt idx="21">
                  <c:v>262.88599999999997</c:v>
                </c:pt>
                <c:pt idx="22">
                  <c:v>262.98599999999999</c:v>
                </c:pt>
                <c:pt idx="23">
                  <c:v>263.07599999999996</c:v>
                </c:pt>
                <c:pt idx="24">
                  <c:v>263.13599999999997</c:v>
                </c:pt>
                <c:pt idx="25">
                  <c:v>263.14599999999996</c:v>
                </c:pt>
                <c:pt idx="26">
                  <c:v>263.39599999999996</c:v>
                </c:pt>
                <c:pt idx="27">
                  <c:v>264.17599999999999</c:v>
                </c:pt>
                <c:pt idx="28">
                  <c:v>264.88600000000002</c:v>
                </c:pt>
                <c:pt idx="29">
                  <c:v>265.541</c:v>
                </c:pt>
                <c:pt idx="30">
                  <c:v>265.654</c:v>
                </c:pt>
                <c:pt idx="31">
                  <c:v>277.041</c:v>
                </c:pt>
                <c:pt idx="32">
                  <c:v>269.34099999999995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4-4A33-AB88-0174352F2BE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'2017-3-21'!$A$57:$A$58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'2017-3-21'!$B$57:$B$58</c:f>
              <c:numCache>
                <c:formatCode>0.000</c:formatCode>
                <c:ptCount val="2"/>
                <c:pt idx="0">
                  <c:v>266.91699999999997</c:v>
                </c:pt>
                <c:pt idx="1">
                  <c:v>268.41699999999997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4-4A33-AB88-0174352F2BE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'2017-3-21'!$A$55:$A$56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'2017-3-21'!$B$55:$B$56</c:f>
              <c:numCache>
                <c:formatCode>0.000</c:formatCode>
                <c:ptCount val="2"/>
                <c:pt idx="0">
                  <c:v>263.76100000000002</c:v>
                </c:pt>
                <c:pt idx="1">
                  <c:v>267.76100000000002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4-4A33-AB88-0174352F2BE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'2017-3-21'!$A$53:$A$54</c:f>
              <c:numCache>
                <c:formatCode>0.00</c:formatCode>
                <c:ptCount val="2"/>
                <c:pt idx="0">
                  <c:v>4</c:v>
                </c:pt>
                <c:pt idx="1">
                  <c:v>32.879999999999995</c:v>
                </c:pt>
              </c:numCache>
            </c:numRef>
          </c:xVal>
          <c:yVal>
            <c:numRef>
              <c:f>'2017-3-21'!$B$53:$B$54</c:f>
              <c:numCache>
                <c:formatCode>0.000</c:formatCode>
                <c:ptCount val="2"/>
                <c:pt idx="0">
                  <c:v>264.88599999999997</c:v>
                </c:pt>
                <c:pt idx="1">
                  <c:v>264.88600000000002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F4-4A33-AB88-0174352F2BEE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'2017-3-21'!$A$59:$A$60</c:f>
              <c:numCache>
                <c:formatCode>0.00</c:formatCode>
                <c:ptCount val="2"/>
                <c:pt idx="0">
                  <c:v>0</c:v>
                </c:pt>
                <c:pt idx="1">
                  <c:v>33.799999999999997</c:v>
                </c:pt>
              </c:numCache>
            </c:numRef>
          </c:xVal>
          <c:yVal>
            <c:numRef>
              <c:f>'2017-3-21'!$B$59:$B$60</c:f>
              <c:numCache>
                <c:formatCode>0.000</c:formatCode>
                <c:ptCount val="2"/>
                <c:pt idx="0">
                  <c:v>278.29599999999999</c:v>
                </c:pt>
                <c:pt idx="1">
                  <c:v>277.041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F4-4A33-AB88-0174352F2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2144"/>
        <c:axId val="434362536"/>
      </c:scatterChart>
      <c:valAx>
        <c:axId val="434362144"/>
        <c:scaling>
          <c:orientation val="minMax"/>
          <c:max val="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2536"/>
        <c:crosses val="autoZero"/>
        <c:crossBetween val="midCat"/>
      </c:valAx>
      <c:valAx>
        <c:axId val="434362536"/>
        <c:scaling>
          <c:orientation val="minMax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21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PALACIOS, Dibujó: PALACIOS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11/09/2017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'2017-9-11'!$A$5:$A$37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</c:v>
                </c:pt>
                <c:pt idx="4">
                  <c:v>3.5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7.5</c:v>
                </c:pt>
                <c:pt idx="10">
                  <c:v>9</c:v>
                </c:pt>
                <c:pt idx="11">
                  <c:v>10.5</c:v>
                </c:pt>
                <c:pt idx="12">
                  <c:v>12</c:v>
                </c:pt>
                <c:pt idx="13">
                  <c:v>13.5</c:v>
                </c:pt>
                <c:pt idx="14">
                  <c:v>15</c:v>
                </c:pt>
                <c:pt idx="15">
                  <c:v>16.5</c:v>
                </c:pt>
                <c:pt idx="16">
                  <c:v>18</c:v>
                </c:pt>
                <c:pt idx="17">
                  <c:v>19.5</c:v>
                </c:pt>
                <c:pt idx="18">
                  <c:v>21</c:v>
                </c:pt>
                <c:pt idx="19">
                  <c:v>22.5</c:v>
                </c:pt>
                <c:pt idx="20">
                  <c:v>24</c:v>
                </c:pt>
                <c:pt idx="21">
                  <c:v>25.5</c:v>
                </c:pt>
                <c:pt idx="22">
                  <c:v>27</c:v>
                </c:pt>
                <c:pt idx="23">
                  <c:v>28.5</c:v>
                </c:pt>
                <c:pt idx="24">
                  <c:v>30</c:v>
                </c:pt>
                <c:pt idx="25">
                  <c:v>31.5</c:v>
                </c:pt>
                <c:pt idx="26">
                  <c:v>33</c:v>
                </c:pt>
                <c:pt idx="27">
                  <c:v>34.4</c:v>
                </c:pt>
                <c:pt idx="28">
                  <c:v>34.4</c:v>
                </c:pt>
                <c:pt idx="29">
                  <c:v>34.4</c:v>
                </c:pt>
                <c:pt idx="30">
                  <c:v>35.299999999999997</c:v>
                </c:pt>
                <c:pt idx="31">
                  <c:v>35.299999999999997</c:v>
                </c:pt>
                <c:pt idx="32">
                  <c:v>35.299999999999997</c:v>
                </c:pt>
              </c:numCache>
            </c:numRef>
          </c:xVal>
          <c:yVal>
            <c:numRef>
              <c:f>'2017-9-11'!$B$5:$B$37</c:f>
              <c:numCache>
                <c:formatCode>0.000</c:formatCode>
                <c:ptCount val="33"/>
                <c:pt idx="0">
                  <c:v>269.35000000000002</c:v>
                </c:pt>
                <c:pt idx="1">
                  <c:v>278.19299999999998</c:v>
                </c:pt>
                <c:pt idx="2">
                  <c:v>270.19299999999998</c:v>
                </c:pt>
                <c:pt idx="3">
                  <c:v>270.17900000000003</c:v>
                </c:pt>
                <c:pt idx="4">
                  <c:v>269.14800000000002</c:v>
                </c:pt>
                <c:pt idx="5">
                  <c:v>268.87200000000001</c:v>
                </c:pt>
                <c:pt idx="6">
                  <c:v>268.67500000000001</c:v>
                </c:pt>
                <c:pt idx="7">
                  <c:v>264.82000000000005</c:v>
                </c:pt>
                <c:pt idx="8">
                  <c:v>262.82000000000005</c:v>
                </c:pt>
                <c:pt idx="9">
                  <c:v>261.86000000000007</c:v>
                </c:pt>
                <c:pt idx="10">
                  <c:v>261.86000000000007</c:v>
                </c:pt>
                <c:pt idx="11">
                  <c:v>261.74000000000007</c:v>
                </c:pt>
                <c:pt idx="12">
                  <c:v>261.79000000000008</c:v>
                </c:pt>
                <c:pt idx="13">
                  <c:v>261.96000000000004</c:v>
                </c:pt>
                <c:pt idx="14">
                  <c:v>262.05000000000007</c:v>
                </c:pt>
                <c:pt idx="15">
                  <c:v>262.19000000000005</c:v>
                </c:pt>
                <c:pt idx="16">
                  <c:v>262.30000000000007</c:v>
                </c:pt>
                <c:pt idx="17">
                  <c:v>262.37000000000006</c:v>
                </c:pt>
                <c:pt idx="18">
                  <c:v>262.57000000000005</c:v>
                </c:pt>
                <c:pt idx="19">
                  <c:v>262.74000000000007</c:v>
                </c:pt>
                <c:pt idx="20">
                  <c:v>262.96000000000004</c:v>
                </c:pt>
                <c:pt idx="21">
                  <c:v>263.11000000000007</c:v>
                </c:pt>
                <c:pt idx="22">
                  <c:v>263.22000000000003</c:v>
                </c:pt>
                <c:pt idx="23">
                  <c:v>263.24000000000007</c:v>
                </c:pt>
                <c:pt idx="24">
                  <c:v>263.34000000000003</c:v>
                </c:pt>
                <c:pt idx="25">
                  <c:v>263.44000000000005</c:v>
                </c:pt>
                <c:pt idx="26">
                  <c:v>263.89000000000004</c:v>
                </c:pt>
                <c:pt idx="27">
                  <c:v>264.10000000000002</c:v>
                </c:pt>
                <c:pt idx="28">
                  <c:v>264.88600000000002</c:v>
                </c:pt>
                <c:pt idx="29">
                  <c:v>266.5</c:v>
                </c:pt>
                <c:pt idx="30">
                  <c:v>266.5</c:v>
                </c:pt>
                <c:pt idx="31">
                  <c:v>277.5</c:v>
                </c:pt>
                <c:pt idx="32">
                  <c:v>268.74299999999999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C0-4F9A-91F3-1BF754CA142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'2017-9-11'!$A$57:$A$58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'2017-9-11'!$B$57:$B$58</c:f>
              <c:numCache>
                <c:formatCode>0.000</c:formatCode>
                <c:ptCount val="2"/>
                <c:pt idx="0">
                  <c:v>268.76799999999997</c:v>
                </c:pt>
                <c:pt idx="1">
                  <c:v>270.26799999999997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C0-4F9A-91F3-1BF754CA142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'2017-9-11'!$A$55:$A$56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'2017-9-11'!$B$55:$B$56</c:f>
              <c:numCache>
                <c:formatCode>0.000</c:formatCode>
                <c:ptCount val="2"/>
                <c:pt idx="0">
                  <c:v>263.64999999999998</c:v>
                </c:pt>
                <c:pt idx="1">
                  <c:v>265.64999999999998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C0-4F9A-91F3-1BF754CA142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'2017-9-11'!$A$53:$A$54</c:f>
              <c:numCache>
                <c:formatCode>0.00</c:formatCode>
                <c:ptCount val="2"/>
                <c:pt idx="0">
                  <c:v>4.5</c:v>
                </c:pt>
                <c:pt idx="1">
                  <c:v>34.4</c:v>
                </c:pt>
              </c:numCache>
            </c:numRef>
          </c:xVal>
          <c:yVal>
            <c:numRef>
              <c:f>'2017-9-11'!$B$53:$B$54</c:f>
              <c:numCache>
                <c:formatCode>0.000</c:formatCode>
                <c:ptCount val="2"/>
                <c:pt idx="0">
                  <c:v>264.82000000000005</c:v>
                </c:pt>
                <c:pt idx="1">
                  <c:v>264.88600000000002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C0-4F9A-91F3-1BF754CA1426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'2017-9-11'!$A$59:$A$60</c:f>
              <c:numCache>
                <c:formatCode>0.00</c:formatCode>
                <c:ptCount val="2"/>
              </c:numCache>
            </c:numRef>
          </c:xVal>
          <c:yVal>
            <c:numRef>
              <c:f>'2017-9-11'!$B$59:$B$60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C0-4F9A-91F3-1BF754CA1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4104"/>
        <c:axId val="434364496"/>
      </c:scatterChart>
      <c:valAx>
        <c:axId val="434364104"/>
        <c:scaling>
          <c:orientation val="minMax"/>
          <c:max val="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4496"/>
        <c:crosses val="autoZero"/>
        <c:crossBetween val="midCat"/>
      </c:valAx>
      <c:valAx>
        <c:axId val="434364496"/>
        <c:scaling>
          <c:orientation val="minMax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41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PALACIOS, Dibujó: PALACIOS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4/04/2018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'2018-4-4'!$A$5:$A$37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2.2999999999999998</c:v>
                </c:pt>
                <c:pt idx="3">
                  <c:v>3</c:v>
                </c:pt>
                <c:pt idx="4">
                  <c:v>3.7</c:v>
                </c:pt>
                <c:pt idx="5">
                  <c:v>3.7</c:v>
                </c:pt>
                <c:pt idx="6">
                  <c:v>4.1000000000000005</c:v>
                </c:pt>
                <c:pt idx="7">
                  <c:v>4.1000000000000005</c:v>
                </c:pt>
                <c:pt idx="8">
                  <c:v>7.1000000000000005</c:v>
                </c:pt>
                <c:pt idx="9">
                  <c:v>8.5</c:v>
                </c:pt>
                <c:pt idx="10">
                  <c:v>10.039999999999999</c:v>
                </c:pt>
                <c:pt idx="11">
                  <c:v>11.2</c:v>
                </c:pt>
                <c:pt idx="12">
                  <c:v>12.549999999999999</c:v>
                </c:pt>
                <c:pt idx="13">
                  <c:v>14.149999999999999</c:v>
                </c:pt>
                <c:pt idx="14">
                  <c:v>15.559999999999999</c:v>
                </c:pt>
                <c:pt idx="15">
                  <c:v>16.779999999999998</c:v>
                </c:pt>
                <c:pt idx="16">
                  <c:v>18.239999999999998</c:v>
                </c:pt>
                <c:pt idx="17">
                  <c:v>19.659999999999997</c:v>
                </c:pt>
                <c:pt idx="18">
                  <c:v>21.039999999999996</c:v>
                </c:pt>
                <c:pt idx="19">
                  <c:v>22.679999999999996</c:v>
                </c:pt>
                <c:pt idx="20">
                  <c:v>23.899999999999995</c:v>
                </c:pt>
                <c:pt idx="21">
                  <c:v>25.349999999999994</c:v>
                </c:pt>
                <c:pt idx="22">
                  <c:v>26.559999999999995</c:v>
                </c:pt>
                <c:pt idx="23">
                  <c:v>27.959999999999994</c:v>
                </c:pt>
                <c:pt idx="24">
                  <c:v>29.339999999999993</c:v>
                </c:pt>
                <c:pt idx="25">
                  <c:v>30.849999999999994</c:v>
                </c:pt>
                <c:pt idx="26">
                  <c:v>30.849999999999994</c:v>
                </c:pt>
                <c:pt idx="27">
                  <c:v>30.849999999999994</c:v>
                </c:pt>
                <c:pt idx="28">
                  <c:v>31.749999999999993</c:v>
                </c:pt>
                <c:pt idx="29">
                  <c:v>31.749999999999993</c:v>
                </c:pt>
                <c:pt idx="30">
                  <c:v>31.749999999999993</c:v>
                </c:pt>
              </c:numCache>
            </c:numRef>
          </c:xVal>
          <c:yVal>
            <c:numRef>
              <c:f>'2018-4-4'!$B$5:$B$37</c:f>
              <c:numCache>
                <c:formatCode>0.000</c:formatCode>
                <c:ptCount val="33"/>
                <c:pt idx="0">
                  <c:v>269.35000000000002</c:v>
                </c:pt>
                <c:pt idx="1">
                  <c:v>270.00000000000006</c:v>
                </c:pt>
                <c:pt idx="2">
                  <c:v>268.84000000000003</c:v>
                </c:pt>
                <c:pt idx="3">
                  <c:v>267.21200000000005</c:v>
                </c:pt>
                <c:pt idx="4">
                  <c:v>266.01300000000003</c:v>
                </c:pt>
                <c:pt idx="5">
                  <c:v>266.54000000000002</c:v>
                </c:pt>
                <c:pt idx="6">
                  <c:v>264.80800000000005</c:v>
                </c:pt>
                <c:pt idx="7">
                  <c:v>261.74800000000005</c:v>
                </c:pt>
                <c:pt idx="8">
                  <c:v>261.71800000000007</c:v>
                </c:pt>
                <c:pt idx="9">
                  <c:v>261.79800000000006</c:v>
                </c:pt>
                <c:pt idx="10">
                  <c:v>261.88800000000003</c:v>
                </c:pt>
                <c:pt idx="11">
                  <c:v>261.98800000000006</c:v>
                </c:pt>
                <c:pt idx="12">
                  <c:v>262.18800000000005</c:v>
                </c:pt>
                <c:pt idx="13">
                  <c:v>262.28800000000007</c:v>
                </c:pt>
                <c:pt idx="14">
                  <c:v>262.33800000000002</c:v>
                </c:pt>
                <c:pt idx="15">
                  <c:v>262.54800000000006</c:v>
                </c:pt>
                <c:pt idx="16">
                  <c:v>262.78800000000007</c:v>
                </c:pt>
                <c:pt idx="17">
                  <c:v>262.83800000000002</c:v>
                </c:pt>
                <c:pt idx="18">
                  <c:v>262.96800000000007</c:v>
                </c:pt>
                <c:pt idx="19">
                  <c:v>263.12800000000004</c:v>
                </c:pt>
                <c:pt idx="20">
                  <c:v>263.30800000000005</c:v>
                </c:pt>
                <c:pt idx="21">
                  <c:v>263.43800000000005</c:v>
                </c:pt>
                <c:pt idx="22">
                  <c:v>263.57800000000003</c:v>
                </c:pt>
                <c:pt idx="23">
                  <c:v>263.63800000000003</c:v>
                </c:pt>
                <c:pt idx="24">
                  <c:v>263.75800000000004</c:v>
                </c:pt>
                <c:pt idx="25">
                  <c:v>263.98800000000006</c:v>
                </c:pt>
                <c:pt idx="26">
                  <c:v>264.81100000000004</c:v>
                </c:pt>
                <c:pt idx="27">
                  <c:v>265.16000000000003</c:v>
                </c:pt>
                <c:pt idx="28">
                  <c:v>264.88600000000002</c:v>
                </c:pt>
                <c:pt idx="29">
                  <c:v>266.86400000000003</c:v>
                </c:pt>
                <c:pt idx="30">
                  <c:v>269.3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1-46C3-829F-159A9E76E44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'2018-4-4'!$A$57:$A$58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'2018-4-4'!$B$57:$B$58</c:f>
              <c:numCache>
                <c:formatCode>0.000</c:formatCode>
                <c:ptCount val="2"/>
                <c:pt idx="0">
                  <c:v>268.76799999999997</c:v>
                </c:pt>
                <c:pt idx="1">
                  <c:v>270.26799999999997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01-46C3-829F-159A9E76E44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'2018-4-4'!$A$55:$A$56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'2018-4-4'!$B$55:$B$56</c:f>
              <c:numCache>
                <c:formatCode>0.000</c:formatCode>
                <c:ptCount val="2"/>
                <c:pt idx="0">
                  <c:v>263.64999999999998</c:v>
                </c:pt>
                <c:pt idx="1">
                  <c:v>265.64999999999998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01-46C3-829F-159A9E76E44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'2018-4-4'!$A$53:$A$54</c:f>
              <c:numCache>
                <c:formatCode>0.00</c:formatCode>
                <c:ptCount val="2"/>
                <c:pt idx="0">
                  <c:v>4.1000000000000005</c:v>
                </c:pt>
                <c:pt idx="1">
                  <c:v>30.849999999999994</c:v>
                </c:pt>
              </c:numCache>
            </c:numRef>
          </c:xVal>
          <c:yVal>
            <c:numRef>
              <c:f>'2018-4-4'!$B$53:$B$54</c:f>
              <c:numCache>
                <c:formatCode>0.000</c:formatCode>
                <c:ptCount val="2"/>
                <c:pt idx="0">
                  <c:v>264.80800000000005</c:v>
                </c:pt>
                <c:pt idx="1">
                  <c:v>264.81100000000004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01-46C3-829F-159A9E76E447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'2018-4-4'!$A$59:$A$60</c:f>
              <c:numCache>
                <c:formatCode>0.00</c:formatCode>
                <c:ptCount val="2"/>
              </c:numCache>
            </c:numRef>
          </c:xVal>
          <c:yVal>
            <c:numRef>
              <c:f>'2018-4-4'!$B$59:$B$60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01-46C3-829F-159A9E76E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6064"/>
        <c:axId val="434366456"/>
      </c:scatterChart>
      <c:valAx>
        <c:axId val="434366064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6456"/>
        <c:crosses val="autoZero"/>
        <c:crossBetween val="midCat"/>
      </c:valAx>
      <c:valAx>
        <c:axId val="434366456"/>
        <c:scaling>
          <c:orientation val="minMax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6064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A. RAMIREZ, Dibujó: A. RAMIREZ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19/07/2018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1636119169314364"/>
          <c:y val="0.13810432414454737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'2018-7-19'!$A$5:$A$40</c:f>
              <c:numCache>
                <c:formatCode>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</c:v>
                </c:pt>
                <c:pt idx="8">
                  <c:v>4</c:v>
                </c:pt>
                <c:pt idx="9">
                  <c:v>8.01</c:v>
                </c:pt>
                <c:pt idx="10">
                  <c:v>9.15</c:v>
                </c:pt>
                <c:pt idx="11">
                  <c:v>10.06</c:v>
                </c:pt>
                <c:pt idx="12">
                  <c:v>11.13</c:v>
                </c:pt>
                <c:pt idx="13">
                  <c:v>12.360000000000001</c:v>
                </c:pt>
                <c:pt idx="14">
                  <c:v>13.290000000000001</c:v>
                </c:pt>
                <c:pt idx="15">
                  <c:v>14.23</c:v>
                </c:pt>
                <c:pt idx="16">
                  <c:v>15.31</c:v>
                </c:pt>
                <c:pt idx="17">
                  <c:v>16.32</c:v>
                </c:pt>
                <c:pt idx="18">
                  <c:v>17.399999999999999</c:v>
                </c:pt>
                <c:pt idx="19">
                  <c:v>18.439999999999998</c:v>
                </c:pt>
                <c:pt idx="20">
                  <c:v>19.319999999999997</c:v>
                </c:pt>
                <c:pt idx="21">
                  <c:v>21.459999999999997</c:v>
                </c:pt>
                <c:pt idx="22">
                  <c:v>22.58</c:v>
                </c:pt>
                <c:pt idx="23">
                  <c:v>23.759999999999998</c:v>
                </c:pt>
                <c:pt idx="24">
                  <c:v>25.249999999999996</c:v>
                </c:pt>
                <c:pt idx="25">
                  <c:v>26.649999999999995</c:v>
                </c:pt>
                <c:pt idx="26">
                  <c:v>28.089999999999996</c:v>
                </c:pt>
                <c:pt idx="27">
                  <c:v>29.189999999999998</c:v>
                </c:pt>
                <c:pt idx="28">
                  <c:v>30.069999999999997</c:v>
                </c:pt>
                <c:pt idx="29">
                  <c:v>31.129999999999995</c:v>
                </c:pt>
                <c:pt idx="30">
                  <c:v>31.759999999999994</c:v>
                </c:pt>
                <c:pt idx="31">
                  <c:v>34.630000000000003</c:v>
                </c:pt>
                <c:pt idx="32">
                  <c:v>35.4</c:v>
                </c:pt>
                <c:pt idx="33">
                  <c:v>35.4</c:v>
                </c:pt>
                <c:pt idx="34">
                  <c:v>36.4</c:v>
                </c:pt>
                <c:pt idx="35">
                  <c:v>36.4</c:v>
                </c:pt>
              </c:numCache>
            </c:numRef>
          </c:xVal>
          <c:yVal>
            <c:numRef>
              <c:f>'2018-7-19'!$B$5:$B$40</c:f>
              <c:numCache>
                <c:formatCode>0.000</c:formatCode>
                <c:ptCount val="36"/>
                <c:pt idx="0">
                  <c:v>269.35000000000002</c:v>
                </c:pt>
                <c:pt idx="1">
                  <c:v>277.40000000000003</c:v>
                </c:pt>
                <c:pt idx="2">
                  <c:v>269.41700000000003</c:v>
                </c:pt>
                <c:pt idx="3">
                  <c:v>269.25</c:v>
                </c:pt>
                <c:pt idx="4">
                  <c:v>268.21500000000003</c:v>
                </c:pt>
                <c:pt idx="5">
                  <c:v>267.77300000000002</c:v>
                </c:pt>
                <c:pt idx="6">
                  <c:v>265.69</c:v>
                </c:pt>
                <c:pt idx="7">
                  <c:v>264.11999999999995</c:v>
                </c:pt>
                <c:pt idx="8">
                  <c:v>262.31999999999994</c:v>
                </c:pt>
                <c:pt idx="9">
                  <c:v>262.29999999999995</c:v>
                </c:pt>
                <c:pt idx="10">
                  <c:v>262.20999999999992</c:v>
                </c:pt>
                <c:pt idx="11">
                  <c:v>262.11999999999995</c:v>
                </c:pt>
                <c:pt idx="12">
                  <c:v>261.99999999999994</c:v>
                </c:pt>
                <c:pt idx="13">
                  <c:v>261.90999999999997</c:v>
                </c:pt>
                <c:pt idx="14">
                  <c:v>261.84999999999997</c:v>
                </c:pt>
                <c:pt idx="15">
                  <c:v>261.77999999999997</c:v>
                </c:pt>
                <c:pt idx="16">
                  <c:v>261.79999999999995</c:v>
                </c:pt>
                <c:pt idx="17">
                  <c:v>261.71999999999997</c:v>
                </c:pt>
                <c:pt idx="18">
                  <c:v>261.63999999999993</c:v>
                </c:pt>
                <c:pt idx="19">
                  <c:v>261.76999999999992</c:v>
                </c:pt>
                <c:pt idx="20">
                  <c:v>261.87999999999994</c:v>
                </c:pt>
                <c:pt idx="21">
                  <c:v>261.93999999999994</c:v>
                </c:pt>
                <c:pt idx="22">
                  <c:v>261.96999999999997</c:v>
                </c:pt>
                <c:pt idx="23">
                  <c:v>261.97999999999996</c:v>
                </c:pt>
                <c:pt idx="24">
                  <c:v>261.97999999999996</c:v>
                </c:pt>
                <c:pt idx="25">
                  <c:v>261.92999999999995</c:v>
                </c:pt>
                <c:pt idx="26">
                  <c:v>261.66999999999996</c:v>
                </c:pt>
                <c:pt idx="27">
                  <c:v>261.56999999999994</c:v>
                </c:pt>
                <c:pt idx="28">
                  <c:v>261.82999999999993</c:v>
                </c:pt>
                <c:pt idx="29">
                  <c:v>262.50999999999993</c:v>
                </c:pt>
                <c:pt idx="30">
                  <c:v>262.80999999999995</c:v>
                </c:pt>
                <c:pt idx="31">
                  <c:v>264.12</c:v>
                </c:pt>
                <c:pt idx="32">
                  <c:v>264.38</c:v>
                </c:pt>
                <c:pt idx="33">
                  <c:v>265.69</c:v>
                </c:pt>
                <c:pt idx="34">
                  <c:v>265.7</c:v>
                </c:pt>
                <c:pt idx="35">
                  <c:v>277.42099999999999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9-42EB-B143-B74FB02F5BDC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'2018-7-19'!$A$57:$A$58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'2018-7-19'!$B$57:$B$58</c:f>
              <c:numCache>
                <c:formatCode>0.000</c:formatCode>
                <c:ptCount val="2"/>
                <c:pt idx="0">
                  <c:v>268.75599999999997</c:v>
                </c:pt>
                <c:pt idx="1">
                  <c:v>270.25599999999997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69-42EB-B143-B74FB02F5BDC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'2018-7-19'!$A$55:$A$56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'2018-7-19'!$B$55:$B$56</c:f>
              <c:numCache>
                <c:formatCode>0.000</c:formatCode>
                <c:ptCount val="2"/>
                <c:pt idx="0">
                  <c:v>263.726</c:v>
                </c:pt>
                <c:pt idx="1">
                  <c:v>266.726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69-42EB-B143-B74FB02F5BDC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'2018-7-19'!$A$53:$A$54</c:f>
              <c:numCache>
                <c:formatCode>0.00</c:formatCode>
                <c:ptCount val="2"/>
                <c:pt idx="0">
                  <c:v>4</c:v>
                </c:pt>
                <c:pt idx="1">
                  <c:v>34.629999999999995</c:v>
                </c:pt>
              </c:numCache>
            </c:numRef>
          </c:xVal>
          <c:yVal>
            <c:numRef>
              <c:f>'2018-7-19'!$B$53:$B$54</c:f>
              <c:numCache>
                <c:formatCode>0.000</c:formatCode>
                <c:ptCount val="2"/>
                <c:pt idx="0">
                  <c:v>264.11999999999995</c:v>
                </c:pt>
                <c:pt idx="1">
                  <c:v>264.11999999999995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69-42EB-B143-B74FB02F5BDC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'2018-7-19'!$A$59:$A$60</c:f>
              <c:numCache>
                <c:formatCode>0.00</c:formatCode>
                <c:ptCount val="2"/>
                <c:pt idx="0">
                  <c:v>0</c:v>
                </c:pt>
                <c:pt idx="1">
                  <c:v>36.4</c:v>
                </c:pt>
              </c:numCache>
            </c:numRef>
          </c:xVal>
          <c:yVal>
            <c:numRef>
              <c:f>'2018-7-19'!$B$59:$B$60</c:f>
              <c:numCache>
                <c:formatCode>0.000</c:formatCode>
                <c:ptCount val="2"/>
                <c:pt idx="0">
                  <c:v>277.39999999999998</c:v>
                </c:pt>
                <c:pt idx="1">
                  <c:v>277.42099999999999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69-42EB-B143-B74FB02F5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7632"/>
        <c:axId val="434368024"/>
      </c:scatterChart>
      <c:valAx>
        <c:axId val="434367632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8024"/>
        <c:crosses val="autoZero"/>
        <c:crossBetween val="midCat"/>
      </c:valAx>
      <c:valAx>
        <c:axId val="434368024"/>
        <c:scaling>
          <c:orientation val="minMax"/>
          <c:min val="26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7632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J OCAMPO, Dibujó: J 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13/03/2019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1636119169314364"/>
          <c:y val="0.13810432414454737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'2019-03-13'!$A$5:$A$36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3.5</c:v>
                </c:pt>
                <c:pt idx="3">
                  <c:v>3.5</c:v>
                </c:pt>
                <c:pt idx="4">
                  <c:v>4</c:v>
                </c:pt>
                <c:pt idx="5">
                  <c:v>4</c:v>
                </c:pt>
                <c:pt idx="6">
                  <c:v>4.5</c:v>
                </c:pt>
                <c:pt idx="7">
                  <c:v>4.5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15.5</c:v>
                </c:pt>
                <c:pt idx="18">
                  <c:v>17</c:v>
                </c:pt>
                <c:pt idx="19">
                  <c:v>18.5</c:v>
                </c:pt>
                <c:pt idx="20">
                  <c:v>20</c:v>
                </c:pt>
                <c:pt idx="21">
                  <c:v>21.5</c:v>
                </c:pt>
                <c:pt idx="22">
                  <c:v>23</c:v>
                </c:pt>
                <c:pt idx="23">
                  <c:v>24.5</c:v>
                </c:pt>
                <c:pt idx="24">
                  <c:v>26</c:v>
                </c:pt>
                <c:pt idx="25">
                  <c:v>27.5</c:v>
                </c:pt>
                <c:pt idx="26">
                  <c:v>31</c:v>
                </c:pt>
                <c:pt idx="27">
                  <c:v>33.5</c:v>
                </c:pt>
                <c:pt idx="28">
                  <c:v>33.5</c:v>
                </c:pt>
                <c:pt idx="29">
                  <c:v>34.5</c:v>
                </c:pt>
                <c:pt idx="30">
                  <c:v>34.5</c:v>
                </c:pt>
                <c:pt idx="31">
                  <c:v>34.5</c:v>
                </c:pt>
              </c:numCache>
            </c:numRef>
          </c:xVal>
          <c:yVal>
            <c:numRef>
              <c:f>'2019-03-13'!$B$5:$B$36</c:f>
              <c:numCache>
                <c:formatCode>0.000</c:formatCode>
                <c:ptCount val="32"/>
                <c:pt idx="0">
                  <c:v>269.35000000000002</c:v>
                </c:pt>
                <c:pt idx="1">
                  <c:v>269.30100000000004</c:v>
                </c:pt>
                <c:pt idx="2">
                  <c:v>269.26000000000005</c:v>
                </c:pt>
                <c:pt idx="3">
                  <c:v>268.26100000000002</c:v>
                </c:pt>
                <c:pt idx="4">
                  <c:v>268.36200000000002</c:v>
                </c:pt>
                <c:pt idx="5">
                  <c:v>265.685</c:v>
                </c:pt>
                <c:pt idx="6">
                  <c:v>263.28800000000001</c:v>
                </c:pt>
                <c:pt idx="7">
                  <c:v>261.488</c:v>
                </c:pt>
                <c:pt idx="8">
                  <c:v>260.88800000000003</c:v>
                </c:pt>
                <c:pt idx="9">
                  <c:v>260.58800000000002</c:v>
                </c:pt>
                <c:pt idx="10">
                  <c:v>260.76800000000003</c:v>
                </c:pt>
                <c:pt idx="11">
                  <c:v>260.738</c:v>
                </c:pt>
                <c:pt idx="12">
                  <c:v>260.91800000000001</c:v>
                </c:pt>
                <c:pt idx="13">
                  <c:v>261.07800000000003</c:v>
                </c:pt>
                <c:pt idx="14">
                  <c:v>261.03800000000001</c:v>
                </c:pt>
                <c:pt idx="15">
                  <c:v>261.20800000000003</c:v>
                </c:pt>
                <c:pt idx="16">
                  <c:v>261.30799999999999</c:v>
                </c:pt>
                <c:pt idx="17">
                  <c:v>261.428</c:v>
                </c:pt>
                <c:pt idx="18">
                  <c:v>261.57800000000003</c:v>
                </c:pt>
                <c:pt idx="19">
                  <c:v>261.72800000000001</c:v>
                </c:pt>
                <c:pt idx="20">
                  <c:v>261.84800000000001</c:v>
                </c:pt>
                <c:pt idx="21">
                  <c:v>261.87799999999999</c:v>
                </c:pt>
                <c:pt idx="22">
                  <c:v>261.93799999999999</c:v>
                </c:pt>
                <c:pt idx="23">
                  <c:v>261.99799999999999</c:v>
                </c:pt>
                <c:pt idx="24">
                  <c:v>262.108</c:v>
                </c:pt>
                <c:pt idx="25">
                  <c:v>262.14800000000002</c:v>
                </c:pt>
                <c:pt idx="26">
                  <c:v>263.28800000000001</c:v>
                </c:pt>
                <c:pt idx="27">
                  <c:v>264.29500000000002</c:v>
                </c:pt>
                <c:pt idx="28">
                  <c:v>265.56799999999998</c:v>
                </c:pt>
                <c:pt idx="29">
                  <c:v>265.69499999999999</c:v>
                </c:pt>
                <c:pt idx="30">
                  <c:v>265.48099999999999</c:v>
                </c:pt>
                <c:pt idx="31">
                  <c:v>270.255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D-4526-AD87-2B3E5625F754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'2019-03-13'!$A$57:$A$58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'2019-03-13'!$B$57:$B$58</c:f>
              <c:numCache>
                <c:formatCode>0.000</c:formatCode>
                <c:ptCount val="2"/>
                <c:pt idx="0">
                  <c:v>268.75599999999997</c:v>
                </c:pt>
                <c:pt idx="1">
                  <c:v>270.25599999999997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5D-4526-AD87-2B3E5625F754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'2019-03-13'!$A$55:$A$56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'2019-03-13'!$B$55:$B$56</c:f>
              <c:numCache>
                <c:formatCode>0.000</c:formatCode>
                <c:ptCount val="2"/>
                <c:pt idx="0">
                  <c:v>263.041</c:v>
                </c:pt>
                <c:pt idx="1">
                  <c:v>266.726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5D-4526-AD87-2B3E5625F754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'2019-03-13'!$A$53:$A$54</c:f>
              <c:numCache>
                <c:formatCode>0.00</c:formatCode>
                <c:ptCount val="2"/>
                <c:pt idx="0">
                  <c:v>4.5</c:v>
                </c:pt>
                <c:pt idx="1">
                  <c:v>31</c:v>
                </c:pt>
              </c:numCache>
            </c:numRef>
          </c:xVal>
          <c:yVal>
            <c:numRef>
              <c:f>'2019-03-13'!$B$53:$B$54</c:f>
              <c:numCache>
                <c:formatCode>0.000</c:formatCode>
                <c:ptCount val="2"/>
                <c:pt idx="0">
                  <c:v>263.28800000000001</c:v>
                </c:pt>
                <c:pt idx="1">
                  <c:v>263.28800000000001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5D-4526-AD87-2B3E5625F754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'2019-03-13'!$A$59:$A$60</c:f>
              <c:numCache>
                <c:formatCode>0.00</c:formatCode>
                <c:ptCount val="2"/>
                <c:pt idx="0">
                  <c:v>0</c:v>
                </c:pt>
                <c:pt idx="1">
                  <c:v>34.5</c:v>
                </c:pt>
              </c:numCache>
            </c:numRef>
          </c:xVal>
          <c:yVal>
            <c:numRef>
              <c:f>'2019-03-13'!$B$59:$B$60</c:f>
              <c:numCache>
                <c:formatCode>0.000</c:formatCode>
                <c:ptCount val="2"/>
                <c:pt idx="0">
                  <c:v>270.255</c:v>
                </c:pt>
                <c:pt idx="1">
                  <c:v>270.255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5D-4526-AD87-2B3E5625F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9200"/>
        <c:axId val="434369592"/>
      </c:scatterChart>
      <c:valAx>
        <c:axId val="434369200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9592"/>
        <c:crosses val="autoZero"/>
        <c:crossBetween val="midCat"/>
      </c:valAx>
      <c:valAx>
        <c:axId val="434369592"/>
        <c:scaling>
          <c:orientation val="minMax"/>
          <c:min val="2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69200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D.CORTES, Dibujó: D.CORTES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24/05/2019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71682902795045356"/>
          <c:y val="3.5998194478787014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'2019-5-24'!$A$5:$A$48</c:f>
              <c:numCache>
                <c:formatCode>0.000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</c:v>
                </c:pt>
                <c:pt idx="6">
                  <c:v>3.4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6.67</c:v>
                </c:pt>
                <c:pt idx="14">
                  <c:v>7.59</c:v>
                </c:pt>
                <c:pt idx="15">
                  <c:v>8.34</c:v>
                </c:pt>
                <c:pt idx="16">
                  <c:v>9.4499999999999993</c:v>
                </c:pt>
                <c:pt idx="17">
                  <c:v>10.29</c:v>
                </c:pt>
                <c:pt idx="18">
                  <c:v>10.969999999999999</c:v>
                </c:pt>
                <c:pt idx="19">
                  <c:v>11.95</c:v>
                </c:pt>
                <c:pt idx="20">
                  <c:v>13.309999999999999</c:v>
                </c:pt>
                <c:pt idx="21">
                  <c:v>14.28</c:v>
                </c:pt>
                <c:pt idx="22">
                  <c:v>15.469999999999999</c:v>
                </c:pt>
                <c:pt idx="23">
                  <c:v>16.459999999999997</c:v>
                </c:pt>
                <c:pt idx="24">
                  <c:v>17.409999999999997</c:v>
                </c:pt>
                <c:pt idx="25">
                  <c:v>18.389999999999997</c:v>
                </c:pt>
                <c:pt idx="26">
                  <c:v>19.479999999999997</c:v>
                </c:pt>
                <c:pt idx="27">
                  <c:v>20.529999999999998</c:v>
                </c:pt>
                <c:pt idx="28">
                  <c:v>21.549999999999997</c:v>
                </c:pt>
                <c:pt idx="29">
                  <c:v>22.549999999999997</c:v>
                </c:pt>
                <c:pt idx="30">
                  <c:v>23.619999999999997</c:v>
                </c:pt>
                <c:pt idx="31">
                  <c:v>24.909999999999997</c:v>
                </c:pt>
                <c:pt idx="32">
                  <c:v>26.089999999999996</c:v>
                </c:pt>
                <c:pt idx="33">
                  <c:v>27.259999999999998</c:v>
                </c:pt>
                <c:pt idx="34">
                  <c:v>28.319999999999997</c:v>
                </c:pt>
                <c:pt idx="35">
                  <c:v>29.199999999999996</c:v>
                </c:pt>
                <c:pt idx="36">
                  <c:v>30.029999999999994</c:v>
                </c:pt>
                <c:pt idx="37">
                  <c:v>32.269999999999996</c:v>
                </c:pt>
                <c:pt idx="38">
                  <c:v>34.519999999999996</c:v>
                </c:pt>
                <c:pt idx="39">
                  <c:v>34.519999999999996</c:v>
                </c:pt>
                <c:pt idx="40">
                  <c:v>35.519999999999996</c:v>
                </c:pt>
                <c:pt idx="41">
                  <c:v>35.519999999999996</c:v>
                </c:pt>
                <c:pt idx="42">
                  <c:v>35.519999999999996</c:v>
                </c:pt>
                <c:pt idx="43">
                  <c:v>35.519999999999996</c:v>
                </c:pt>
              </c:numCache>
            </c:numRef>
          </c:xVal>
          <c:yVal>
            <c:numRef>
              <c:f>'2019-5-24'!$B$5:$B$48</c:f>
              <c:numCache>
                <c:formatCode>0.000</c:formatCode>
                <c:ptCount val="44"/>
                <c:pt idx="0">
                  <c:v>269.35000000000002</c:v>
                </c:pt>
                <c:pt idx="1">
                  <c:v>273.89500000000004</c:v>
                </c:pt>
                <c:pt idx="2">
                  <c:v>276.25100000000003</c:v>
                </c:pt>
                <c:pt idx="3">
                  <c:v>271.33000000000004</c:v>
                </c:pt>
                <c:pt idx="4">
                  <c:v>269.25100000000003</c:v>
                </c:pt>
                <c:pt idx="5">
                  <c:v>269.25100000000003</c:v>
                </c:pt>
                <c:pt idx="6">
                  <c:v>268.40900000000005</c:v>
                </c:pt>
                <c:pt idx="7">
                  <c:v>268.40900000000005</c:v>
                </c:pt>
                <c:pt idx="8">
                  <c:v>266.59900000000005</c:v>
                </c:pt>
                <c:pt idx="9">
                  <c:v>265.36799999999999</c:v>
                </c:pt>
                <c:pt idx="10">
                  <c:v>265.30600000000004</c:v>
                </c:pt>
                <c:pt idx="11">
                  <c:v>263.45500000000004</c:v>
                </c:pt>
                <c:pt idx="12">
                  <c:v>261.65500000000003</c:v>
                </c:pt>
                <c:pt idx="13">
                  <c:v>261.64500000000004</c:v>
                </c:pt>
                <c:pt idx="14">
                  <c:v>261.62500000000006</c:v>
                </c:pt>
                <c:pt idx="15">
                  <c:v>261.39500000000004</c:v>
                </c:pt>
                <c:pt idx="16">
                  <c:v>261.53500000000003</c:v>
                </c:pt>
                <c:pt idx="17">
                  <c:v>261.43500000000006</c:v>
                </c:pt>
                <c:pt idx="18">
                  <c:v>261.34500000000003</c:v>
                </c:pt>
                <c:pt idx="19">
                  <c:v>261.40500000000003</c:v>
                </c:pt>
                <c:pt idx="20">
                  <c:v>261.18500000000006</c:v>
                </c:pt>
                <c:pt idx="21">
                  <c:v>261.30500000000006</c:v>
                </c:pt>
                <c:pt idx="22">
                  <c:v>261.35500000000002</c:v>
                </c:pt>
                <c:pt idx="23">
                  <c:v>261.35500000000002</c:v>
                </c:pt>
                <c:pt idx="24">
                  <c:v>261.33500000000004</c:v>
                </c:pt>
                <c:pt idx="25">
                  <c:v>261.30500000000006</c:v>
                </c:pt>
                <c:pt idx="26">
                  <c:v>261.36500000000007</c:v>
                </c:pt>
                <c:pt idx="27">
                  <c:v>261.33500000000004</c:v>
                </c:pt>
                <c:pt idx="28">
                  <c:v>261.44500000000005</c:v>
                </c:pt>
                <c:pt idx="29">
                  <c:v>261.50500000000005</c:v>
                </c:pt>
                <c:pt idx="30">
                  <c:v>261.43500000000006</c:v>
                </c:pt>
                <c:pt idx="31">
                  <c:v>261.39500000000004</c:v>
                </c:pt>
                <c:pt idx="32">
                  <c:v>261.38500000000005</c:v>
                </c:pt>
                <c:pt idx="33">
                  <c:v>261.30500000000006</c:v>
                </c:pt>
                <c:pt idx="34">
                  <c:v>261.50500000000005</c:v>
                </c:pt>
                <c:pt idx="35">
                  <c:v>262.24500000000006</c:v>
                </c:pt>
                <c:pt idx="36">
                  <c:v>262.63500000000005</c:v>
                </c:pt>
                <c:pt idx="37">
                  <c:v>263.45500000000004</c:v>
                </c:pt>
                <c:pt idx="38">
                  <c:v>264.375</c:v>
                </c:pt>
                <c:pt idx="39">
                  <c:v>265.69200000000001</c:v>
                </c:pt>
                <c:pt idx="40">
                  <c:v>265.69200000000001</c:v>
                </c:pt>
                <c:pt idx="41">
                  <c:v>266.67700000000002</c:v>
                </c:pt>
                <c:pt idx="42">
                  <c:v>271.44200000000001</c:v>
                </c:pt>
                <c:pt idx="43">
                  <c:v>276.25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23-4662-9E50-EB3BECB40E30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'2019-5-24'!$A$57:$A$58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'2019-5-24'!$B$57:$B$58</c:f>
              <c:numCache>
                <c:formatCode>0.000</c:formatCode>
                <c:ptCount val="2"/>
                <c:pt idx="0">
                  <c:v>268.75599999999997</c:v>
                </c:pt>
                <c:pt idx="1">
                  <c:v>270.25599999999997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23-4662-9E50-EB3BECB40E30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'2019-5-24'!$A$55:$A$56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'2019-5-24'!$B$55:$B$56</c:f>
              <c:numCache>
                <c:formatCode>0.000</c:formatCode>
                <c:ptCount val="2"/>
                <c:pt idx="0">
                  <c:v>263.726</c:v>
                </c:pt>
                <c:pt idx="1">
                  <c:v>266.726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23-4662-9E50-EB3BECB40E30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'2019-5-24'!$A$53:$A$54</c:f>
              <c:numCache>
                <c:formatCode>0.00</c:formatCode>
                <c:ptCount val="2"/>
                <c:pt idx="0">
                  <c:v>4.5</c:v>
                </c:pt>
                <c:pt idx="1">
                  <c:v>32.269999999999996</c:v>
                </c:pt>
              </c:numCache>
            </c:numRef>
          </c:xVal>
          <c:yVal>
            <c:numRef>
              <c:f>'2019-5-24'!$B$53:$B$54</c:f>
              <c:numCache>
                <c:formatCode>0.000</c:formatCode>
                <c:ptCount val="2"/>
                <c:pt idx="0">
                  <c:v>263.45500000000004</c:v>
                </c:pt>
                <c:pt idx="1">
                  <c:v>263.45500000000004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23-4662-9E50-EB3BECB40E30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'2019-5-24'!$A$59:$A$60</c:f>
              <c:numCache>
                <c:formatCode>0.00</c:formatCode>
                <c:ptCount val="2"/>
                <c:pt idx="0">
                  <c:v>0</c:v>
                </c:pt>
                <c:pt idx="1">
                  <c:v>35.520000000000003</c:v>
                </c:pt>
              </c:numCache>
            </c:numRef>
          </c:xVal>
          <c:yVal>
            <c:numRef>
              <c:f>'2019-5-24'!$B$59:$B$60</c:f>
              <c:numCache>
                <c:formatCode>0.000</c:formatCode>
                <c:ptCount val="2"/>
                <c:pt idx="0">
                  <c:v>276.25099999999998</c:v>
                </c:pt>
                <c:pt idx="1">
                  <c:v>276.25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23-4662-9E50-EB3BECB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70768"/>
        <c:axId val="434371160"/>
      </c:scatterChart>
      <c:valAx>
        <c:axId val="434370768"/>
        <c:scaling>
          <c:orientation val="minMax"/>
          <c:max val="3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71160"/>
        <c:crosses val="autoZero"/>
        <c:crossBetween val="midCat"/>
      </c:valAx>
      <c:valAx>
        <c:axId val="434371160"/>
        <c:scaling>
          <c:orientation val="minMax"/>
          <c:max val="281"/>
          <c:min val="25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4370768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GUEVARA , Dibujó: J 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20/07/2019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52033779988027817"/>
          <c:y val="0.19853448251816064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'2019-07-20'!$A$5:$A$33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3.5</c:v>
                </c:pt>
                <c:pt idx="3">
                  <c:v>3.5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7.5</c:v>
                </c:pt>
                <c:pt idx="10">
                  <c:v>9</c:v>
                </c:pt>
                <c:pt idx="11">
                  <c:v>10.5</c:v>
                </c:pt>
                <c:pt idx="12">
                  <c:v>12</c:v>
                </c:pt>
                <c:pt idx="13">
                  <c:v>13.5</c:v>
                </c:pt>
                <c:pt idx="14">
                  <c:v>15</c:v>
                </c:pt>
                <c:pt idx="15">
                  <c:v>16.5</c:v>
                </c:pt>
                <c:pt idx="16">
                  <c:v>18</c:v>
                </c:pt>
                <c:pt idx="17">
                  <c:v>19.5</c:v>
                </c:pt>
                <c:pt idx="18">
                  <c:v>21</c:v>
                </c:pt>
                <c:pt idx="19">
                  <c:v>22.5</c:v>
                </c:pt>
                <c:pt idx="20">
                  <c:v>24</c:v>
                </c:pt>
                <c:pt idx="21">
                  <c:v>25.5</c:v>
                </c:pt>
                <c:pt idx="22">
                  <c:v>27</c:v>
                </c:pt>
                <c:pt idx="23">
                  <c:v>29</c:v>
                </c:pt>
                <c:pt idx="24">
                  <c:v>31</c:v>
                </c:pt>
                <c:pt idx="25">
                  <c:v>32.5</c:v>
                </c:pt>
                <c:pt idx="26">
                  <c:v>32.5</c:v>
                </c:pt>
                <c:pt idx="27">
                  <c:v>33.5</c:v>
                </c:pt>
                <c:pt idx="28">
                  <c:v>33.5</c:v>
                </c:pt>
              </c:numCache>
            </c:numRef>
          </c:xVal>
          <c:yVal>
            <c:numRef>
              <c:f>'2019-07-20'!$B$5:$B$33</c:f>
              <c:numCache>
                <c:formatCode>0.000</c:formatCode>
                <c:ptCount val="29"/>
                <c:pt idx="0">
                  <c:v>269.35000000000002</c:v>
                </c:pt>
                <c:pt idx="1">
                  <c:v>269.346</c:v>
                </c:pt>
                <c:pt idx="2">
                  <c:v>269.16200000000003</c:v>
                </c:pt>
                <c:pt idx="3">
                  <c:v>268.42500000000001</c:v>
                </c:pt>
                <c:pt idx="4">
                  <c:v>268.30100000000004</c:v>
                </c:pt>
                <c:pt idx="5">
                  <c:v>265.70600000000002</c:v>
                </c:pt>
                <c:pt idx="6">
                  <c:v>263.82000000000005</c:v>
                </c:pt>
                <c:pt idx="7">
                  <c:v>261.11000000000007</c:v>
                </c:pt>
                <c:pt idx="8">
                  <c:v>261.10000000000002</c:v>
                </c:pt>
                <c:pt idx="9">
                  <c:v>261.09000000000003</c:v>
                </c:pt>
                <c:pt idx="10">
                  <c:v>261.02000000000004</c:v>
                </c:pt>
                <c:pt idx="11">
                  <c:v>261.13000000000005</c:v>
                </c:pt>
                <c:pt idx="12">
                  <c:v>261.21000000000004</c:v>
                </c:pt>
                <c:pt idx="13">
                  <c:v>261.17000000000007</c:v>
                </c:pt>
                <c:pt idx="14">
                  <c:v>261.24000000000007</c:v>
                </c:pt>
                <c:pt idx="15">
                  <c:v>261.22000000000003</c:v>
                </c:pt>
                <c:pt idx="16">
                  <c:v>260.99000000000007</c:v>
                </c:pt>
                <c:pt idx="17">
                  <c:v>260.99000000000007</c:v>
                </c:pt>
                <c:pt idx="18">
                  <c:v>261.13000000000005</c:v>
                </c:pt>
                <c:pt idx="19">
                  <c:v>261.00000000000006</c:v>
                </c:pt>
                <c:pt idx="20">
                  <c:v>261.09000000000003</c:v>
                </c:pt>
                <c:pt idx="21">
                  <c:v>261.11000000000007</c:v>
                </c:pt>
                <c:pt idx="22">
                  <c:v>261.36000000000007</c:v>
                </c:pt>
                <c:pt idx="23">
                  <c:v>262.83000000000004</c:v>
                </c:pt>
                <c:pt idx="24">
                  <c:v>263.82000000000005</c:v>
                </c:pt>
                <c:pt idx="25">
                  <c:v>264.27600000000001</c:v>
                </c:pt>
                <c:pt idx="26">
                  <c:v>265.70600000000002</c:v>
                </c:pt>
                <c:pt idx="27">
                  <c:v>265.70100000000002</c:v>
                </c:pt>
                <c:pt idx="28">
                  <c:v>266.74600000000004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5-4A11-8DC1-235CBA76B60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'2019-07-20'!$A$57:$A$58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'2019-07-20'!$B$57:$B$58</c:f>
              <c:numCache>
                <c:formatCode>0.000</c:formatCode>
                <c:ptCount val="2"/>
                <c:pt idx="0">
                  <c:v>267.80200000000002</c:v>
                </c:pt>
                <c:pt idx="1">
                  <c:v>269.30200000000002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25-4A11-8DC1-235CBA76B60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'2019-07-20'!$A$55:$A$56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'2019-07-20'!$B$55:$B$56</c:f>
              <c:numCache>
                <c:formatCode>0.000</c:formatCode>
                <c:ptCount val="2"/>
                <c:pt idx="0">
                  <c:v>261.36599999999999</c:v>
                </c:pt>
                <c:pt idx="1">
                  <c:v>266.36599999999999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25-4A11-8DC1-235CBA76B60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'2019-07-20'!$A$53:$A$54</c:f>
              <c:numCache>
                <c:formatCode>0.00</c:formatCode>
                <c:ptCount val="2"/>
                <c:pt idx="0">
                  <c:v>4</c:v>
                </c:pt>
                <c:pt idx="1">
                  <c:v>31</c:v>
                </c:pt>
              </c:numCache>
            </c:numRef>
          </c:xVal>
          <c:yVal>
            <c:numRef>
              <c:f>'2019-07-20'!$B$53:$B$54</c:f>
              <c:numCache>
                <c:formatCode>0.000</c:formatCode>
                <c:ptCount val="2"/>
                <c:pt idx="0">
                  <c:v>263.82000000000005</c:v>
                </c:pt>
                <c:pt idx="1">
                  <c:v>263.82000000000005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25-4A11-8DC1-235CBA76B605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'2019-07-20'!$A$59:$A$60</c:f>
              <c:numCache>
                <c:formatCode>0.00</c:formatCode>
                <c:ptCount val="2"/>
                <c:pt idx="0">
                  <c:v>0</c:v>
                </c:pt>
                <c:pt idx="1">
                  <c:v>33.5</c:v>
                </c:pt>
              </c:numCache>
            </c:numRef>
          </c:xVal>
          <c:yVal>
            <c:numRef>
              <c:f>'2019-07-20'!$B$59:$B$60</c:f>
              <c:numCache>
                <c:formatCode>0.000</c:formatCode>
                <c:ptCount val="2"/>
                <c:pt idx="0">
                  <c:v>270.255</c:v>
                </c:pt>
                <c:pt idx="1">
                  <c:v>270.255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25-4A11-8DC1-235CBA76B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361176"/>
        <c:axId val="432361568"/>
      </c:scatterChart>
      <c:valAx>
        <c:axId val="432361176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2361568"/>
        <c:crosses val="autoZero"/>
        <c:crossBetween val="midCat"/>
      </c:valAx>
      <c:valAx>
        <c:axId val="432361568"/>
        <c:scaling>
          <c:orientation val="minMax"/>
          <c:min val="2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236117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 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4/03/2020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52033779988027817"/>
          <c:y val="0.19853448251816064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'2020-03-04'!$A$5:$A$32</c:f>
              <c:numCache>
                <c:formatCode>0.000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3.45</c:v>
                </c:pt>
                <c:pt idx="3">
                  <c:v>3.45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7.2</c:v>
                </c:pt>
                <c:pt idx="9">
                  <c:v>8.6999999999999993</c:v>
                </c:pt>
                <c:pt idx="10">
                  <c:v>10.199999999999999</c:v>
                </c:pt>
                <c:pt idx="11">
                  <c:v>11.7</c:v>
                </c:pt>
                <c:pt idx="12">
                  <c:v>13.2</c:v>
                </c:pt>
                <c:pt idx="13">
                  <c:v>14.7</c:v>
                </c:pt>
                <c:pt idx="14">
                  <c:v>16.2</c:v>
                </c:pt>
                <c:pt idx="15">
                  <c:v>17.7</c:v>
                </c:pt>
                <c:pt idx="16">
                  <c:v>19.2</c:v>
                </c:pt>
                <c:pt idx="17">
                  <c:v>20.7</c:v>
                </c:pt>
                <c:pt idx="18">
                  <c:v>22.2</c:v>
                </c:pt>
                <c:pt idx="19">
                  <c:v>23.7</c:v>
                </c:pt>
                <c:pt idx="20">
                  <c:v>25.2</c:v>
                </c:pt>
                <c:pt idx="21">
                  <c:v>26.7</c:v>
                </c:pt>
                <c:pt idx="22">
                  <c:v>28.2</c:v>
                </c:pt>
                <c:pt idx="23">
                  <c:v>30.2</c:v>
                </c:pt>
                <c:pt idx="24">
                  <c:v>32.200000000000003</c:v>
                </c:pt>
                <c:pt idx="25">
                  <c:v>35.200000000000003</c:v>
                </c:pt>
                <c:pt idx="26">
                  <c:v>35.200000000000003</c:v>
                </c:pt>
                <c:pt idx="27">
                  <c:v>36.200000000000003</c:v>
                </c:pt>
              </c:numCache>
            </c:numRef>
          </c:xVal>
          <c:yVal>
            <c:numRef>
              <c:f>'2020-03-04'!$B$5:$B$32</c:f>
              <c:numCache>
                <c:formatCode>0.000</c:formatCode>
                <c:ptCount val="28"/>
                <c:pt idx="0">
                  <c:v>269.35000000000002</c:v>
                </c:pt>
                <c:pt idx="1">
                  <c:v>269.28399999999999</c:v>
                </c:pt>
                <c:pt idx="2">
                  <c:v>269.24900000000002</c:v>
                </c:pt>
                <c:pt idx="3">
                  <c:v>268.38400000000001</c:v>
                </c:pt>
                <c:pt idx="4">
                  <c:v>268.20500000000004</c:v>
                </c:pt>
                <c:pt idx="5">
                  <c:v>265.709</c:v>
                </c:pt>
                <c:pt idx="6">
                  <c:v>263.20499999999998</c:v>
                </c:pt>
                <c:pt idx="7">
                  <c:v>260.495</c:v>
                </c:pt>
                <c:pt idx="8">
                  <c:v>260.48499999999996</c:v>
                </c:pt>
                <c:pt idx="9">
                  <c:v>260.47499999999997</c:v>
                </c:pt>
                <c:pt idx="10">
                  <c:v>260.40499999999997</c:v>
                </c:pt>
                <c:pt idx="11">
                  <c:v>260.51499999999999</c:v>
                </c:pt>
                <c:pt idx="12">
                  <c:v>260.59499999999997</c:v>
                </c:pt>
                <c:pt idx="13">
                  <c:v>260.55500000000001</c:v>
                </c:pt>
                <c:pt idx="14">
                  <c:v>260.625</c:v>
                </c:pt>
                <c:pt idx="15">
                  <c:v>260.60499999999996</c:v>
                </c:pt>
                <c:pt idx="16">
                  <c:v>260.375</c:v>
                </c:pt>
                <c:pt idx="17">
                  <c:v>260.375</c:v>
                </c:pt>
                <c:pt idx="18">
                  <c:v>260.51499999999999</c:v>
                </c:pt>
                <c:pt idx="19">
                  <c:v>260.38499999999999</c:v>
                </c:pt>
                <c:pt idx="20">
                  <c:v>260.47499999999997</c:v>
                </c:pt>
                <c:pt idx="21">
                  <c:v>260.495</c:v>
                </c:pt>
                <c:pt idx="22">
                  <c:v>260.745</c:v>
                </c:pt>
                <c:pt idx="23">
                  <c:v>262.21499999999997</c:v>
                </c:pt>
                <c:pt idx="24">
                  <c:v>263.20499999999998</c:v>
                </c:pt>
                <c:pt idx="25">
                  <c:v>264.26900000000001</c:v>
                </c:pt>
                <c:pt idx="26">
                  <c:v>265.72899999999998</c:v>
                </c:pt>
                <c:pt idx="27">
                  <c:v>265.72899999999998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B-4914-95F1-23F03896838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'2020-03-04'!$A$57:$A$58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'2020-03-04'!$B$57:$B$58</c:f>
              <c:numCache>
                <c:formatCode>0.000</c:formatCode>
                <c:ptCount val="2"/>
                <c:pt idx="0">
                  <c:v>267.80200000000002</c:v>
                </c:pt>
                <c:pt idx="1">
                  <c:v>269.30200000000002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4B-4914-95F1-23F03896838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'2020-03-04'!$A$55:$A$56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'2020-03-04'!$B$55:$B$56</c:f>
              <c:numCache>
                <c:formatCode>0.000</c:formatCode>
                <c:ptCount val="2"/>
                <c:pt idx="0">
                  <c:v>261.38499999999999</c:v>
                </c:pt>
                <c:pt idx="1">
                  <c:v>266.36599999999999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4B-4914-95F1-23F03896838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'2020-03-04'!$A$53:$A$54</c:f>
              <c:numCache>
                <c:formatCode>0.00</c:formatCode>
                <c:ptCount val="2"/>
                <c:pt idx="0">
                  <c:v>5.2</c:v>
                </c:pt>
                <c:pt idx="1">
                  <c:v>32.200000000000003</c:v>
                </c:pt>
              </c:numCache>
            </c:numRef>
          </c:xVal>
          <c:yVal>
            <c:numRef>
              <c:f>'2020-03-04'!$B$53:$B$54</c:f>
              <c:numCache>
                <c:formatCode>0.000</c:formatCode>
                <c:ptCount val="2"/>
                <c:pt idx="0">
                  <c:v>263.20499999999998</c:v>
                </c:pt>
                <c:pt idx="1">
                  <c:v>263.20499999999998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4B-4914-95F1-23F03896838D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'2020-03-04'!$A$59:$A$60</c:f>
              <c:numCache>
                <c:formatCode>0.00</c:formatCode>
                <c:ptCount val="2"/>
                <c:pt idx="0">
                  <c:v>0</c:v>
                </c:pt>
                <c:pt idx="1">
                  <c:v>33.5</c:v>
                </c:pt>
              </c:numCache>
            </c:numRef>
          </c:xVal>
          <c:yVal>
            <c:numRef>
              <c:f>'2020-03-04'!$B$59:$B$60</c:f>
              <c:numCache>
                <c:formatCode>0.000</c:formatCode>
                <c:ptCount val="2"/>
                <c:pt idx="0">
                  <c:v>270.255</c:v>
                </c:pt>
                <c:pt idx="1">
                  <c:v>270.255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4B-4914-95F1-23F038968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363136"/>
        <c:axId val="432363528"/>
      </c:scatterChart>
      <c:valAx>
        <c:axId val="432363136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2363528"/>
        <c:crosses val="autoZero"/>
        <c:crossBetween val="midCat"/>
      </c:valAx>
      <c:valAx>
        <c:axId val="432363528"/>
        <c:scaling>
          <c:orientation val="minMax"/>
          <c:min val="2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3236313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FLORENCIA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RIO HACHA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44037060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 CALDERÓN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13/10/2021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52033779988027817"/>
          <c:y val="0.19853448251816064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'2021-10-13'!$A$5:$A$32</c:f>
              <c:numCache>
                <c:formatCode>0.000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3.5999999999999996</c:v>
                </c:pt>
                <c:pt idx="5">
                  <c:v>3.5999999999999996</c:v>
                </c:pt>
                <c:pt idx="6">
                  <c:v>3.5999999999999996</c:v>
                </c:pt>
                <c:pt idx="7">
                  <c:v>5.3</c:v>
                </c:pt>
                <c:pt idx="8">
                  <c:v>7</c:v>
                </c:pt>
                <c:pt idx="9">
                  <c:v>8.6999999999999993</c:v>
                </c:pt>
                <c:pt idx="10">
                  <c:v>10.399999999999999</c:v>
                </c:pt>
                <c:pt idx="11">
                  <c:v>12.099999999999998</c:v>
                </c:pt>
                <c:pt idx="12">
                  <c:v>13.799999999999997</c:v>
                </c:pt>
                <c:pt idx="13">
                  <c:v>15.499999999999996</c:v>
                </c:pt>
                <c:pt idx="14">
                  <c:v>17.199999999999996</c:v>
                </c:pt>
                <c:pt idx="15">
                  <c:v>18.899999999999995</c:v>
                </c:pt>
                <c:pt idx="16">
                  <c:v>20.599999999999994</c:v>
                </c:pt>
                <c:pt idx="17">
                  <c:v>22.299999999999994</c:v>
                </c:pt>
                <c:pt idx="18">
                  <c:v>23.999999999999993</c:v>
                </c:pt>
                <c:pt idx="19">
                  <c:v>25.699999999999992</c:v>
                </c:pt>
                <c:pt idx="20">
                  <c:v>27.399999999999991</c:v>
                </c:pt>
                <c:pt idx="21">
                  <c:v>29.099999999999991</c:v>
                </c:pt>
                <c:pt idx="22">
                  <c:v>30.79999999999999</c:v>
                </c:pt>
                <c:pt idx="23">
                  <c:v>32.499999999999993</c:v>
                </c:pt>
                <c:pt idx="24">
                  <c:v>34.199999999999996</c:v>
                </c:pt>
                <c:pt idx="25">
                  <c:v>35.9</c:v>
                </c:pt>
                <c:pt idx="26">
                  <c:v>36.9</c:v>
                </c:pt>
                <c:pt idx="27">
                  <c:v>36.9</c:v>
                </c:pt>
              </c:numCache>
            </c:numRef>
          </c:xVal>
          <c:yVal>
            <c:numRef>
              <c:f>'2021-10-13'!$B$5:$B$32</c:f>
              <c:numCache>
                <c:formatCode>0.000</c:formatCode>
                <c:ptCount val="28"/>
                <c:pt idx="0">
                  <c:v>269.35000000000002</c:v>
                </c:pt>
                <c:pt idx="1">
                  <c:v>269.27200000000005</c:v>
                </c:pt>
                <c:pt idx="2">
                  <c:v>269.28600000000006</c:v>
                </c:pt>
                <c:pt idx="3">
                  <c:v>268.34100000000007</c:v>
                </c:pt>
                <c:pt idx="4">
                  <c:v>268.33600000000007</c:v>
                </c:pt>
                <c:pt idx="5">
                  <c:v>265.69600000000003</c:v>
                </c:pt>
                <c:pt idx="6">
                  <c:v>264.63400000000001</c:v>
                </c:pt>
                <c:pt idx="7">
                  <c:v>262.25400000000002</c:v>
                </c:pt>
                <c:pt idx="8">
                  <c:v>262.23400000000004</c:v>
                </c:pt>
                <c:pt idx="9">
                  <c:v>262.35400000000004</c:v>
                </c:pt>
                <c:pt idx="10">
                  <c:v>262.48400000000004</c:v>
                </c:pt>
                <c:pt idx="11">
                  <c:v>262.51400000000001</c:v>
                </c:pt>
                <c:pt idx="12">
                  <c:v>262.57400000000001</c:v>
                </c:pt>
                <c:pt idx="13">
                  <c:v>262.60400000000004</c:v>
                </c:pt>
                <c:pt idx="14">
                  <c:v>262.67400000000004</c:v>
                </c:pt>
                <c:pt idx="15">
                  <c:v>262.584</c:v>
                </c:pt>
                <c:pt idx="16">
                  <c:v>262.53399999999999</c:v>
                </c:pt>
                <c:pt idx="17">
                  <c:v>262.60400000000004</c:v>
                </c:pt>
                <c:pt idx="18">
                  <c:v>262.64400000000001</c:v>
                </c:pt>
                <c:pt idx="19">
                  <c:v>262.714</c:v>
                </c:pt>
                <c:pt idx="20">
                  <c:v>262.88400000000001</c:v>
                </c:pt>
                <c:pt idx="21">
                  <c:v>262.95400000000001</c:v>
                </c:pt>
                <c:pt idx="22">
                  <c:v>262.66399999999999</c:v>
                </c:pt>
                <c:pt idx="23">
                  <c:v>262.66399999999999</c:v>
                </c:pt>
                <c:pt idx="24">
                  <c:v>264.63400000000001</c:v>
                </c:pt>
                <c:pt idx="25">
                  <c:v>265.35000000000002</c:v>
                </c:pt>
                <c:pt idx="26">
                  <c:v>266.68799999999999</c:v>
                </c:pt>
                <c:pt idx="27">
                  <c:v>269.63200000000001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B-4914-95F1-23F03896838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'2021-10-13'!$A$57:$A$58</c:f>
              <c:numCache>
                <c:formatCode>0.00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'2021-10-13'!$B$57:$B$58</c:f>
              <c:numCache>
                <c:formatCode>0.000</c:formatCode>
                <c:ptCount val="2"/>
                <c:pt idx="0">
                  <c:v>267.80200000000002</c:v>
                </c:pt>
                <c:pt idx="1">
                  <c:v>269.30200000000002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4B-4914-95F1-23F03896838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'2021-10-13'!$A$55:$A$56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'2021-10-13'!$B$55:$B$56</c:f>
              <c:numCache>
                <c:formatCode>0.000</c:formatCode>
                <c:ptCount val="2"/>
                <c:pt idx="0">
                  <c:v>263.72399999999999</c:v>
                </c:pt>
                <c:pt idx="1">
                  <c:v>266.36599999999999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4B-4914-95F1-23F03896838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'2021-10-13'!$A$53:$A$54</c:f>
              <c:numCache>
                <c:formatCode>0.00</c:formatCode>
                <c:ptCount val="2"/>
                <c:pt idx="0">
                  <c:v>3.6</c:v>
                </c:pt>
                <c:pt idx="1">
                  <c:v>34.200000000000003</c:v>
                </c:pt>
              </c:numCache>
            </c:numRef>
          </c:xVal>
          <c:yVal>
            <c:numRef>
              <c:f>'2021-10-13'!$B$53:$B$54</c:f>
              <c:numCache>
                <c:formatCode>0.000</c:formatCode>
                <c:ptCount val="2"/>
                <c:pt idx="0">
                  <c:v>264.63400000000001</c:v>
                </c:pt>
                <c:pt idx="1">
                  <c:v>264.63200000000001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4B-4914-95F1-23F03896838D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'2021-10-13'!$A$59:$A$60</c:f>
              <c:numCache>
                <c:formatCode>0.00</c:formatCode>
                <c:ptCount val="2"/>
                <c:pt idx="0">
                  <c:v>2.9</c:v>
                </c:pt>
                <c:pt idx="1">
                  <c:v>36.9</c:v>
                </c:pt>
              </c:numCache>
            </c:numRef>
          </c:xVal>
          <c:yVal>
            <c:numRef>
              <c:f>'2021-10-13'!$B$59:$B$60</c:f>
              <c:numCache>
                <c:formatCode>0.000</c:formatCode>
                <c:ptCount val="2"/>
                <c:pt idx="0">
                  <c:v>269.27199999999999</c:v>
                </c:pt>
                <c:pt idx="1">
                  <c:v>269.63200000000001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4B-4914-95F1-23F038968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27368"/>
        <c:axId val="280528936"/>
      </c:scatterChart>
      <c:valAx>
        <c:axId val="280527368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0528936"/>
        <c:crosses val="autoZero"/>
        <c:crossBetween val="midCat"/>
      </c:valAx>
      <c:valAx>
        <c:axId val="280528936"/>
        <c:scaling>
          <c:orientation val="minMax"/>
          <c:min val="2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80527368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43</xdr:row>
      <xdr:rowOff>152400</xdr:rowOff>
    </xdr:to>
    <xdr:graphicFrame macro="">
      <xdr:nvGraphicFramePr>
        <xdr:cNvPr id="6966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0.42637</cdr:x>
      <cdr:y>0.71755</cdr:y>
    </cdr:from>
    <cdr:to>
      <cdr:x>0.42637</cdr:x>
      <cdr:y>0.71755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0.45711</cdr:x>
      <cdr:y>0.71755</cdr:y>
    </cdr:from>
    <cdr:to>
      <cdr:x>0.45711</cdr:x>
      <cdr:y>0.71755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0.20748</cdr:x>
      <cdr:y>0.06276</cdr:y>
    </cdr:from>
    <cdr:to>
      <cdr:x>0.20728</cdr:x>
      <cdr:y>0.06269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35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0.72943</cdr:y>
    </cdr:from>
    <cdr:to>
      <cdr:x>0.42711</cdr:x>
      <cdr:y>0.72943</cdr:y>
    </cdr:to>
    <cdr:sp macro="" textlink="">
      <cdr:nvSpPr>
        <cdr:cNvPr id="6451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5697" y="777779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0.72943</cdr:y>
    </cdr:from>
    <cdr:to>
      <cdr:x>0.45761</cdr:x>
      <cdr:y>0.72943</cdr:y>
    </cdr:to>
    <cdr:sp macro="" textlink="">
      <cdr:nvSpPr>
        <cdr:cNvPr id="6451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7229" y="777779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0.20822</cdr:x>
      <cdr:y>0.05576</cdr:y>
    </cdr:from>
    <cdr:to>
      <cdr:x>0.29573</cdr:x>
      <cdr:y>0.15784</cdr:y>
    </cdr:to>
    <cdr:pic>
      <cdr:nvPicPr>
        <cdr:cNvPr id="6451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5287" y="608010"/>
          <a:ext cx="989914" cy="10774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69</xdr:row>
      <xdr:rowOff>152400</xdr:rowOff>
    </xdr:to>
    <xdr:graphicFrame macro="">
      <xdr:nvGraphicFramePr>
        <xdr:cNvPr id="6761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0.42662</cdr:x>
      <cdr:y>0.7331</cdr:y>
    </cdr:from>
    <cdr:to>
      <cdr:x>0.42662</cdr:x>
      <cdr:y>0.7331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0.45736</cdr:x>
      <cdr:y>0.7331</cdr:y>
    </cdr:from>
    <cdr:to>
      <cdr:x>0.45736</cdr:x>
      <cdr:y>0.7331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0.20774</cdr:x>
      <cdr:y>0.05609</cdr:y>
    </cdr:from>
    <cdr:to>
      <cdr:x>0.20729</cdr:x>
      <cdr:y>0.05626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44</xdr:row>
      <xdr:rowOff>152400</xdr:rowOff>
    </xdr:to>
    <xdr:graphicFrame macro="">
      <xdr:nvGraphicFramePr>
        <xdr:cNvPr id="5840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0.71778</cdr:y>
    </cdr:from>
    <cdr:to>
      <cdr:x>0.42711</cdr:x>
      <cdr:y>0.71778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0.71778</cdr:y>
    </cdr:from>
    <cdr:to>
      <cdr:x>0.4576</cdr:x>
      <cdr:y>0.71778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0.06029</cdr:y>
    </cdr:from>
    <cdr:to>
      <cdr:x>0.29524</cdr:x>
      <cdr:y>0.19444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737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0.72691</cdr:y>
    </cdr:from>
    <cdr:to>
      <cdr:x>0.42711</cdr:x>
      <cdr:y>0.72691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0.72691</cdr:y>
    </cdr:from>
    <cdr:to>
      <cdr:x>0.4576</cdr:x>
      <cdr:y>0.72691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0.05733</cdr:y>
    </cdr:from>
    <cdr:to>
      <cdr:x>0.29524</cdr:x>
      <cdr:y>0.16829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758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0.72592</cdr:y>
    </cdr:from>
    <cdr:to>
      <cdr:x>0.42661</cdr:x>
      <cdr:y>0.72592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0.72592</cdr:y>
    </cdr:from>
    <cdr:to>
      <cdr:x>0.45835</cdr:x>
      <cdr:y>0.72592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0.05807</cdr:y>
    </cdr:from>
    <cdr:to>
      <cdr:x>0.29425</cdr:x>
      <cdr:y>0.16904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809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0.72592</cdr:y>
    </cdr:from>
    <cdr:to>
      <cdr:x>0.42661</cdr:x>
      <cdr:y>0.72592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0.72592</cdr:y>
    </cdr:from>
    <cdr:to>
      <cdr:x>0.45835</cdr:x>
      <cdr:y>0.72592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0.05807</cdr:y>
    </cdr:from>
    <cdr:to>
      <cdr:x>0.29425</cdr:x>
      <cdr:y>0.16904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788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0.72592</cdr:y>
    </cdr:from>
    <cdr:to>
      <cdr:x>0.42661</cdr:x>
      <cdr:y>0.72592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0.72592</cdr:y>
    </cdr:from>
    <cdr:to>
      <cdr:x>0.45835</cdr:x>
      <cdr:y>0.72592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0.05807</cdr:y>
    </cdr:from>
    <cdr:to>
      <cdr:x>0.29425</cdr:x>
      <cdr:y>0.16904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8297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0.72592</cdr:y>
    </cdr:from>
    <cdr:to>
      <cdr:x>0.42661</cdr:x>
      <cdr:y>0.72592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0.72592</cdr:y>
    </cdr:from>
    <cdr:to>
      <cdr:x>0.45835</cdr:x>
      <cdr:y>0.72592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0.05807</cdr:y>
    </cdr:from>
    <cdr:to>
      <cdr:x>0.29425</cdr:x>
      <cdr:y>0.16904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86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0.72567</cdr:y>
    </cdr:from>
    <cdr:to>
      <cdr:x>0.42761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0.45959</cdr:x>
      <cdr:y>0.72567</cdr:y>
    </cdr:from>
    <cdr:to>
      <cdr:x>0.45959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0.13063</cdr:x>
      <cdr:y>0.14257</cdr:y>
    </cdr:from>
    <cdr:to>
      <cdr:x>0.22632</cdr:x>
      <cdr:y>0.24182</cdr:y>
    </cdr:to>
    <cdr:pic>
      <cdr:nvPicPr>
        <cdr:cNvPr id="87044" name="Picture 4" descr="LOGO negr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470989" y="1368948"/>
          <a:ext cx="1085531" cy="9534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891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0.72592</cdr:y>
    </cdr:from>
    <cdr:to>
      <cdr:x>0.42661</cdr:x>
      <cdr:y>0.72592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0.72592</cdr:y>
    </cdr:from>
    <cdr:to>
      <cdr:x>0.45835</cdr:x>
      <cdr:y>0.72592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0.05807</cdr:y>
    </cdr:from>
    <cdr:to>
      <cdr:x>0.29425</cdr:x>
      <cdr:y>0.16904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54</xdr:row>
      <xdr:rowOff>152400</xdr:rowOff>
    </xdr:to>
    <xdr:graphicFrame macro="">
      <xdr:nvGraphicFramePr>
        <xdr:cNvPr id="91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0.42612</cdr:x>
      <cdr:y>0.72567</cdr:y>
    </cdr:from>
    <cdr:to>
      <cdr:x>0.42612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0.72567</cdr:y>
    </cdr:from>
    <cdr:to>
      <cdr:x>0.4581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0.1069</cdr:x>
      <cdr:y>0.04075</cdr:y>
    </cdr:from>
    <cdr:to>
      <cdr:x>0.19366</cdr:x>
      <cdr:y>0.15148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53</xdr:row>
      <xdr:rowOff>152400</xdr:rowOff>
    </xdr:to>
    <xdr:graphicFrame macro="">
      <xdr:nvGraphicFramePr>
        <xdr:cNvPr id="1167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0.42612</cdr:x>
      <cdr:y>0.72567</cdr:y>
    </cdr:from>
    <cdr:to>
      <cdr:x>0.42612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0.72567</cdr:y>
    </cdr:from>
    <cdr:to>
      <cdr:x>0.4581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0.1069</cdr:x>
      <cdr:y>0.041</cdr:y>
    </cdr:from>
    <cdr:to>
      <cdr:x>0.19366</cdr:x>
      <cdr:y>0.15148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53</xdr:row>
      <xdr:rowOff>152400</xdr:rowOff>
    </xdr:to>
    <xdr:graphicFrame macro="">
      <xdr:nvGraphicFramePr>
        <xdr:cNvPr id="1188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0.42612</cdr:x>
      <cdr:y>0.72567</cdr:y>
    </cdr:from>
    <cdr:to>
      <cdr:x>0.42612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0.72567</cdr:y>
    </cdr:from>
    <cdr:to>
      <cdr:x>0.4581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0.1069</cdr:x>
      <cdr:y>0.041</cdr:y>
    </cdr:from>
    <cdr:to>
      <cdr:x>0.19366</cdr:x>
      <cdr:y>0.15148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53</xdr:row>
      <xdr:rowOff>152400</xdr:rowOff>
    </xdr:to>
    <xdr:graphicFrame macro="">
      <xdr:nvGraphicFramePr>
        <xdr:cNvPr id="1351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0.42636</cdr:x>
      <cdr:y>0.72567</cdr:y>
    </cdr:from>
    <cdr:to>
      <cdr:x>0.42636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0.72567</cdr:y>
    </cdr:from>
    <cdr:to>
      <cdr:x>0.4576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0.10715</cdr:x>
      <cdr:y>0.04002</cdr:y>
    </cdr:from>
    <cdr:to>
      <cdr:x>0.19366</cdr:x>
      <cdr:y>0.15074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53</xdr:row>
      <xdr:rowOff>152400</xdr:rowOff>
    </xdr:to>
    <xdr:graphicFrame macro="">
      <xdr:nvGraphicFramePr>
        <xdr:cNvPr id="3287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0.42636</cdr:x>
      <cdr:y>0.72567</cdr:y>
    </cdr:from>
    <cdr:to>
      <cdr:x>0.42636</cdr:x>
      <cdr:y>0.72567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0.72567</cdr:y>
    </cdr:from>
    <cdr:to>
      <cdr:x>0.4576</cdr:x>
      <cdr:y>0.72567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0.10715</cdr:x>
      <cdr:y>0.04002</cdr:y>
    </cdr:from>
    <cdr:to>
      <cdr:x>0.19366</cdr:x>
      <cdr:y>0.15074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46</xdr:row>
      <xdr:rowOff>152400</xdr:rowOff>
    </xdr:to>
    <xdr:graphicFrame macro="">
      <xdr:nvGraphicFramePr>
        <xdr:cNvPr id="4116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0.72543</cdr:y>
    </cdr:from>
    <cdr:to>
      <cdr:x>0.42661</cdr:x>
      <cdr:y>0.72543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0.45834</cdr:x>
      <cdr:y>0.72543</cdr:y>
    </cdr:from>
    <cdr:to>
      <cdr:x>0.45834</cdr:x>
      <cdr:y>0.72543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0.10789</cdr:x>
      <cdr:y>0.04051</cdr:y>
    </cdr:from>
    <cdr:to>
      <cdr:x>0.1944</cdr:x>
      <cdr:y>0.15123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46</xdr:row>
      <xdr:rowOff>152400</xdr:rowOff>
    </xdr:to>
    <xdr:graphicFrame macro="">
      <xdr:nvGraphicFramePr>
        <xdr:cNvPr id="482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0.72543</cdr:y>
    </cdr:from>
    <cdr:to>
      <cdr:x>0.42661</cdr:x>
      <cdr:y>0.72543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0.45834</cdr:x>
      <cdr:y>0.72543</cdr:y>
    </cdr:from>
    <cdr:to>
      <cdr:x>0.45834</cdr:x>
      <cdr:y>0.72543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0.10789</cdr:x>
      <cdr:y>0.04051</cdr:y>
    </cdr:from>
    <cdr:to>
      <cdr:x>0.1944</cdr:x>
      <cdr:y>0.15123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48</xdr:row>
      <xdr:rowOff>152400</xdr:rowOff>
    </xdr:to>
    <xdr:graphicFrame macro="">
      <xdr:nvGraphicFramePr>
        <xdr:cNvPr id="5017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0.72543</cdr:y>
    </cdr:from>
    <cdr:to>
      <cdr:x>0.42661</cdr:x>
      <cdr:y>0.72543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0.45834</cdr:x>
      <cdr:y>0.72543</cdr:y>
    </cdr:from>
    <cdr:to>
      <cdr:x>0.45834</cdr:x>
      <cdr:y>0.72543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0.10789</cdr:x>
      <cdr:y>0.04051</cdr:y>
    </cdr:from>
    <cdr:to>
      <cdr:x>0.1944</cdr:x>
      <cdr:y>0.15123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830800" y="79819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76680" y="14825980"/>
          <a:ext cx="635000" cy="23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308883</xdr:rowOff>
    </xdr:from>
    <xdr:to>
      <xdr:col>21</xdr:col>
      <xdr:colOff>619125</xdr:colOff>
      <xdr:row>58</xdr:row>
      <xdr:rowOff>170090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0.09697</cdr:x>
      <cdr:y>0.04275</cdr:y>
    </cdr:from>
    <cdr:to>
      <cdr:x>0.20795</cdr:x>
      <cdr:y>0.13876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316220" y="521092"/>
          <a:ext cx="1506365" cy="1170276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47"/>
  <sheetViews>
    <sheetView zoomScale="75" workbookViewId="0">
      <selection activeCell="C20" sqref="C2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270</v>
      </c>
      <c r="C3" s="39" t="s">
        <v>17</v>
      </c>
      <c r="D3" s="179"/>
    </row>
    <row r="4" spans="1:20" s="53" customFormat="1" x14ac:dyDescent="0.2">
      <c r="A4" s="54">
        <v>0</v>
      </c>
      <c r="B4" s="55">
        <v>268.26</v>
      </c>
      <c r="C4" s="42" t="s">
        <v>4</v>
      </c>
      <c r="D4" s="179"/>
    </row>
    <row r="5" spans="1:20" x14ac:dyDescent="0.2">
      <c r="A5" s="16">
        <v>5.0999999999999996</v>
      </c>
      <c r="B5" s="46">
        <v>265.62</v>
      </c>
      <c r="C5" s="50" t="s">
        <v>9</v>
      </c>
      <c r="D5" s="179"/>
    </row>
    <row r="6" spans="1:20" x14ac:dyDescent="0.2">
      <c r="A6" s="43">
        <v>5.0999999999999996</v>
      </c>
      <c r="B6" s="44">
        <v>263.43</v>
      </c>
      <c r="C6" s="42"/>
      <c r="D6" s="179"/>
    </row>
    <row r="7" spans="1:20" x14ac:dyDescent="0.2">
      <c r="A7" s="43">
        <v>6</v>
      </c>
      <c r="B7" s="44">
        <v>263.32</v>
      </c>
      <c r="C7" s="42"/>
      <c r="D7" s="179"/>
    </row>
    <row r="8" spans="1:20" x14ac:dyDescent="0.2">
      <c r="A8" s="43">
        <v>8</v>
      </c>
      <c r="B8" s="44">
        <v>263.52</v>
      </c>
      <c r="C8" s="45"/>
      <c r="D8" s="179"/>
    </row>
    <row r="9" spans="1:20" x14ac:dyDescent="0.2">
      <c r="A9" s="43">
        <v>10</v>
      </c>
      <c r="B9" s="44">
        <v>263.13</v>
      </c>
      <c r="C9" s="42"/>
      <c r="D9" s="179"/>
    </row>
    <row r="10" spans="1:20" x14ac:dyDescent="0.2">
      <c r="A10" s="43">
        <v>12</v>
      </c>
      <c r="B10" s="44">
        <v>262.92</v>
      </c>
      <c r="C10" s="50"/>
      <c r="D10" s="179"/>
    </row>
    <row r="11" spans="1:20" x14ac:dyDescent="0.2">
      <c r="A11" s="43">
        <v>14</v>
      </c>
      <c r="B11" s="44">
        <v>263.14999999999998</v>
      </c>
      <c r="C11" s="45"/>
      <c r="D11" s="179"/>
    </row>
    <row r="12" spans="1:20" x14ac:dyDescent="0.2">
      <c r="A12" s="43">
        <v>16</v>
      </c>
      <c r="B12" s="44">
        <v>263.07</v>
      </c>
      <c r="C12" s="42"/>
      <c r="D12" s="179"/>
    </row>
    <row r="13" spans="1:20" x14ac:dyDescent="0.2">
      <c r="A13" s="43">
        <v>18</v>
      </c>
      <c r="B13" s="44">
        <v>262.93</v>
      </c>
      <c r="C13" s="42"/>
      <c r="D13" s="179"/>
    </row>
    <row r="14" spans="1:20" x14ac:dyDescent="0.2">
      <c r="A14" s="43">
        <v>20</v>
      </c>
      <c r="B14" s="44">
        <v>263.52</v>
      </c>
      <c r="C14" s="42"/>
      <c r="D14" s="179"/>
    </row>
    <row r="15" spans="1:20" x14ac:dyDescent="0.2">
      <c r="A15" s="43">
        <v>22</v>
      </c>
      <c r="B15" s="44">
        <v>263.82</v>
      </c>
      <c r="C15" s="42"/>
      <c r="D15" s="179"/>
    </row>
    <row r="16" spans="1:20" x14ac:dyDescent="0.2">
      <c r="A16" s="43">
        <v>24</v>
      </c>
      <c r="B16" s="44">
        <v>263.82</v>
      </c>
      <c r="C16" s="42"/>
      <c r="D16" s="179"/>
    </row>
    <row r="17" spans="1:4" x14ac:dyDescent="0.2">
      <c r="A17" s="43">
        <v>26</v>
      </c>
      <c r="B17" s="44">
        <v>263.92</v>
      </c>
      <c r="C17" s="42"/>
      <c r="D17" s="179"/>
    </row>
    <row r="18" spans="1:4" x14ac:dyDescent="0.2">
      <c r="A18" s="43">
        <v>28</v>
      </c>
      <c r="B18" s="44">
        <v>264.22000000000003</v>
      </c>
      <c r="C18" s="42"/>
      <c r="D18" s="179"/>
    </row>
    <row r="19" spans="1:4" x14ac:dyDescent="0.2">
      <c r="A19" s="43">
        <v>30</v>
      </c>
      <c r="B19" s="44">
        <v>264.12</v>
      </c>
      <c r="C19" s="42"/>
      <c r="D19" s="179"/>
    </row>
    <row r="20" spans="1:4" x14ac:dyDescent="0.2">
      <c r="A20" s="43">
        <v>32</v>
      </c>
      <c r="B20" s="44">
        <v>264.42</v>
      </c>
      <c r="C20" s="42"/>
      <c r="D20" s="179"/>
    </row>
    <row r="21" spans="1:4" x14ac:dyDescent="0.2">
      <c r="A21" s="43">
        <v>34</v>
      </c>
      <c r="B21" s="44">
        <v>264.92</v>
      </c>
      <c r="C21" s="42"/>
      <c r="D21" s="179"/>
    </row>
    <row r="22" spans="1:4" x14ac:dyDescent="0.2">
      <c r="A22" s="43">
        <v>34.5</v>
      </c>
      <c r="B22" s="44">
        <v>265.23</v>
      </c>
      <c r="C22" s="42"/>
      <c r="D22" s="179"/>
    </row>
    <row r="23" spans="1:4" x14ac:dyDescent="0.2">
      <c r="A23" s="16">
        <v>34.5</v>
      </c>
      <c r="B23" s="46">
        <v>265.62</v>
      </c>
      <c r="C23" s="50" t="s">
        <v>10</v>
      </c>
      <c r="D23" s="179"/>
    </row>
    <row r="24" spans="1:4" x14ac:dyDescent="0.2">
      <c r="A24" s="43">
        <v>34.5</v>
      </c>
      <c r="B24" s="44">
        <v>266.60000000000002</v>
      </c>
      <c r="C24" s="45"/>
      <c r="D24" s="179"/>
    </row>
    <row r="25" spans="1:4" x14ac:dyDescent="0.2">
      <c r="A25" s="43">
        <v>35.299999999999997</v>
      </c>
      <c r="B25" s="44">
        <v>266.62</v>
      </c>
      <c r="C25" s="42"/>
      <c r="D25" s="179"/>
    </row>
    <row r="26" spans="1:4" s="53" customFormat="1" x14ac:dyDescent="0.2">
      <c r="A26" s="16">
        <v>35.57</v>
      </c>
      <c r="B26" s="46">
        <v>266.62</v>
      </c>
      <c r="C26" s="42" t="s">
        <v>5</v>
      </c>
      <c r="D26" s="179"/>
    </row>
    <row r="27" spans="1:4" x14ac:dyDescent="0.2">
      <c r="A27" s="43"/>
      <c r="B27" s="44"/>
      <c r="C27" s="42"/>
      <c r="D27" s="179"/>
    </row>
    <row r="28" spans="1:4" x14ac:dyDescent="0.2">
      <c r="A28" s="43"/>
      <c r="B28" s="44"/>
      <c r="C28" s="42"/>
      <c r="D28" s="179"/>
    </row>
    <row r="29" spans="1:4" x14ac:dyDescent="0.2">
      <c r="A29" s="43"/>
      <c r="B29" s="44"/>
      <c r="C29" s="47"/>
      <c r="D29" s="179"/>
    </row>
    <row r="30" spans="1:4" ht="13.5" thickBot="1" x14ac:dyDescent="0.25">
      <c r="A30" s="6"/>
      <c r="B30" s="13"/>
      <c r="C30" s="26"/>
      <c r="D30" s="179"/>
    </row>
    <row r="31" spans="1:4" x14ac:dyDescent="0.2">
      <c r="A31" s="16">
        <v>5.0999999999999996</v>
      </c>
      <c r="B31" s="46">
        <v>265.62</v>
      </c>
      <c r="C31" s="50" t="s">
        <v>9</v>
      </c>
      <c r="D31" s="180" t="s">
        <v>6</v>
      </c>
    </row>
    <row r="32" spans="1:4" ht="13.5" thickBot="1" x14ac:dyDescent="0.25">
      <c r="A32" s="16">
        <v>34.5</v>
      </c>
      <c r="B32" s="46">
        <v>265.62</v>
      </c>
      <c r="C32" s="50" t="s">
        <v>10</v>
      </c>
      <c r="D32" s="180"/>
    </row>
    <row r="33" spans="1:5" ht="20.100000000000001" customHeight="1" thickBot="1" x14ac:dyDescent="0.25">
      <c r="A33" s="34">
        <v>34.299999999999997</v>
      </c>
      <c r="B33" s="35">
        <v>264.74700000000001</v>
      </c>
      <c r="C33" s="21" t="s">
        <v>8</v>
      </c>
      <c r="D33" s="180"/>
    </row>
    <row r="34" spans="1:5" ht="20.100000000000001" customHeight="1" thickBot="1" x14ac:dyDescent="0.25">
      <c r="A34" s="20">
        <v>34.299999999999997</v>
      </c>
      <c r="B34" s="36">
        <v>265.74700000000001</v>
      </c>
      <c r="C34" s="22" t="s">
        <v>8</v>
      </c>
      <c r="D34" s="180"/>
    </row>
    <row r="35" spans="1:5" ht="20.100000000000001" customHeight="1" x14ac:dyDescent="0.2">
      <c r="A35" s="15">
        <v>1</v>
      </c>
      <c r="B35" s="19">
        <v>267.78800000000001</v>
      </c>
      <c r="C35" s="23" t="s">
        <v>2</v>
      </c>
      <c r="D35" s="180"/>
    </row>
    <row r="36" spans="1:5" ht="20.100000000000001" customHeight="1" thickBot="1" x14ac:dyDescent="0.25">
      <c r="A36" s="28">
        <v>1</v>
      </c>
      <c r="B36" s="33">
        <v>269.30799999999999</v>
      </c>
      <c r="C36" s="8" t="s">
        <v>2</v>
      </c>
      <c r="D36" s="180"/>
    </row>
    <row r="37" spans="1:5" ht="13.5" thickBot="1" x14ac:dyDescent="0.25">
      <c r="A37" s="15">
        <v>0</v>
      </c>
      <c r="B37" s="27">
        <v>268.26</v>
      </c>
      <c r="C37" s="9" t="s">
        <v>7</v>
      </c>
      <c r="D37" s="1"/>
    </row>
    <row r="38" spans="1:5" ht="13.5" thickBot="1" x14ac:dyDescent="0.25">
      <c r="A38" s="28">
        <v>35.57</v>
      </c>
      <c r="B38" s="29">
        <v>268.62</v>
      </c>
      <c r="C38" s="9" t="s">
        <v>7</v>
      </c>
      <c r="D38" s="1"/>
    </row>
    <row r="39" spans="1:5" ht="16.5" thickBot="1" x14ac:dyDescent="0.3">
      <c r="A39" s="24" t="s">
        <v>12</v>
      </c>
      <c r="B39" s="4"/>
      <c r="C39" s="30">
        <v>0.45</v>
      </c>
      <c r="D39" s="1"/>
    </row>
    <row r="40" spans="1:5" ht="16.5" thickBot="1" x14ac:dyDescent="0.3">
      <c r="A40" s="10" t="s">
        <v>11</v>
      </c>
      <c r="B40" s="4"/>
      <c r="C40" s="18">
        <v>264.74700000000001</v>
      </c>
      <c r="D40" s="1"/>
    </row>
    <row r="41" spans="1:5" ht="20.25" customHeight="1" thickBot="1" x14ac:dyDescent="0.3">
      <c r="A41" s="10" t="s">
        <v>14</v>
      </c>
      <c r="C41" s="31">
        <v>270</v>
      </c>
      <c r="D41" s="1"/>
    </row>
    <row r="42" spans="1:5" ht="15.75" thickBot="1" x14ac:dyDescent="0.3">
      <c r="A42" s="24" t="s">
        <v>13</v>
      </c>
      <c r="C42" s="32"/>
      <c r="D42" s="1"/>
    </row>
    <row r="43" spans="1:5" x14ac:dyDescent="0.2">
      <c r="A43" s="3"/>
      <c r="B43" s="4"/>
      <c r="C43" s="5"/>
      <c r="D43" s="1"/>
    </row>
    <row r="44" spans="1:5" x14ac:dyDescent="0.2">
      <c r="A44" s="3"/>
      <c r="B44" s="4"/>
      <c r="C44" s="5"/>
      <c r="D44" s="1"/>
    </row>
    <row r="45" spans="1:5" x14ac:dyDescent="0.2">
      <c r="A45" s="3"/>
      <c r="B45" s="4"/>
      <c r="C45" s="5"/>
      <c r="D45" s="1"/>
    </row>
    <row r="46" spans="1:5" x14ac:dyDescent="0.2">
      <c r="A46" s="3"/>
      <c r="B46" s="4"/>
      <c r="C46" s="5"/>
      <c r="D46" s="1"/>
    </row>
    <row r="47" spans="1:5" ht="18" x14ac:dyDescent="0.25">
      <c r="C47" s="51"/>
      <c r="D47" s="52"/>
      <c r="E47" s="52"/>
    </row>
  </sheetData>
  <mergeCells count="3">
    <mergeCell ref="A1:Q1"/>
    <mergeCell ref="D2:D30"/>
    <mergeCell ref="D31:D36"/>
  </mergeCells>
  <phoneticPr fontId="18" type="noConversion"/>
  <pageMargins left="0.75" right="0.75" top="1" bottom="1" header="0" footer="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64"/>
  <sheetViews>
    <sheetView showGridLines="0" topLeftCell="A2" zoomScale="75" workbookViewId="0">
      <selection activeCell="C42" sqref="C4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269.34199999999998</v>
      </c>
      <c r="C3" s="39" t="s">
        <v>17</v>
      </c>
      <c r="D3" s="179"/>
    </row>
    <row r="4" spans="1:20" x14ac:dyDescent="0.2">
      <c r="A4" s="40">
        <v>0</v>
      </c>
      <c r="B4" s="41">
        <v>269.27</v>
      </c>
      <c r="C4" s="42" t="s">
        <v>4</v>
      </c>
      <c r="D4" s="179"/>
    </row>
    <row r="5" spans="1:20" x14ac:dyDescent="0.2">
      <c r="A5" s="43">
        <v>3.5</v>
      </c>
      <c r="B5" s="44">
        <v>269.23</v>
      </c>
      <c r="C5" s="50"/>
      <c r="D5" s="179"/>
    </row>
    <row r="6" spans="1:20" x14ac:dyDescent="0.2">
      <c r="A6" s="43">
        <v>3.5</v>
      </c>
      <c r="B6" s="44">
        <v>268.3</v>
      </c>
      <c r="C6" s="42"/>
      <c r="D6" s="179"/>
    </row>
    <row r="7" spans="1:20" x14ac:dyDescent="0.2">
      <c r="A7" s="43">
        <v>5</v>
      </c>
      <c r="B7" s="44">
        <v>267.67</v>
      </c>
      <c r="C7" s="42"/>
      <c r="D7" s="179"/>
    </row>
    <row r="8" spans="1:20" x14ac:dyDescent="0.2">
      <c r="A8" s="16">
        <v>5</v>
      </c>
      <c r="B8" s="46">
        <v>264.85000000000002</v>
      </c>
      <c r="C8" s="45" t="s">
        <v>9</v>
      </c>
      <c r="D8" s="179"/>
    </row>
    <row r="9" spans="1:20" x14ac:dyDescent="0.2">
      <c r="A9" s="43">
        <v>5</v>
      </c>
      <c r="B9" s="44">
        <v>262.52999999999997</v>
      </c>
      <c r="C9" s="42"/>
      <c r="D9" s="179"/>
    </row>
    <row r="10" spans="1:20" x14ac:dyDescent="0.2">
      <c r="A10" s="43">
        <v>6</v>
      </c>
      <c r="B10" s="44">
        <v>262.52999999999997</v>
      </c>
      <c r="C10" s="50"/>
      <c r="D10" s="179"/>
    </row>
    <row r="11" spans="1:20" x14ac:dyDescent="0.2">
      <c r="A11" s="43">
        <v>7.5</v>
      </c>
      <c r="B11" s="44">
        <v>262.35000000000002</v>
      </c>
      <c r="C11" s="45"/>
      <c r="D11" s="179"/>
    </row>
    <row r="12" spans="1:20" x14ac:dyDescent="0.2">
      <c r="A12" s="43">
        <v>9</v>
      </c>
      <c r="B12" s="44">
        <v>262.44</v>
      </c>
      <c r="C12" s="42"/>
      <c r="D12" s="179"/>
    </row>
    <row r="13" spans="1:20" x14ac:dyDescent="0.2">
      <c r="A13" s="43">
        <v>10.5</v>
      </c>
      <c r="B13" s="44">
        <v>262.44</v>
      </c>
      <c r="C13" s="42"/>
      <c r="D13" s="179"/>
    </row>
    <row r="14" spans="1:20" x14ac:dyDescent="0.2">
      <c r="A14" s="43">
        <v>12</v>
      </c>
      <c r="B14" s="44">
        <v>262.45</v>
      </c>
      <c r="C14" s="42"/>
      <c r="D14" s="179"/>
    </row>
    <row r="15" spans="1:20" x14ac:dyDescent="0.2">
      <c r="A15" s="43">
        <v>13.5</v>
      </c>
      <c r="B15" s="44">
        <v>262.36</v>
      </c>
      <c r="C15" s="42"/>
      <c r="D15" s="179"/>
    </row>
    <row r="16" spans="1:20" x14ac:dyDescent="0.2">
      <c r="A16" s="43">
        <v>15</v>
      </c>
      <c r="B16" s="44">
        <v>262.45999999999998</v>
      </c>
      <c r="C16" s="42"/>
      <c r="D16" s="179"/>
    </row>
    <row r="17" spans="1:4" x14ac:dyDescent="0.2">
      <c r="A17" s="43">
        <v>16.5</v>
      </c>
      <c r="B17" s="44">
        <v>262.58</v>
      </c>
      <c r="C17" s="42"/>
      <c r="D17" s="179"/>
    </row>
    <row r="18" spans="1:4" x14ac:dyDescent="0.2">
      <c r="A18" s="43">
        <v>18</v>
      </c>
      <c r="B18" s="44">
        <v>262.7</v>
      </c>
      <c r="C18" s="42"/>
      <c r="D18" s="179"/>
    </row>
    <row r="19" spans="1:4" x14ac:dyDescent="0.2">
      <c r="A19" s="43">
        <v>19.5</v>
      </c>
      <c r="B19" s="44">
        <v>262.68</v>
      </c>
      <c r="C19" s="42"/>
      <c r="D19" s="179"/>
    </row>
    <row r="20" spans="1:4" x14ac:dyDescent="0.2">
      <c r="A20" s="43">
        <v>21</v>
      </c>
      <c r="B20" s="44">
        <v>262.73</v>
      </c>
      <c r="C20" s="42"/>
      <c r="D20" s="179"/>
    </row>
    <row r="21" spans="1:4" x14ac:dyDescent="0.2">
      <c r="A21" s="43">
        <v>22.5</v>
      </c>
      <c r="B21" s="44">
        <v>262.97000000000003</v>
      </c>
      <c r="C21" s="42"/>
      <c r="D21" s="179"/>
    </row>
    <row r="22" spans="1:4" x14ac:dyDescent="0.2">
      <c r="A22" s="43">
        <v>24</v>
      </c>
      <c r="B22" s="44">
        <v>262.93</v>
      </c>
      <c r="C22" s="42"/>
      <c r="D22" s="179"/>
    </row>
    <row r="23" spans="1:4" x14ac:dyDescent="0.2">
      <c r="A23" s="43">
        <v>25.5</v>
      </c>
      <c r="B23" s="44">
        <v>263.14999999999998</v>
      </c>
      <c r="C23" s="50"/>
      <c r="D23" s="179"/>
    </row>
    <row r="24" spans="1:4" x14ac:dyDescent="0.2">
      <c r="A24" s="43">
        <v>27</v>
      </c>
      <c r="B24" s="44">
        <v>263.37</v>
      </c>
      <c r="C24" s="45"/>
      <c r="D24" s="179"/>
    </row>
    <row r="25" spans="1:4" x14ac:dyDescent="0.2">
      <c r="A25" s="43">
        <v>28.5</v>
      </c>
      <c r="B25" s="44">
        <v>263.63</v>
      </c>
      <c r="C25" s="42"/>
      <c r="D25" s="179"/>
    </row>
    <row r="26" spans="1:4" s="7" customFormat="1" x14ac:dyDescent="0.2">
      <c r="A26" s="43">
        <v>30</v>
      </c>
      <c r="B26" s="44">
        <v>263.82</v>
      </c>
      <c r="C26" s="42"/>
      <c r="D26" s="179"/>
    </row>
    <row r="27" spans="1:4" x14ac:dyDescent="0.2">
      <c r="A27" s="43">
        <v>31.5</v>
      </c>
      <c r="B27" s="44">
        <v>263.77999999999997</v>
      </c>
      <c r="C27" s="42"/>
      <c r="D27" s="179"/>
    </row>
    <row r="28" spans="1:4" x14ac:dyDescent="0.2">
      <c r="A28" s="43">
        <v>33</v>
      </c>
      <c r="B28" s="44">
        <v>264.06</v>
      </c>
      <c r="C28" s="42"/>
      <c r="D28" s="179"/>
    </row>
    <row r="29" spans="1:4" x14ac:dyDescent="0.2">
      <c r="A29" s="43">
        <v>34.299999999999997</v>
      </c>
      <c r="B29" s="44">
        <v>264.23</v>
      </c>
      <c r="C29" s="42"/>
      <c r="D29" s="179"/>
    </row>
    <row r="30" spans="1:4" x14ac:dyDescent="0.2">
      <c r="A30" s="16">
        <v>34.299999999999997</v>
      </c>
      <c r="B30" s="46">
        <v>264.85000000000002</v>
      </c>
      <c r="C30" s="42" t="s">
        <v>10</v>
      </c>
      <c r="D30" s="179"/>
    </row>
    <row r="31" spans="1:4" x14ac:dyDescent="0.2">
      <c r="A31" s="43">
        <v>34.299999999999997</v>
      </c>
      <c r="B31" s="44">
        <v>265.69</v>
      </c>
      <c r="C31" s="50"/>
      <c r="D31" s="179"/>
    </row>
    <row r="32" spans="1:4" x14ac:dyDescent="0.2">
      <c r="A32" s="43">
        <v>35.6</v>
      </c>
      <c r="B32" s="44">
        <v>265.73</v>
      </c>
      <c r="C32" s="42" t="s">
        <v>5</v>
      </c>
      <c r="D32" s="179"/>
    </row>
    <row r="33" spans="1:4" x14ac:dyDescent="0.2">
      <c r="A33" s="43">
        <v>35.6</v>
      </c>
      <c r="B33" s="44">
        <v>269.27</v>
      </c>
      <c r="C33" s="42"/>
      <c r="D33" s="179"/>
    </row>
    <row r="34" spans="1:4" x14ac:dyDescent="0.2">
      <c r="A34" s="43"/>
      <c r="B34" s="44"/>
      <c r="C34" s="42"/>
      <c r="D34" s="179"/>
    </row>
    <row r="35" spans="1:4" x14ac:dyDescent="0.2">
      <c r="A35" s="43"/>
      <c r="B35" s="44"/>
      <c r="C35" s="42"/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16"/>
      <c r="B38" s="46"/>
      <c r="C38" s="50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2"/>
      <c r="D40" s="179"/>
    </row>
    <row r="41" spans="1:4" x14ac:dyDescent="0.2">
      <c r="A41" s="43"/>
      <c r="B41" s="44"/>
      <c r="C41" s="42"/>
      <c r="D41" s="179"/>
    </row>
    <row r="42" spans="1:4" x14ac:dyDescent="0.2">
      <c r="A42" s="43"/>
      <c r="B42" s="44"/>
      <c r="C42" s="42"/>
      <c r="D42" s="179"/>
    </row>
    <row r="43" spans="1:4" x14ac:dyDescent="0.2">
      <c r="A43" s="43"/>
      <c r="B43" s="44"/>
      <c r="C43" s="42"/>
      <c r="D43" s="179"/>
    </row>
    <row r="44" spans="1:4" x14ac:dyDescent="0.2">
      <c r="A44" s="43"/>
      <c r="B44" s="44"/>
      <c r="C44" s="42"/>
      <c r="D44" s="179"/>
    </row>
    <row r="45" spans="1:4" x14ac:dyDescent="0.2">
      <c r="A45" s="43"/>
      <c r="B45" s="44"/>
      <c r="C45" s="42"/>
      <c r="D45" s="179"/>
    </row>
    <row r="46" spans="1:4" x14ac:dyDescent="0.2">
      <c r="A46" s="43"/>
      <c r="B46" s="44"/>
      <c r="C46" s="47"/>
      <c r="D46" s="179"/>
    </row>
    <row r="47" spans="1:4" ht="13.5" thickBot="1" x14ac:dyDescent="0.25">
      <c r="A47" s="6"/>
      <c r="B47" s="13"/>
      <c r="C47" s="26"/>
      <c r="D47" s="179"/>
    </row>
    <row r="48" spans="1:4" ht="20.100000000000001" customHeight="1" x14ac:dyDescent="0.2">
      <c r="A48" s="15">
        <v>5</v>
      </c>
      <c r="B48" s="19">
        <v>264.85000000000002</v>
      </c>
      <c r="C48" s="14" t="s">
        <v>9</v>
      </c>
      <c r="D48" s="180" t="s">
        <v>6</v>
      </c>
    </row>
    <row r="49" spans="1:5" ht="20.100000000000001" customHeight="1" thickBot="1" x14ac:dyDescent="0.25">
      <c r="A49" s="28">
        <v>34.299999999999997</v>
      </c>
      <c r="B49" s="33">
        <v>264.85000000000002</v>
      </c>
      <c r="C49" s="17" t="s">
        <v>10</v>
      </c>
      <c r="D49" s="180"/>
    </row>
    <row r="50" spans="1:5" ht="20.100000000000001" customHeight="1" thickBot="1" x14ac:dyDescent="0.25">
      <c r="A50" s="34">
        <v>34</v>
      </c>
      <c r="B50" s="35">
        <v>264.77300000000002</v>
      </c>
      <c r="C50" s="21" t="s">
        <v>8</v>
      </c>
      <c r="D50" s="180"/>
    </row>
    <row r="51" spans="1:5" ht="20.100000000000001" customHeight="1" thickBot="1" x14ac:dyDescent="0.25">
      <c r="A51" s="20">
        <v>34</v>
      </c>
      <c r="B51" s="36">
        <v>265.77300000000002</v>
      </c>
      <c r="C51" s="22" t="s">
        <v>8</v>
      </c>
      <c r="D51" s="180"/>
    </row>
    <row r="52" spans="1:5" ht="20.100000000000001" customHeight="1" x14ac:dyDescent="0.2">
      <c r="A52" s="15">
        <v>5.3</v>
      </c>
      <c r="B52" s="19">
        <v>267.59199999999998</v>
      </c>
      <c r="C52" s="23" t="s">
        <v>2</v>
      </c>
      <c r="D52" s="180"/>
    </row>
    <row r="53" spans="1:5" ht="20.100000000000001" customHeight="1" thickBot="1" x14ac:dyDescent="0.25">
      <c r="A53" s="28">
        <v>5.3</v>
      </c>
      <c r="B53" s="33">
        <v>269.11200000000002</v>
      </c>
      <c r="C53" s="8" t="s">
        <v>2</v>
      </c>
      <c r="D53" s="180"/>
    </row>
    <row r="54" spans="1:5" ht="13.5" thickBot="1" x14ac:dyDescent="0.25">
      <c r="A54" s="15">
        <v>0</v>
      </c>
      <c r="B54" s="27">
        <v>269.27</v>
      </c>
      <c r="C54" s="9" t="s">
        <v>7</v>
      </c>
      <c r="D54" s="1"/>
    </row>
    <row r="55" spans="1:5" ht="13.5" thickBot="1" x14ac:dyDescent="0.25">
      <c r="A55" s="28">
        <v>35.6</v>
      </c>
      <c r="B55" s="29">
        <v>269.27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0.23</v>
      </c>
      <c r="D56" s="1"/>
    </row>
    <row r="57" spans="1:5" ht="16.5" thickBot="1" x14ac:dyDescent="0.3">
      <c r="A57" s="10" t="s">
        <v>11</v>
      </c>
      <c r="B57" s="4"/>
      <c r="C57" s="18">
        <f>B50</f>
        <v>264.77300000000002</v>
      </c>
      <c r="D57" s="1"/>
    </row>
    <row r="58" spans="1:5" ht="20.25" customHeight="1" thickBot="1" x14ac:dyDescent="0.3">
      <c r="A58" s="10" t="s">
        <v>14</v>
      </c>
      <c r="C58" s="31">
        <f>B3</f>
        <v>269.34199999999998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73"/>
  <sheetViews>
    <sheetView zoomScale="75" workbookViewId="0">
      <selection activeCell="B29" sqref="B2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279.16500000000002</v>
      </c>
      <c r="C4" s="42" t="s">
        <v>4</v>
      </c>
      <c r="D4" s="179"/>
    </row>
    <row r="5" spans="1:20" x14ac:dyDescent="0.2">
      <c r="A5" s="40">
        <v>0</v>
      </c>
      <c r="B5" s="41">
        <v>269.16500000000002</v>
      </c>
      <c r="C5" s="42"/>
      <c r="D5" s="179"/>
    </row>
    <row r="6" spans="1:20" x14ac:dyDescent="0.2">
      <c r="A6" s="40">
        <v>3.5</v>
      </c>
      <c r="B6" s="41">
        <v>269.16800000000001</v>
      </c>
      <c r="C6" s="42"/>
      <c r="D6" s="179"/>
    </row>
    <row r="7" spans="1:20" x14ac:dyDescent="0.2">
      <c r="A7" s="40">
        <v>3.5</v>
      </c>
      <c r="B7" s="41">
        <v>268.048</v>
      </c>
      <c r="C7" s="42"/>
      <c r="D7" s="179"/>
    </row>
    <row r="8" spans="1:20" x14ac:dyDescent="0.2">
      <c r="A8" s="40">
        <v>4.2</v>
      </c>
      <c r="B8" s="41">
        <v>267.94799999999998</v>
      </c>
      <c r="C8" s="42"/>
      <c r="D8" s="179"/>
    </row>
    <row r="9" spans="1:20" x14ac:dyDescent="0.2">
      <c r="A9" s="16">
        <v>5</v>
      </c>
      <c r="B9" s="46">
        <v>264.738</v>
      </c>
      <c r="C9" s="50" t="s">
        <v>9</v>
      </c>
      <c r="D9" s="179"/>
    </row>
    <row r="10" spans="1:20" x14ac:dyDescent="0.2">
      <c r="A10" s="43">
        <v>5</v>
      </c>
      <c r="B10" s="44">
        <v>263.428</v>
      </c>
      <c r="C10" s="42"/>
      <c r="D10" s="179"/>
    </row>
    <row r="11" spans="1:20" x14ac:dyDescent="0.2">
      <c r="A11" s="43">
        <v>6</v>
      </c>
      <c r="B11" s="44">
        <v>263.43799999999999</v>
      </c>
      <c r="C11" s="42"/>
      <c r="D11" s="179"/>
    </row>
    <row r="12" spans="1:20" x14ac:dyDescent="0.2">
      <c r="A12" s="43">
        <v>7</v>
      </c>
      <c r="B12" s="44">
        <v>263.28800000000001</v>
      </c>
      <c r="C12" s="45"/>
      <c r="D12" s="179"/>
    </row>
    <row r="13" spans="1:20" x14ac:dyDescent="0.2">
      <c r="A13" s="43">
        <v>8</v>
      </c>
      <c r="B13" s="44">
        <v>263.18799999999999</v>
      </c>
      <c r="C13" s="45"/>
      <c r="D13" s="179"/>
    </row>
    <row r="14" spans="1:20" x14ac:dyDescent="0.2">
      <c r="A14" s="43">
        <v>9</v>
      </c>
      <c r="B14" s="44">
        <v>263.12799999999999</v>
      </c>
      <c r="C14" s="42"/>
      <c r="D14" s="179"/>
    </row>
    <row r="15" spans="1:20" x14ac:dyDescent="0.2">
      <c r="A15" s="43">
        <v>10</v>
      </c>
      <c r="B15" s="44">
        <v>263.18799999999999</v>
      </c>
      <c r="C15" s="50"/>
      <c r="D15" s="179"/>
    </row>
    <row r="16" spans="1:20" x14ac:dyDescent="0.2">
      <c r="A16" s="43">
        <v>11</v>
      </c>
      <c r="B16" s="44">
        <v>263.03800000000001</v>
      </c>
      <c r="C16" s="45"/>
      <c r="D16" s="179"/>
    </row>
    <row r="17" spans="1:4" x14ac:dyDescent="0.2">
      <c r="A17" s="43">
        <v>12.5</v>
      </c>
      <c r="B17" s="44">
        <v>262.94799999999998</v>
      </c>
      <c r="C17" s="42"/>
      <c r="D17" s="179"/>
    </row>
    <row r="18" spans="1:4" x14ac:dyDescent="0.2">
      <c r="A18" s="43">
        <v>14</v>
      </c>
      <c r="B18" s="44">
        <v>263.12799999999999</v>
      </c>
      <c r="C18" s="42"/>
      <c r="D18" s="179"/>
    </row>
    <row r="19" spans="1:4" x14ac:dyDescent="0.2">
      <c r="A19" s="43">
        <v>15.5</v>
      </c>
      <c r="B19" s="44">
        <v>263.18799999999999</v>
      </c>
      <c r="C19" s="42"/>
      <c r="D19" s="179"/>
    </row>
    <row r="20" spans="1:4" x14ac:dyDescent="0.2">
      <c r="A20" s="43">
        <v>17</v>
      </c>
      <c r="B20" s="44">
        <v>263.03800000000001</v>
      </c>
      <c r="C20" s="42"/>
      <c r="D20" s="179"/>
    </row>
    <row r="21" spans="1:4" x14ac:dyDescent="0.2">
      <c r="A21" s="43">
        <v>18.5</v>
      </c>
      <c r="B21" s="44">
        <v>263.33</v>
      </c>
      <c r="C21" s="42"/>
      <c r="D21" s="179"/>
    </row>
    <row r="22" spans="1:4" x14ac:dyDescent="0.2">
      <c r="A22" s="43">
        <v>20</v>
      </c>
      <c r="B22" s="44">
        <v>263.33</v>
      </c>
      <c r="C22" s="42"/>
      <c r="D22" s="179"/>
    </row>
    <row r="23" spans="1:4" x14ac:dyDescent="0.2">
      <c r="A23" s="43">
        <v>21.5</v>
      </c>
      <c r="B23" s="44">
        <v>263.548</v>
      </c>
      <c r="C23" s="42"/>
      <c r="D23" s="179"/>
    </row>
    <row r="24" spans="1:4" x14ac:dyDescent="0.2">
      <c r="A24" s="43">
        <v>23</v>
      </c>
      <c r="B24" s="44">
        <v>263.33</v>
      </c>
      <c r="C24" s="42"/>
      <c r="D24" s="179"/>
    </row>
    <row r="25" spans="1:4" x14ac:dyDescent="0.2">
      <c r="A25" s="43">
        <v>24.5</v>
      </c>
      <c r="B25" s="44">
        <v>263.38799999999998</v>
      </c>
      <c r="C25" s="42"/>
      <c r="D25" s="179"/>
    </row>
    <row r="26" spans="1:4" x14ac:dyDescent="0.2">
      <c r="A26" s="43">
        <v>26</v>
      </c>
      <c r="B26" s="44">
        <v>263.38799999999998</v>
      </c>
      <c r="C26" s="42"/>
      <c r="D26" s="179"/>
    </row>
    <row r="27" spans="1:4" x14ac:dyDescent="0.2">
      <c r="A27" s="43">
        <v>27.5</v>
      </c>
      <c r="B27" s="44">
        <v>263.84800000000001</v>
      </c>
      <c r="C27" s="42"/>
      <c r="D27" s="179"/>
    </row>
    <row r="28" spans="1:4" x14ac:dyDescent="0.2">
      <c r="A28" s="43">
        <v>29</v>
      </c>
      <c r="B28" s="44">
        <v>263.63799999999998</v>
      </c>
      <c r="C28" s="42"/>
      <c r="D28" s="179"/>
    </row>
    <row r="29" spans="1:4" x14ac:dyDescent="0.2">
      <c r="A29" s="43">
        <v>30.5</v>
      </c>
      <c r="B29" s="44">
        <v>263.78800000000001</v>
      </c>
      <c r="C29" s="42"/>
      <c r="D29" s="179"/>
    </row>
    <row r="30" spans="1:4" x14ac:dyDescent="0.2">
      <c r="A30" s="43">
        <v>32</v>
      </c>
      <c r="B30" s="44">
        <v>264.49799999999999</v>
      </c>
      <c r="C30" s="42"/>
      <c r="D30" s="179"/>
    </row>
    <row r="31" spans="1:4" x14ac:dyDescent="0.2">
      <c r="A31" s="43">
        <v>32.4</v>
      </c>
      <c r="B31" s="44">
        <v>264.72800000000001</v>
      </c>
      <c r="C31" s="42"/>
      <c r="D31" s="179"/>
    </row>
    <row r="32" spans="1:4" x14ac:dyDescent="0.2">
      <c r="A32" s="16">
        <v>32</v>
      </c>
      <c r="B32" s="46">
        <v>264.74299999999999</v>
      </c>
      <c r="C32" s="50" t="s">
        <v>10</v>
      </c>
      <c r="D32" s="179"/>
    </row>
    <row r="33" spans="1:4" x14ac:dyDescent="0.2">
      <c r="A33" s="43">
        <v>32</v>
      </c>
      <c r="B33" s="44">
        <v>265.63299999999998</v>
      </c>
      <c r="C33" s="45"/>
      <c r="D33" s="179"/>
    </row>
    <row r="34" spans="1:4" x14ac:dyDescent="0.2">
      <c r="A34" s="43">
        <v>33.15</v>
      </c>
      <c r="B34" s="44">
        <v>265.64499999999998</v>
      </c>
      <c r="C34" s="42"/>
      <c r="D34" s="179"/>
    </row>
    <row r="35" spans="1:4" s="7" customFormat="1" x14ac:dyDescent="0.2">
      <c r="A35" s="43">
        <v>33.15</v>
      </c>
      <c r="B35" s="44">
        <v>269.99900000000002</v>
      </c>
      <c r="C35" s="42" t="s">
        <v>5</v>
      </c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50"/>
      <c r="D40" s="179"/>
    </row>
    <row r="41" spans="1:4" x14ac:dyDescent="0.2">
      <c r="A41" s="43"/>
      <c r="B41" s="44"/>
      <c r="C41" s="42"/>
      <c r="D41" s="179"/>
    </row>
    <row r="42" spans="1:4" x14ac:dyDescent="0.2">
      <c r="A42" s="43"/>
      <c r="B42" s="44"/>
      <c r="C42" s="42"/>
      <c r="D42" s="179"/>
    </row>
    <row r="43" spans="1:4" x14ac:dyDescent="0.2">
      <c r="A43" s="43"/>
      <c r="B43" s="44"/>
      <c r="C43" s="42"/>
      <c r="D43" s="179"/>
    </row>
    <row r="44" spans="1:4" x14ac:dyDescent="0.2">
      <c r="A44" s="43"/>
      <c r="B44" s="44"/>
      <c r="C44" s="42"/>
      <c r="D44" s="179"/>
    </row>
    <row r="45" spans="1:4" x14ac:dyDescent="0.2">
      <c r="A45" s="43"/>
      <c r="B45" s="44"/>
      <c r="C45" s="42"/>
      <c r="D45" s="179"/>
    </row>
    <row r="46" spans="1:4" x14ac:dyDescent="0.2">
      <c r="A46" s="43"/>
      <c r="B46" s="44"/>
      <c r="C46" s="42"/>
      <c r="D46" s="179"/>
    </row>
    <row r="47" spans="1:4" x14ac:dyDescent="0.2">
      <c r="A47" s="16"/>
      <c r="B47" s="46"/>
      <c r="C47" s="50"/>
      <c r="D47" s="179"/>
    </row>
    <row r="48" spans="1:4" x14ac:dyDescent="0.2">
      <c r="A48" s="43"/>
      <c r="B48" s="44"/>
      <c r="C48" s="42"/>
      <c r="D48" s="179"/>
    </row>
    <row r="49" spans="1:4" x14ac:dyDescent="0.2">
      <c r="A49" s="43"/>
      <c r="B49" s="44"/>
      <c r="C49" s="42"/>
      <c r="D49" s="179"/>
    </row>
    <row r="50" spans="1:4" x14ac:dyDescent="0.2">
      <c r="A50" s="43"/>
      <c r="B50" s="44"/>
      <c r="C50" s="42"/>
      <c r="D50" s="179"/>
    </row>
    <row r="51" spans="1:4" x14ac:dyDescent="0.2">
      <c r="A51" s="43"/>
      <c r="B51" s="44"/>
      <c r="C51" s="42"/>
      <c r="D51" s="179"/>
    </row>
    <row r="52" spans="1:4" x14ac:dyDescent="0.2">
      <c r="A52" s="43"/>
      <c r="B52" s="44"/>
      <c r="C52" s="42"/>
      <c r="D52" s="179"/>
    </row>
    <row r="53" spans="1:4" x14ac:dyDescent="0.2">
      <c r="A53" s="43"/>
      <c r="B53" s="44"/>
      <c r="C53" s="42"/>
      <c r="D53" s="179"/>
    </row>
    <row r="54" spans="1:4" x14ac:dyDescent="0.2">
      <c r="A54" s="43"/>
      <c r="B54" s="44"/>
      <c r="C54" s="42"/>
      <c r="D54" s="179"/>
    </row>
    <row r="55" spans="1:4" x14ac:dyDescent="0.2">
      <c r="A55" s="43"/>
      <c r="B55" s="44"/>
      <c r="C55" s="47"/>
      <c r="D55" s="179"/>
    </row>
    <row r="56" spans="1:4" ht="13.5" thickBot="1" x14ac:dyDescent="0.25">
      <c r="A56" s="6"/>
      <c r="B56" s="13"/>
      <c r="C56" s="26"/>
      <c r="D56" s="179"/>
    </row>
    <row r="57" spans="1:4" ht="20.100000000000001" customHeight="1" x14ac:dyDescent="0.2">
      <c r="A57" s="15">
        <v>5</v>
      </c>
      <c r="B57" s="19">
        <v>264.733</v>
      </c>
      <c r="C57" s="14" t="s">
        <v>9</v>
      </c>
      <c r="D57" s="180" t="s">
        <v>6</v>
      </c>
    </row>
    <row r="58" spans="1:4" ht="20.100000000000001" customHeight="1" thickBot="1" x14ac:dyDescent="0.25">
      <c r="A58" s="28">
        <v>32</v>
      </c>
      <c r="B58" s="33">
        <v>264.74299999999999</v>
      </c>
      <c r="C58" s="17" t="s">
        <v>10</v>
      </c>
      <c r="D58" s="180"/>
    </row>
    <row r="59" spans="1:4" ht="20.100000000000001" customHeight="1" thickBot="1" x14ac:dyDescent="0.25">
      <c r="A59" s="34">
        <v>34.299999999999997</v>
      </c>
      <c r="B59" s="35">
        <v>264.673</v>
      </c>
      <c r="C59" s="21" t="s">
        <v>8</v>
      </c>
      <c r="D59" s="180"/>
    </row>
    <row r="60" spans="1:4" ht="20.100000000000001" customHeight="1" thickBot="1" x14ac:dyDescent="0.25">
      <c r="A60" s="20">
        <v>34.299999999999997</v>
      </c>
      <c r="B60" s="36">
        <v>265.673</v>
      </c>
      <c r="C60" s="22" t="s">
        <v>8</v>
      </c>
      <c r="D60" s="180"/>
    </row>
    <row r="61" spans="1:4" ht="20.100000000000001" customHeight="1" x14ac:dyDescent="0.2">
      <c r="A61" s="15">
        <v>1</v>
      </c>
      <c r="B61" s="19">
        <v>267.553</v>
      </c>
      <c r="C61" s="23" t="s">
        <v>2</v>
      </c>
      <c r="D61" s="180"/>
    </row>
    <row r="62" spans="1:4" ht="20.100000000000001" customHeight="1" thickBot="1" x14ac:dyDescent="0.25">
      <c r="A62" s="28">
        <v>1</v>
      </c>
      <c r="B62" s="33">
        <v>269.07299999999998</v>
      </c>
      <c r="C62" s="8" t="s">
        <v>2</v>
      </c>
      <c r="D62" s="180"/>
    </row>
    <row r="63" spans="1:4" ht="13.5" thickBot="1" x14ac:dyDescent="0.25">
      <c r="A63" s="15">
        <v>0</v>
      </c>
      <c r="B63" s="27">
        <v>279.16500000000002</v>
      </c>
      <c r="C63" s="9" t="s">
        <v>7</v>
      </c>
      <c r="D63" s="1"/>
    </row>
    <row r="64" spans="1:4" ht="13.5" thickBot="1" x14ac:dyDescent="0.25">
      <c r="A64" s="28">
        <v>33.15</v>
      </c>
      <c r="B64" s="29">
        <v>269.99900000000002</v>
      </c>
      <c r="C64" s="9" t="s">
        <v>7</v>
      </c>
      <c r="D64" s="1"/>
    </row>
    <row r="65" spans="1:5" ht="16.5" thickBot="1" x14ac:dyDescent="0.3">
      <c r="A65" s="24" t="s">
        <v>12</v>
      </c>
      <c r="B65" s="4"/>
      <c r="C65" s="30">
        <v>0.14000000000000001</v>
      </c>
      <c r="D65" s="1"/>
    </row>
    <row r="66" spans="1:5" ht="16.5" thickBot="1" x14ac:dyDescent="0.3">
      <c r="A66" s="10" t="s">
        <v>11</v>
      </c>
      <c r="B66" s="4"/>
      <c r="C66" s="35">
        <v>264.673</v>
      </c>
      <c r="D66" s="1"/>
    </row>
    <row r="67" spans="1:5" ht="20.25" customHeight="1" thickBot="1" x14ac:dyDescent="0.3">
      <c r="A67" s="10" t="s">
        <v>14</v>
      </c>
      <c r="C67" s="19">
        <v>270</v>
      </c>
      <c r="D67" s="1"/>
    </row>
    <row r="68" spans="1:5" ht="15.75" thickBot="1" x14ac:dyDescent="0.3">
      <c r="A68" s="24" t="s">
        <v>13</v>
      </c>
      <c r="C68" s="32"/>
      <c r="D68" s="1"/>
    </row>
    <row r="69" spans="1:5" x14ac:dyDescent="0.2">
      <c r="A69" s="3"/>
      <c r="B69" s="4"/>
      <c r="C69" s="5"/>
      <c r="D69" s="1"/>
    </row>
    <row r="70" spans="1:5" x14ac:dyDescent="0.2">
      <c r="A70" s="3"/>
      <c r="B70" s="4"/>
      <c r="C70" s="5"/>
      <c r="D70" s="1"/>
    </row>
    <row r="71" spans="1:5" x14ac:dyDescent="0.2">
      <c r="A71" s="3"/>
      <c r="B71" s="4"/>
      <c r="C71" s="5"/>
      <c r="D71" s="1"/>
    </row>
    <row r="72" spans="1:5" x14ac:dyDescent="0.2">
      <c r="A72" s="3"/>
      <c r="B72" s="4"/>
      <c r="C72" s="5"/>
      <c r="D72" s="1"/>
    </row>
    <row r="73" spans="1:5" ht="18" x14ac:dyDescent="0.25">
      <c r="C73" s="49" t="s">
        <v>16</v>
      </c>
      <c r="D73" s="48"/>
      <c r="E73" s="48"/>
    </row>
  </sheetData>
  <mergeCells count="3">
    <mergeCell ref="A1:Q1"/>
    <mergeCell ref="D2:D56"/>
    <mergeCell ref="D57:D62"/>
  </mergeCells>
  <phoneticPr fontId="18" type="noConversion"/>
  <pageMargins left="0.75" right="0.75" top="1" bottom="1" header="0" footer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48"/>
  <sheetViews>
    <sheetView zoomScale="75" workbookViewId="0">
      <selection activeCell="C20" sqref="C2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268.26</v>
      </c>
      <c r="C4" s="42" t="s">
        <v>4</v>
      </c>
      <c r="D4" s="179"/>
    </row>
    <row r="5" spans="1:20" x14ac:dyDescent="0.2">
      <c r="A5" s="16">
        <v>5.0999999999999996</v>
      </c>
      <c r="B5" s="46">
        <v>265.62</v>
      </c>
      <c r="C5" s="50" t="s">
        <v>9</v>
      </c>
      <c r="D5" s="179"/>
    </row>
    <row r="6" spans="1:20" x14ac:dyDescent="0.2">
      <c r="A6" s="43">
        <v>5.0999999999999996</v>
      </c>
      <c r="B6" s="44">
        <v>263.43</v>
      </c>
      <c r="C6" s="42"/>
      <c r="D6" s="179"/>
    </row>
    <row r="7" spans="1:20" x14ac:dyDescent="0.2">
      <c r="A7" s="43">
        <v>6</v>
      </c>
      <c r="B7" s="44">
        <v>263.32</v>
      </c>
      <c r="C7" s="42"/>
      <c r="D7" s="179"/>
    </row>
    <row r="8" spans="1:20" x14ac:dyDescent="0.2">
      <c r="A8" s="43">
        <v>8</v>
      </c>
      <c r="B8" s="44">
        <v>263.52</v>
      </c>
      <c r="C8" s="45"/>
      <c r="D8" s="179"/>
    </row>
    <row r="9" spans="1:20" x14ac:dyDescent="0.2">
      <c r="A9" s="43">
        <v>10</v>
      </c>
      <c r="B9" s="44">
        <v>263.13</v>
      </c>
      <c r="C9" s="42"/>
      <c r="D9" s="179"/>
    </row>
    <row r="10" spans="1:20" x14ac:dyDescent="0.2">
      <c r="A10" s="43">
        <v>12</v>
      </c>
      <c r="B10" s="44">
        <v>262.92</v>
      </c>
      <c r="C10" s="50"/>
      <c r="D10" s="179"/>
    </row>
    <row r="11" spans="1:20" x14ac:dyDescent="0.2">
      <c r="A11" s="43">
        <v>14</v>
      </c>
      <c r="B11" s="44">
        <v>263.14999999999998</v>
      </c>
      <c r="C11" s="45"/>
      <c r="D11" s="179"/>
    </row>
    <row r="12" spans="1:20" x14ac:dyDescent="0.2">
      <c r="A12" s="43">
        <v>16</v>
      </c>
      <c r="B12" s="44">
        <v>263.07</v>
      </c>
      <c r="C12" s="42"/>
      <c r="D12" s="179"/>
    </row>
    <row r="13" spans="1:20" x14ac:dyDescent="0.2">
      <c r="A13" s="43">
        <v>18</v>
      </c>
      <c r="B13" s="44">
        <v>262.93</v>
      </c>
      <c r="C13" s="42"/>
      <c r="D13" s="179"/>
    </row>
    <row r="14" spans="1:20" x14ac:dyDescent="0.2">
      <c r="A14" s="43">
        <v>20</v>
      </c>
      <c r="B14" s="44">
        <v>263.52</v>
      </c>
      <c r="C14" s="42"/>
      <c r="D14" s="179"/>
    </row>
    <row r="15" spans="1:20" x14ac:dyDescent="0.2">
      <c r="A15" s="43">
        <v>22</v>
      </c>
      <c r="B15" s="44">
        <v>263.82</v>
      </c>
      <c r="C15" s="42"/>
      <c r="D15" s="179"/>
    </row>
    <row r="16" spans="1:20" x14ac:dyDescent="0.2">
      <c r="A16" s="43">
        <v>24</v>
      </c>
      <c r="B16" s="44">
        <v>263.82</v>
      </c>
      <c r="C16" s="42"/>
      <c r="D16" s="179"/>
    </row>
    <row r="17" spans="1:4" x14ac:dyDescent="0.2">
      <c r="A17" s="43">
        <v>26</v>
      </c>
      <c r="B17" s="44">
        <v>263.92</v>
      </c>
      <c r="C17" s="42"/>
      <c r="D17" s="179"/>
    </row>
    <row r="18" spans="1:4" x14ac:dyDescent="0.2">
      <c r="A18" s="43">
        <v>28</v>
      </c>
      <c r="B18" s="44">
        <v>264.22000000000003</v>
      </c>
      <c r="C18" s="42"/>
      <c r="D18" s="179"/>
    </row>
    <row r="19" spans="1:4" x14ac:dyDescent="0.2">
      <c r="A19" s="43">
        <v>30</v>
      </c>
      <c r="B19" s="44">
        <v>264.12</v>
      </c>
      <c r="C19" s="42"/>
      <c r="D19" s="179"/>
    </row>
    <row r="20" spans="1:4" x14ac:dyDescent="0.2">
      <c r="A20" s="43">
        <v>32</v>
      </c>
      <c r="B20" s="44">
        <v>264.42</v>
      </c>
      <c r="C20" s="42"/>
      <c r="D20" s="179"/>
    </row>
    <row r="21" spans="1:4" x14ac:dyDescent="0.2">
      <c r="A21" s="43">
        <v>34</v>
      </c>
      <c r="B21" s="44">
        <v>264.92</v>
      </c>
      <c r="C21" s="42"/>
      <c r="D21" s="179"/>
    </row>
    <row r="22" spans="1:4" x14ac:dyDescent="0.2">
      <c r="A22" s="43">
        <v>34.5</v>
      </c>
      <c r="B22" s="44">
        <v>265.23</v>
      </c>
      <c r="C22" s="42"/>
      <c r="D22" s="179"/>
    </row>
    <row r="23" spans="1:4" x14ac:dyDescent="0.2">
      <c r="A23" s="16">
        <v>34.5</v>
      </c>
      <c r="B23" s="46">
        <v>265.62</v>
      </c>
      <c r="C23" s="50" t="s">
        <v>10</v>
      </c>
      <c r="D23" s="179"/>
    </row>
    <row r="24" spans="1:4" x14ac:dyDescent="0.2">
      <c r="A24" s="43">
        <v>34.5</v>
      </c>
      <c r="B24" s="44">
        <v>266.60000000000002</v>
      </c>
      <c r="C24" s="45"/>
      <c r="D24" s="179"/>
    </row>
    <row r="25" spans="1:4" x14ac:dyDescent="0.2">
      <c r="A25" s="43">
        <v>35.299999999999997</v>
      </c>
      <c r="B25" s="44">
        <v>266.62</v>
      </c>
      <c r="C25" s="42"/>
      <c r="D25" s="179"/>
    </row>
    <row r="26" spans="1:4" s="7" customFormat="1" x14ac:dyDescent="0.2">
      <c r="A26" s="43">
        <v>35.57</v>
      </c>
      <c r="B26" s="44">
        <v>266.62</v>
      </c>
      <c r="C26" s="42" t="s">
        <v>5</v>
      </c>
      <c r="D26" s="179"/>
    </row>
    <row r="27" spans="1:4" x14ac:dyDescent="0.2">
      <c r="A27" s="43">
        <v>35.57</v>
      </c>
      <c r="B27" s="44">
        <v>268.26</v>
      </c>
      <c r="C27" s="42"/>
      <c r="D27" s="179"/>
    </row>
    <row r="28" spans="1:4" x14ac:dyDescent="0.2">
      <c r="A28" s="43"/>
      <c r="B28" s="44"/>
      <c r="C28" s="42"/>
      <c r="D28" s="179"/>
    </row>
    <row r="29" spans="1:4" x14ac:dyDescent="0.2">
      <c r="A29" s="43"/>
      <c r="B29" s="44"/>
      <c r="C29" s="42"/>
      <c r="D29" s="179"/>
    </row>
    <row r="30" spans="1:4" x14ac:dyDescent="0.2">
      <c r="A30" s="43"/>
      <c r="B30" s="44"/>
      <c r="C30" s="47"/>
      <c r="D30" s="179"/>
    </row>
    <row r="31" spans="1:4" ht="13.5" thickBot="1" x14ac:dyDescent="0.25">
      <c r="A31" s="6"/>
      <c r="B31" s="13"/>
      <c r="C31" s="26"/>
      <c r="D31" s="179"/>
    </row>
    <row r="32" spans="1:4" ht="20.100000000000001" customHeight="1" x14ac:dyDescent="0.2">
      <c r="A32" s="15">
        <v>5.0999999999999996</v>
      </c>
      <c r="B32" s="19">
        <v>265.62</v>
      </c>
      <c r="C32" s="14" t="s">
        <v>9</v>
      </c>
      <c r="D32" s="180" t="s">
        <v>6</v>
      </c>
    </row>
    <row r="33" spans="1:5" ht="20.100000000000001" customHeight="1" thickBot="1" x14ac:dyDescent="0.25">
      <c r="A33" s="28">
        <v>34.5</v>
      </c>
      <c r="B33" s="33">
        <v>265.62</v>
      </c>
      <c r="C33" s="17" t="s">
        <v>10</v>
      </c>
      <c r="D33" s="180"/>
    </row>
    <row r="34" spans="1:5" ht="20.100000000000001" customHeight="1" thickBot="1" x14ac:dyDescent="0.25">
      <c r="A34" s="34">
        <v>34.299999999999997</v>
      </c>
      <c r="B34" s="35">
        <v>265.45999999999998</v>
      </c>
      <c r="C34" s="21" t="s">
        <v>8</v>
      </c>
      <c r="D34" s="180"/>
    </row>
    <row r="35" spans="1:5" ht="20.100000000000001" customHeight="1" thickBot="1" x14ac:dyDescent="0.25">
      <c r="A35" s="20">
        <v>34.299999999999997</v>
      </c>
      <c r="B35" s="36">
        <v>266.45999999999998</v>
      </c>
      <c r="C35" s="22" t="s">
        <v>8</v>
      </c>
      <c r="D35" s="180"/>
    </row>
    <row r="36" spans="1:5" ht="20.100000000000001" customHeight="1" x14ac:dyDescent="0.2">
      <c r="A36" s="15">
        <v>1</v>
      </c>
      <c r="B36" s="19">
        <v>268.26400000000001</v>
      </c>
      <c r="C36" s="23" t="s">
        <v>2</v>
      </c>
      <c r="D36" s="180"/>
    </row>
    <row r="37" spans="1:5" ht="20.100000000000001" customHeight="1" thickBot="1" x14ac:dyDescent="0.25">
      <c r="A37" s="28">
        <v>1</v>
      </c>
      <c r="B37" s="33">
        <v>269.78399999999999</v>
      </c>
      <c r="C37" s="8" t="s">
        <v>2</v>
      </c>
      <c r="D37" s="180"/>
    </row>
    <row r="38" spans="1:5" ht="13.5" thickBot="1" x14ac:dyDescent="0.25">
      <c r="A38" s="15">
        <v>0</v>
      </c>
      <c r="B38" s="27">
        <v>268.26</v>
      </c>
      <c r="C38" s="9" t="s">
        <v>7</v>
      </c>
      <c r="D38" s="1"/>
    </row>
    <row r="39" spans="1:5" ht="13.5" thickBot="1" x14ac:dyDescent="0.25">
      <c r="A39" s="28">
        <v>35.57</v>
      </c>
      <c r="B39" s="29">
        <v>268.26</v>
      </c>
      <c r="C39" s="9" t="s">
        <v>7</v>
      </c>
      <c r="D39" s="1"/>
    </row>
    <row r="40" spans="1:5" ht="16.5" thickBot="1" x14ac:dyDescent="0.3">
      <c r="A40" s="24" t="s">
        <v>12</v>
      </c>
      <c r="B40" s="4"/>
      <c r="C40" s="30">
        <v>0.2</v>
      </c>
      <c r="D40" s="1"/>
    </row>
    <row r="41" spans="1:5" ht="16.5" thickBot="1" x14ac:dyDescent="0.3">
      <c r="A41" s="10" t="s">
        <v>11</v>
      </c>
      <c r="B41" s="4"/>
      <c r="C41" s="18">
        <f>B34</f>
        <v>265.45999999999998</v>
      </c>
      <c r="D41" s="1"/>
    </row>
    <row r="42" spans="1:5" ht="20.25" customHeight="1" thickBot="1" x14ac:dyDescent="0.3">
      <c r="A42" s="10" t="s">
        <v>14</v>
      </c>
      <c r="C42" s="31">
        <f>B3</f>
        <v>270</v>
      </c>
      <c r="D42" s="1"/>
    </row>
    <row r="43" spans="1:5" ht="15.75" thickBot="1" x14ac:dyDescent="0.3">
      <c r="A43" s="24" t="s">
        <v>13</v>
      </c>
      <c r="C43" s="32"/>
      <c r="D43" s="1"/>
    </row>
    <row r="44" spans="1:5" x14ac:dyDescent="0.2">
      <c r="A44" s="3"/>
      <c r="B44" s="4"/>
      <c r="C44" s="5"/>
      <c r="D44" s="1"/>
    </row>
    <row r="45" spans="1:5" x14ac:dyDescent="0.2">
      <c r="A45" s="3"/>
      <c r="B45" s="4"/>
      <c r="C45" s="5"/>
      <c r="D45" s="1"/>
    </row>
    <row r="46" spans="1:5" x14ac:dyDescent="0.2">
      <c r="A46" s="3"/>
      <c r="B46" s="4"/>
      <c r="C46" s="5"/>
      <c r="D46" s="1"/>
    </row>
    <row r="47" spans="1:5" x14ac:dyDescent="0.2">
      <c r="A47" s="3"/>
      <c r="B47" s="4"/>
      <c r="C47" s="5"/>
      <c r="D47" s="1"/>
    </row>
    <row r="48" spans="1:5" ht="18" x14ac:dyDescent="0.25">
      <c r="C48" s="51"/>
      <c r="D48" s="52"/>
      <c r="E48" s="52"/>
    </row>
  </sheetData>
  <mergeCells count="3">
    <mergeCell ref="A1:Q1"/>
    <mergeCell ref="D2:D31"/>
    <mergeCell ref="D32:D3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8"/>
  <sheetViews>
    <sheetView topLeftCell="A7" zoomScale="75" workbookViewId="0">
      <selection activeCell="B42" sqref="B4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276.67</v>
      </c>
      <c r="C4" s="42" t="s">
        <v>4</v>
      </c>
      <c r="D4" s="179"/>
    </row>
    <row r="5" spans="1:20" x14ac:dyDescent="0.2">
      <c r="A5" s="43">
        <v>0</v>
      </c>
      <c r="B5" s="44">
        <v>269.13</v>
      </c>
      <c r="C5" s="50"/>
      <c r="D5" s="179"/>
    </row>
    <row r="6" spans="1:20" x14ac:dyDescent="0.2">
      <c r="A6" s="43">
        <v>1</v>
      </c>
      <c r="B6" s="44">
        <v>269.10000000000002</v>
      </c>
      <c r="C6" s="42"/>
      <c r="D6" s="179"/>
    </row>
    <row r="7" spans="1:20" x14ac:dyDescent="0.2">
      <c r="A7" s="43">
        <v>1</v>
      </c>
      <c r="B7" s="44">
        <v>268.79000000000002</v>
      </c>
      <c r="C7" s="42"/>
      <c r="D7" s="179"/>
    </row>
    <row r="8" spans="1:20" x14ac:dyDescent="0.2">
      <c r="A8" s="43">
        <v>3.7</v>
      </c>
      <c r="B8" s="44">
        <v>268.51</v>
      </c>
      <c r="C8" s="45"/>
      <c r="D8" s="179"/>
    </row>
    <row r="9" spans="1:20" x14ac:dyDescent="0.2">
      <c r="A9" s="16">
        <v>5</v>
      </c>
      <c r="B9" s="46">
        <v>265.88</v>
      </c>
      <c r="C9" s="42" t="s">
        <v>9</v>
      </c>
      <c r="D9" s="179"/>
    </row>
    <row r="10" spans="1:20" x14ac:dyDescent="0.2">
      <c r="A10" s="43">
        <v>5</v>
      </c>
      <c r="B10" s="44">
        <v>263.35000000000002</v>
      </c>
      <c r="C10" s="50"/>
      <c r="D10" s="179"/>
    </row>
    <row r="11" spans="1:20" x14ac:dyDescent="0.2">
      <c r="A11" s="43">
        <v>6</v>
      </c>
      <c r="B11" s="44">
        <v>263.20999999999998</v>
      </c>
      <c r="C11" s="45"/>
      <c r="D11" s="179"/>
    </row>
    <row r="12" spans="1:20" x14ac:dyDescent="0.2">
      <c r="A12" s="43">
        <v>7.5</v>
      </c>
      <c r="B12" s="44">
        <v>263.31</v>
      </c>
      <c r="C12" s="42"/>
      <c r="D12" s="179"/>
    </row>
    <row r="13" spans="1:20" x14ac:dyDescent="0.2">
      <c r="A13" s="43">
        <v>9</v>
      </c>
      <c r="B13" s="44">
        <v>263.25</v>
      </c>
      <c r="C13" s="42"/>
      <c r="D13" s="179"/>
    </row>
    <row r="14" spans="1:20" x14ac:dyDescent="0.2">
      <c r="A14" s="43">
        <v>10.5</v>
      </c>
      <c r="B14" s="44">
        <v>263.18</v>
      </c>
      <c r="C14" s="42"/>
      <c r="D14" s="179"/>
    </row>
    <row r="15" spans="1:20" x14ac:dyDescent="0.2">
      <c r="A15" s="43">
        <v>12</v>
      </c>
      <c r="B15" s="44">
        <v>263.08</v>
      </c>
      <c r="C15" s="42"/>
      <c r="D15" s="179"/>
    </row>
    <row r="16" spans="1:20" x14ac:dyDescent="0.2">
      <c r="A16" s="43">
        <v>13.5</v>
      </c>
      <c r="B16" s="44">
        <v>263.12</v>
      </c>
      <c r="C16" s="42"/>
      <c r="D16" s="179"/>
    </row>
    <row r="17" spans="1:4" x14ac:dyDescent="0.2">
      <c r="A17" s="43">
        <v>15</v>
      </c>
      <c r="B17" s="44">
        <v>263.19</v>
      </c>
      <c r="C17" s="42"/>
      <c r="D17" s="179"/>
    </row>
    <row r="18" spans="1:4" x14ac:dyDescent="0.2">
      <c r="A18" s="43">
        <v>16.5</v>
      </c>
      <c r="B18" s="44">
        <v>263.27999999999997</v>
      </c>
      <c r="C18" s="42"/>
      <c r="D18" s="179"/>
    </row>
    <row r="19" spans="1:4" x14ac:dyDescent="0.2">
      <c r="A19" s="43">
        <v>18</v>
      </c>
      <c r="B19" s="44">
        <v>263.52</v>
      </c>
      <c r="C19" s="42"/>
      <c r="D19" s="179"/>
    </row>
    <row r="20" spans="1:4" x14ac:dyDescent="0.2">
      <c r="A20" s="43">
        <v>19.5</v>
      </c>
      <c r="B20" s="44">
        <v>263.8</v>
      </c>
      <c r="C20" s="42"/>
      <c r="D20" s="179"/>
    </row>
    <row r="21" spans="1:4" x14ac:dyDescent="0.2">
      <c r="A21" s="43">
        <v>21</v>
      </c>
      <c r="B21" s="44">
        <v>263.98</v>
      </c>
      <c r="C21" s="42"/>
      <c r="D21" s="179"/>
    </row>
    <row r="22" spans="1:4" x14ac:dyDescent="0.2">
      <c r="A22" s="43">
        <v>22.5</v>
      </c>
      <c r="B22" s="44">
        <v>264.23</v>
      </c>
      <c r="C22" s="42"/>
      <c r="D22" s="179"/>
    </row>
    <row r="23" spans="1:4" x14ac:dyDescent="0.2">
      <c r="A23" s="43">
        <v>24</v>
      </c>
      <c r="B23" s="44">
        <v>264.38</v>
      </c>
      <c r="C23" s="50"/>
      <c r="D23" s="179"/>
    </row>
    <row r="24" spans="1:4" x14ac:dyDescent="0.2">
      <c r="A24" s="43">
        <v>25.5</v>
      </c>
      <c r="B24" s="44">
        <v>264.49</v>
      </c>
      <c r="C24" s="45"/>
      <c r="D24" s="179"/>
    </row>
    <row r="25" spans="1:4" x14ac:dyDescent="0.2">
      <c r="A25" s="43">
        <v>27</v>
      </c>
      <c r="B25" s="44">
        <v>264.62</v>
      </c>
      <c r="C25" s="42"/>
      <c r="D25" s="179"/>
    </row>
    <row r="26" spans="1:4" s="7" customFormat="1" x14ac:dyDescent="0.2">
      <c r="A26" s="43">
        <v>28.5</v>
      </c>
      <c r="B26" s="44">
        <v>264.49</v>
      </c>
      <c r="C26" s="42"/>
      <c r="D26" s="179"/>
    </row>
    <row r="27" spans="1:4" x14ac:dyDescent="0.2">
      <c r="A27" s="43">
        <v>30</v>
      </c>
      <c r="B27" s="44">
        <v>264.68</v>
      </c>
      <c r="C27" s="42"/>
      <c r="D27" s="179"/>
    </row>
    <row r="28" spans="1:4" x14ac:dyDescent="0.2">
      <c r="A28" s="43">
        <v>31.5</v>
      </c>
      <c r="B28" s="44">
        <v>264.93</v>
      </c>
      <c r="C28" s="42"/>
      <c r="D28" s="179"/>
    </row>
    <row r="29" spans="1:4" x14ac:dyDescent="0.2">
      <c r="A29" s="43">
        <v>33</v>
      </c>
      <c r="B29" s="44">
        <v>265.08</v>
      </c>
      <c r="C29" s="42"/>
      <c r="D29" s="179"/>
    </row>
    <row r="30" spans="1:4" x14ac:dyDescent="0.2">
      <c r="A30" s="43">
        <v>34.700000000000003</v>
      </c>
      <c r="B30" s="44">
        <v>265.22000000000003</v>
      </c>
      <c r="C30" s="42"/>
      <c r="D30" s="179"/>
    </row>
    <row r="31" spans="1:4" x14ac:dyDescent="0.2">
      <c r="A31" s="16">
        <v>34.700000000000003</v>
      </c>
      <c r="B31" s="46">
        <v>265.88</v>
      </c>
      <c r="C31" s="42" t="s">
        <v>10</v>
      </c>
      <c r="D31" s="179"/>
    </row>
    <row r="32" spans="1:4" x14ac:dyDescent="0.2">
      <c r="A32" s="43">
        <v>34.700000000000003</v>
      </c>
      <c r="B32" s="44">
        <v>266.76</v>
      </c>
      <c r="C32" s="42"/>
      <c r="D32" s="179"/>
    </row>
    <row r="33" spans="1:4" x14ac:dyDescent="0.2">
      <c r="A33" s="43">
        <v>34.700000000000003</v>
      </c>
      <c r="B33" s="44">
        <v>267.74</v>
      </c>
      <c r="C33" s="42"/>
      <c r="D33" s="179"/>
    </row>
    <row r="34" spans="1:4" x14ac:dyDescent="0.2">
      <c r="A34" s="43">
        <v>34.700000000000003</v>
      </c>
      <c r="B34" s="44">
        <v>266.61</v>
      </c>
      <c r="C34" s="42"/>
      <c r="D34" s="179"/>
    </row>
    <row r="35" spans="1:4" x14ac:dyDescent="0.2">
      <c r="A35" s="43">
        <v>35.5</v>
      </c>
      <c r="B35" s="44">
        <v>266.64</v>
      </c>
      <c r="C35" s="42"/>
      <c r="D35" s="179"/>
    </row>
    <row r="36" spans="1:4" x14ac:dyDescent="0.2">
      <c r="A36" s="43">
        <v>35.5</v>
      </c>
      <c r="B36" s="44">
        <v>276.68</v>
      </c>
      <c r="C36" s="42" t="s">
        <v>5</v>
      </c>
      <c r="D36" s="179"/>
    </row>
    <row r="37" spans="1:4" x14ac:dyDescent="0.2">
      <c r="A37" s="43">
        <v>35.5</v>
      </c>
      <c r="B37" s="44">
        <v>270.02999999999997</v>
      </c>
      <c r="C37" s="42" t="s">
        <v>19</v>
      </c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5</v>
      </c>
      <c r="B42" s="19">
        <v>265.88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34.700000000000003</v>
      </c>
      <c r="B43" s="33">
        <v>265.88</v>
      </c>
      <c r="C43" s="17" t="s">
        <v>10</v>
      </c>
      <c r="D43" s="180"/>
    </row>
    <row r="44" spans="1:4" ht="20.100000000000001" customHeight="1" thickBot="1" x14ac:dyDescent="0.25">
      <c r="A44" s="34">
        <v>34.299999999999997</v>
      </c>
      <c r="B44" s="35">
        <v>264.73200000000003</v>
      </c>
      <c r="C44" s="21" t="s">
        <v>8</v>
      </c>
      <c r="D44" s="180"/>
    </row>
    <row r="45" spans="1:4" ht="20.100000000000001" customHeight="1" thickBot="1" x14ac:dyDescent="0.25">
      <c r="A45" s="20">
        <v>34.299999999999997</v>
      </c>
      <c r="B45" s="36">
        <v>266.45999999999998</v>
      </c>
      <c r="C45" s="22" t="s">
        <v>8</v>
      </c>
      <c r="D45" s="180"/>
    </row>
    <row r="46" spans="1:4" ht="20.100000000000001" customHeight="1" x14ac:dyDescent="0.2">
      <c r="A46" s="15">
        <v>1</v>
      </c>
      <c r="B46" s="19">
        <v>268.738</v>
      </c>
      <c r="C46" s="23" t="s">
        <v>2</v>
      </c>
      <c r="D46" s="180"/>
    </row>
    <row r="47" spans="1:4" ht="20.100000000000001" customHeight="1" thickBot="1" x14ac:dyDescent="0.25">
      <c r="A47" s="28">
        <v>1</v>
      </c>
      <c r="B47" s="33">
        <v>269.78399999999999</v>
      </c>
      <c r="C47" s="8" t="s">
        <v>2</v>
      </c>
      <c r="D47" s="180"/>
    </row>
    <row r="48" spans="1:4" ht="13.5" thickBot="1" x14ac:dyDescent="0.25">
      <c r="A48" s="15">
        <v>0</v>
      </c>
      <c r="B48" s="27">
        <v>268.26</v>
      </c>
      <c r="C48" s="9" t="s">
        <v>7</v>
      </c>
      <c r="D48" s="1"/>
    </row>
    <row r="49" spans="1:5" ht="13.5" thickBot="1" x14ac:dyDescent="0.25">
      <c r="A49" s="28">
        <v>35.57</v>
      </c>
      <c r="B49" s="29">
        <v>268.26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0.2</v>
      </c>
      <c r="D50" s="1"/>
    </row>
    <row r="51" spans="1:5" ht="16.5" thickBot="1" x14ac:dyDescent="0.3">
      <c r="A51" s="10" t="s">
        <v>11</v>
      </c>
      <c r="B51" s="4"/>
      <c r="C51" s="18">
        <f>B44</f>
        <v>264.73200000000003</v>
      </c>
      <c r="D51" s="1"/>
    </row>
    <row r="52" spans="1:5" ht="20.25" customHeight="1" thickBot="1" x14ac:dyDescent="0.3">
      <c r="A52" s="10" t="s">
        <v>14</v>
      </c>
      <c r="C52" s="31">
        <f>B3</f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58"/>
  <sheetViews>
    <sheetView topLeftCell="A16" zoomScale="75" workbookViewId="0">
      <selection activeCell="A42" sqref="A4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269.33999999999997</v>
      </c>
      <c r="C3" s="39" t="s">
        <v>17</v>
      </c>
      <c r="D3" s="179"/>
    </row>
    <row r="4" spans="1:20" x14ac:dyDescent="0.2">
      <c r="A4" s="40">
        <v>0</v>
      </c>
      <c r="B4" s="41">
        <v>268.88</v>
      </c>
      <c r="C4" s="42"/>
      <c r="D4" s="179"/>
    </row>
    <row r="5" spans="1:20" x14ac:dyDescent="0.2">
      <c r="A5" s="43">
        <v>0</v>
      </c>
      <c r="B5" s="44">
        <v>267.87</v>
      </c>
      <c r="C5" s="50"/>
      <c r="D5" s="179"/>
    </row>
    <row r="6" spans="1:20" x14ac:dyDescent="0.2">
      <c r="A6" s="43">
        <v>0</v>
      </c>
      <c r="B6" s="44">
        <v>269.17</v>
      </c>
      <c r="C6" s="42" t="s">
        <v>4</v>
      </c>
      <c r="D6" s="179"/>
    </row>
    <row r="7" spans="1:20" x14ac:dyDescent="0.2">
      <c r="A7" s="43">
        <v>3.5</v>
      </c>
      <c r="B7" s="44">
        <v>269.17</v>
      </c>
      <c r="C7" s="42"/>
      <c r="D7" s="179"/>
    </row>
    <row r="8" spans="1:20" x14ac:dyDescent="0.2">
      <c r="A8" s="43">
        <v>3.5</v>
      </c>
      <c r="B8" s="44">
        <v>267.77</v>
      </c>
      <c r="C8" s="45"/>
      <c r="D8" s="179"/>
    </row>
    <row r="9" spans="1:20" x14ac:dyDescent="0.2">
      <c r="A9" s="43">
        <v>3.5</v>
      </c>
      <c r="B9" s="44">
        <v>267.5</v>
      </c>
      <c r="C9" s="42"/>
      <c r="D9" s="179"/>
    </row>
    <row r="10" spans="1:20" x14ac:dyDescent="0.2">
      <c r="A10" s="16">
        <v>5</v>
      </c>
      <c r="B10" s="46">
        <v>264.88</v>
      </c>
      <c r="C10" s="50" t="s">
        <v>9</v>
      </c>
      <c r="D10" s="179"/>
    </row>
    <row r="11" spans="1:20" x14ac:dyDescent="0.2">
      <c r="A11" s="43">
        <v>5</v>
      </c>
      <c r="B11" s="44">
        <v>262.38</v>
      </c>
      <c r="C11" s="45"/>
      <c r="D11" s="179"/>
    </row>
    <row r="12" spans="1:20" x14ac:dyDescent="0.2">
      <c r="A12" s="43">
        <v>6</v>
      </c>
      <c r="B12" s="44">
        <v>262.19</v>
      </c>
      <c r="C12" s="42"/>
      <c r="D12" s="179"/>
    </row>
    <row r="13" spans="1:20" x14ac:dyDescent="0.2">
      <c r="A13" s="43">
        <v>7.5</v>
      </c>
      <c r="B13" s="44">
        <v>262.29000000000002</v>
      </c>
      <c r="C13" s="42"/>
      <c r="D13" s="179"/>
    </row>
    <row r="14" spans="1:20" x14ac:dyDescent="0.2">
      <c r="A14" s="43">
        <v>9</v>
      </c>
      <c r="B14" s="44">
        <v>262.18</v>
      </c>
      <c r="C14" s="42"/>
      <c r="D14" s="179"/>
    </row>
    <row r="15" spans="1:20" x14ac:dyDescent="0.2">
      <c r="A15" s="43">
        <v>10.5</v>
      </c>
      <c r="B15" s="44">
        <v>262.31</v>
      </c>
      <c r="C15" s="42"/>
      <c r="D15" s="179"/>
    </row>
    <row r="16" spans="1:20" x14ac:dyDescent="0.2">
      <c r="A16" s="43">
        <v>12</v>
      </c>
      <c r="B16" s="44">
        <v>262.05</v>
      </c>
      <c r="C16" s="42"/>
      <c r="D16" s="179"/>
    </row>
    <row r="17" spans="1:4" x14ac:dyDescent="0.2">
      <c r="A17" s="43">
        <v>13.5</v>
      </c>
      <c r="B17" s="44">
        <v>262.07</v>
      </c>
      <c r="C17" s="42"/>
      <c r="D17" s="179"/>
    </row>
    <row r="18" spans="1:4" x14ac:dyDescent="0.2">
      <c r="A18" s="43">
        <v>15</v>
      </c>
      <c r="B18" s="44">
        <v>262.19</v>
      </c>
      <c r="C18" s="42"/>
      <c r="D18" s="179"/>
    </row>
    <row r="19" spans="1:4" x14ac:dyDescent="0.2">
      <c r="A19" s="43">
        <v>16.5</v>
      </c>
      <c r="B19" s="44">
        <v>262.24</v>
      </c>
      <c r="C19" s="42"/>
      <c r="D19" s="179"/>
    </row>
    <row r="20" spans="1:4" x14ac:dyDescent="0.2">
      <c r="A20" s="43">
        <v>18</v>
      </c>
      <c r="B20" s="44">
        <v>262.47000000000003</v>
      </c>
      <c r="C20" s="42"/>
      <c r="D20" s="179"/>
    </row>
    <row r="21" spans="1:4" x14ac:dyDescent="0.2">
      <c r="A21" s="43">
        <v>19.5</v>
      </c>
      <c r="B21" s="44">
        <v>262.70999999999998</v>
      </c>
      <c r="C21" s="42"/>
      <c r="D21" s="179"/>
    </row>
    <row r="22" spans="1:4" x14ac:dyDescent="0.2">
      <c r="A22" s="43">
        <v>21</v>
      </c>
      <c r="B22" s="44">
        <v>262.86</v>
      </c>
      <c r="C22" s="42"/>
      <c r="D22" s="179"/>
    </row>
    <row r="23" spans="1:4" x14ac:dyDescent="0.2">
      <c r="A23" s="43">
        <v>22.5</v>
      </c>
      <c r="B23" s="44">
        <v>263.04000000000002</v>
      </c>
      <c r="C23" s="50"/>
      <c r="D23" s="179"/>
    </row>
    <row r="24" spans="1:4" x14ac:dyDescent="0.2">
      <c r="A24" s="43">
        <v>24</v>
      </c>
      <c r="B24" s="44">
        <v>263.3</v>
      </c>
      <c r="C24" s="45"/>
      <c r="D24" s="179"/>
    </row>
    <row r="25" spans="1:4" x14ac:dyDescent="0.2">
      <c r="A25" s="43">
        <v>25.5</v>
      </c>
      <c r="B25" s="44">
        <v>263.38</v>
      </c>
      <c r="C25" s="42"/>
      <c r="D25" s="179"/>
    </row>
    <row r="26" spans="1:4" s="7" customFormat="1" x14ac:dyDescent="0.2">
      <c r="A26" s="43">
        <v>27</v>
      </c>
      <c r="B26" s="44">
        <v>263.57</v>
      </c>
      <c r="C26" s="42"/>
      <c r="D26" s="179"/>
    </row>
    <row r="27" spans="1:4" x14ac:dyDescent="0.2">
      <c r="A27" s="43">
        <v>28.5</v>
      </c>
      <c r="B27" s="44">
        <v>263.52</v>
      </c>
      <c r="C27" s="42"/>
      <c r="D27" s="179"/>
    </row>
    <row r="28" spans="1:4" x14ac:dyDescent="0.2">
      <c r="A28" s="43">
        <v>30</v>
      </c>
      <c r="B28" s="44">
        <v>263.66000000000003</v>
      </c>
      <c r="C28" s="42"/>
      <c r="D28" s="179"/>
    </row>
    <row r="29" spans="1:4" x14ac:dyDescent="0.2">
      <c r="A29" s="43">
        <v>31.5</v>
      </c>
      <c r="B29" s="44">
        <v>264.14</v>
      </c>
      <c r="C29" s="42"/>
      <c r="D29" s="179"/>
    </row>
    <row r="30" spans="1:4" x14ac:dyDescent="0.2">
      <c r="A30" s="43">
        <v>33.200000000000003</v>
      </c>
      <c r="B30" s="44">
        <v>264.27999999999997</v>
      </c>
      <c r="C30" s="42"/>
      <c r="D30" s="179"/>
    </row>
    <row r="31" spans="1:4" x14ac:dyDescent="0.2">
      <c r="A31" s="16">
        <v>33.200000000000003</v>
      </c>
      <c r="B31" s="46">
        <v>264.88</v>
      </c>
      <c r="C31" s="42" t="s">
        <v>10</v>
      </c>
      <c r="D31" s="179"/>
    </row>
    <row r="32" spans="1:4" x14ac:dyDescent="0.2">
      <c r="A32" s="43">
        <v>33.299999999999997</v>
      </c>
      <c r="B32" s="44">
        <v>265.54000000000002</v>
      </c>
      <c r="C32" s="42"/>
      <c r="D32" s="179"/>
    </row>
    <row r="33" spans="1:4" x14ac:dyDescent="0.2">
      <c r="A33" s="43">
        <v>33.299999999999997</v>
      </c>
      <c r="B33" s="44">
        <v>269.20999999999998</v>
      </c>
      <c r="C33" s="42" t="s">
        <v>5</v>
      </c>
      <c r="D33" s="179"/>
    </row>
    <row r="34" spans="1:4" x14ac:dyDescent="0.2">
      <c r="A34" s="43">
        <v>33.299999999999997</v>
      </c>
      <c r="B34" s="44">
        <v>265.42</v>
      </c>
      <c r="C34" s="42" t="s">
        <v>17</v>
      </c>
      <c r="D34" s="179"/>
    </row>
    <row r="35" spans="1:4" x14ac:dyDescent="0.2">
      <c r="A35" s="43"/>
      <c r="B35" s="44"/>
      <c r="C35" s="42"/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5</v>
      </c>
      <c r="B42" s="19">
        <v>264.88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33.200000000000003</v>
      </c>
      <c r="B43" s="33">
        <v>264.88</v>
      </c>
      <c r="C43" s="17" t="s">
        <v>10</v>
      </c>
      <c r="D43" s="180"/>
    </row>
    <row r="44" spans="1:4" ht="20.100000000000001" customHeight="1" thickBot="1" x14ac:dyDescent="0.25">
      <c r="A44" s="34">
        <v>32.369999999999997</v>
      </c>
      <c r="B44" s="35">
        <v>263.78199999999998</v>
      </c>
      <c r="C44" s="21" t="s">
        <v>8</v>
      </c>
      <c r="D44" s="180"/>
    </row>
    <row r="45" spans="1:4" ht="20.100000000000001" customHeight="1" thickBot="1" x14ac:dyDescent="0.25">
      <c r="A45" s="20">
        <v>32.369999999999997</v>
      </c>
      <c r="B45" s="36">
        <v>266.45999999999998</v>
      </c>
      <c r="C45" s="22" t="s">
        <v>8</v>
      </c>
      <c r="D45" s="180"/>
    </row>
    <row r="46" spans="1:4" ht="20.100000000000001" customHeight="1" x14ac:dyDescent="0.2">
      <c r="A46" s="15">
        <v>32.42</v>
      </c>
      <c r="B46" s="19">
        <v>267.58</v>
      </c>
      <c r="C46" s="23" t="s">
        <v>2</v>
      </c>
      <c r="D46" s="180"/>
    </row>
    <row r="47" spans="1:4" ht="20.100000000000001" customHeight="1" thickBot="1" x14ac:dyDescent="0.25">
      <c r="A47" s="28">
        <v>32.42</v>
      </c>
      <c r="B47" s="33">
        <v>269.78399999999999</v>
      </c>
      <c r="C47" s="8" t="s">
        <v>2</v>
      </c>
      <c r="D47" s="180"/>
    </row>
    <row r="48" spans="1:4" ht="13.5" thickBot="1" x14ac:dyDescent="0.25">
      <c r="A48" s="15">
        <v>0</v>
      </c>
      <c r="B48" s="27">
        <v>268.26</v>
      </c>
      <c r="C48" s="9" t="s">
        <v>7</v>
      </c>
      <c r="D48" s="1"/>
    </row>
    <row r="49" spans="1:5" ht="13.5" thickBot="1" x14ac:dyDescent="0.25">
      <c r="A49" s="28">
        <v>35.57</v>
      </c>
      <c r="B49" s="29">
        <v>268.26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1.1200000000000001</v>
      </c>
      <c r="D50" s="1"/>
    </row>
    <row r="51" spans="1:5" ht="16.5" thickBot="1" x14ac:dyDescent="0.3">
      <c r="A51" s="10" t="s">
        <v>11</v>
      </c>
      <c r="B51" s="4"/>
      <c r="C51" s="18">
        <f>B44</f>
        <v>263.78199999999998</v>
      </c>
      <c r="D51" s="1"/>
    </row>
    <row r="52" spans="1:5" ht="20.25" customHeight="1" thickBot="1" x14ac:dyDescent="0.3">
      <c r="A52" s="10" t="s">
        <v>14</v>
      </c>
      <c r="C52" s="31">
        <f>B3</f>
        <v>269.33999999999997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58"/>
  <sheetViews>
    <sheetView zoomScale="75" workbookViewId="0">
      <selection activeCell="C50" sqref="C5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269.33999999999997</v>
      </c>
      <c r="C3" s="39" t="s">
        <v>17</v>
      </c>
      <c r="D3" s="179"/>
    </row>
    <row r="4" spans="1:20" x14ac:dyDescent="0.2">
      <c r="A4" s="40">
        <v>0</v>
      </c>
      <c r="B4" s="41">
        <v>276.64999999999998</v>
      </c>
      <c r="C4" s="42" t="s">
        <v>4</v>
      </c>
      <c r="D4" s="179"/>
    </row>
    <row r="5" spans="1:20" x14ac:dyDescent="0.2">
      <c r="A5" s="43">
        <v>0</v>
      </c>
      <c r="B5" s="44">
        <v>269.20999999999998</v>
      </c>
      <c r="C5" s="50"/>
      <c r="D5" s="179"/>
    </row>
    <row r="6" spans="1:20" x14ac:dyDescent="0.2">
      <c r="A6" s="43">
        <v>3.5</v>
      </c>
      <c r="B6" s="44">
        <v>269.26</v>
      </c>
      <c r="C6" s="42"/>
      <c r="D6" s="179"/>
    </row>
    <row r="7" spans="1:20" x14ac:dyDescent="0.2">
      <c r="A7" s="43">
        <v>3.5</v>
      </c>
      <c r="B7" s="44">
        <v>268.17</v>
      </c>
      <c r="C7" s="42"/>
      <c r="D7" s="179"/>
    </row>
    <row r="8" spans="1:20" x14ac:dyDescent="0.2">
      <c r="A8" s="43">
        <v>4</v>
      </c>
      <c r="B8" s="44">
        <v>267.88</v>
      </c>
      <c r="C8" s="45"/>
      <c r="D8" s="179"/>
    </row>
    <row r="9" spans="1:20" x14ac:dyDescent="0.2">
      <c r="A9" s="16">
        <v>5.5</v>
      </c>
      <c r="B9" s="46">
        <v>265.70999999999998</v>
      </c>
      <c r="C9" s="42" t="s">
        <v>9</v>
      </c>
      <c r="D9" s="179"/>
    </row>
    <row r="10" spans="1:20" x14ac:dyDescent="0.2">
      <c r="A10" s="43">
        <v>5.5</v>
      </c>
      <c r="B10" s="44">
        <v>263.77</v>
      </c>
      <c r="C10" s="50"/>
      <c r="D10" s="179"/>
    </row>
    <row r="11" spans="1:20" x14ac:dyDescent="0.2">
      <c r="A11" s="43">
        <v>6.5</v>
      </c>
      <c r="B11" s="44">
        <v>263.70999999999998</v>
      </c>
      <c r="C11" s="45"/>
      <c r="D11" s="179"/>
    </row>
    <row r="12" spans="1:20" x14ac:dyDescent="0.2">
      <c r="A12" s="43">
        <v>8</v>
      </c>
      <c r="B12" s="44">
        <v>263.70999999999998</v>
      </c>
      <c r="C12" s="42"/>
      <c r="D12" s="179"/>
    </row>
    <row r="13" spans="1:20" x14ac:dyDescent="0.2">
      <c r="A13" s="43">
        <v>9.5</v>
      </c>
      <c r="B13" s="44">
        <v>263.58</v>
      </c>
      <c r="C13" s="42"/>
      <c r="D13" s="179"/>
    </row>
    <row r="14" spans="1:20" x14ac:dyDescent="0.2">
      <c r="A14" s="43">
        <v>11</v>
      </c>
      <c r="B14" s="44">
        <v>263.51</v>
      </c>
      <c r="C14" s="42"/>
      <c r="D14" s="179"/>
    </row>
    <row r="15" spans="1:20" x14ac:dyDescent="0.2">
      <c r="A15" s="43">
        <v>12.5</v>
      </c>
      <c r="B15" s="44">
        <v>263.35000000000002</v>
      </c>
      <c r="C15" s="42"/>
      <c r="D15" s="179"/>
    </row>
    <row r="16" spans="1:20" x14ac:dyDescent="0.2">
      <c r="A16" s="43">
        <v>14</v>
      </c>
      <c r="B16" s="44">
        <v>263.39</v>
      </c>
      <c r="C16" s="42"/>
      <c r="D16" s="179"/>
    </row>
    <row r="17" spans="1:4" x14ac:dyDescent="0.2">
      <c r="A17" s="43">
        <v>15.5</v>
      </c>
      <c r="B17" s="44">
        <v>263.45999999999998</v>
      </c>
      <c r="C17" s="42"/>
      <c r="D17" s="179"/>
    </row>
    <row r="18" spans="1:4" x14ac:dyDescent="0.2">
      <c r="A18" s="43">
        <v>17</v>
      </c>
      <c r="B18" s="44">
        <v>263.61</v>
      </c>
      <c r="C18" s="42"/>
      <c r="D18" s="179"/>
    </row>
    <row r="19" spans="1:4" x14ac:dyDescent="0.2">
      <c r="A19" s="43">
        <v>18.5</v>
      </c>
      <c r="B19" s="44">
        <v>263.49</v>
      </c>
      <c r="C19" s="42"/>
      <c r="D19" s="179"/>
    </row>
    <row r="20" spans="1:4" x14ac:dyDescent="0.2">
      <c r="A20" s="43">
        <v>20</v>
      </c>
      <c r="B20" s="44">
        <v>263.63</v>
      </c>
      <c r="C20" s="42"/>
      <c r="D20" s="179"/>
    </row>
    <row r="21" spans="1:4" x14ac:dyDescent="0.2">
      <c r="A21" s="43">
        <v>21.5</v>
      </c>
      <c r="B21" s="44">
        <v>263.77999999999997</v>
      </c>
      <c r="C21" s="42"/>
      <c r="D21" s="179"/>
    </row>
    <row r="22" spans="1:4" x14ac:dyDescent="0.2">
      <c r="A22" s="43">
        <v>23</v>
      </c>
      <c r="B22" s="44">
        <v>263.95999999999998</v>
      </c>
      <c r="C22" s="42"/>
      <c r="D22" s="179"/>
    </row>
    <row r="23" spans="1:4" x14ac:dyDescent="0.2">
      <c r="A23" s="43">
        <v>24.5</v>
      </c>
      <c r="B23" s="44">
        <v>264.14</v>
      </c>
      <c r="C23" s="50"/>
      <c r="D23" s="179"/>
    </row>
    <row r="24" spans="1:4" x14ac:dyDescent="0.2">
      <c r="A24" s="43">
        <v>26</v>
      </c>
      <c r="B24" s="44">
        <v>264.27999999999997</v>
      </c>
      <c r="C24" s="45"/>
      <c r="D24" s="179"/>
    </row>
    <row r="25" spans="1:4" x14ac:dyDescent="0.2">
      <c r="A25" s="43">
        <v>27.5</v>
      </c>
      <c r="B25" s="44">
        <v>264.39</v>
      </c>
      <c r="C25" s="42"/>
      <c r="D25" s="179"/>
    </row>
    <row r="26" spans="1:4" s="7" customFormat="1" x14ac:dyDescent="0.2">
      <c r="A26" s="43">
        <v>29</v>
      </c>
      <c r="B26" s="44">
        <v>264.36</v>
      </c>
      <c r="C26" s="56"/>
      <c r="D26" s="179"/>
    </row>
    <row r="27" spans="1:4" x14ac:dyDescent="0.2">
      <c r="A27" s="43">
        <v>30.5</v>
      </c>
      <c r="B27" s="44">
        <v>264.61</v>
      </c>
      <c r="C27" s="42"/>
      <c r="D27" s="179"/>
    </row>
    <row r="28" spans="1:4" x14ac:dyDescent="0.2">
      <c r="A28" s="43">
        <v>34.5</v>
      </c>
      <c r="B28" s="44">
        <v>265.32</v>
      </c>
      <c r="C28" s="42"/>
      <c r="D28" s="179"/>
    </row>
    <row r="29" spans="1:4" x14ac:dyDescent="0.2">
      <c r="A29" s="16">
        <v>34.5</v>
      </c>
      <c r="B29" s="46">
        <v>265.70999999999998</v>
      </c>
      <c r="C29" s="42" t="s">
        <v>10</v>
      </c>
      <c r="D29" s="179"/>
    </row>
    <row r="30" spans="1:4" x14ac:dyDescent="0.2">
      <c r="A30" s="43">
        <v>34.5</v>
      </c>
      <c r="B30" s="44">
        <v>266.52999999999997</v>
      </c>
      <c r="C30" s="42"/>
      <c r="D30" s="179"/>
    </row>
    <row r="31" spans="1:4" x14ac:dyDescent="0.2">
      <c r="A31" s="43">
        <v>35.5</v>
      </c>
      <c r="B31" s="44">
        <v>266.56</v>
      </c>
      <c r="C31" s="42"/>
      <c r="D31" s="179"/>
    </row>
    <row r="32" spans="1:4" x14ac:dyDescent="0.2">
      <c r="A32" s="43">
        <v>35.5</v>
      </c>
      <c r="B32" s="44">
        <v>276.61</v>
      </c>
      <c r="C32" s="42" t="s">
        <v>5</v>
      </c>
      <c r="D32" s="179"/>
    </row>
    <row r="33" spans="1:4" x14ac:dyDescent="0.2">
      <c r="A33" s="43"/>
      <c r="B33" s="44"/>
      <c r="C33" s="42"/>
      <c r="D33" s="179"/>
    </row>
    <row r="34" spans="1:4" x14ac:dyDescent="0.2">
      <c r="A34" s="43"/>
      <c r="B34" s="44"/>
      <c r="C34" s="42"/>
      <c r="D34" s="179"/>
    </row>
    <row r="35" spans="1:4" x14ac:dyDescent="0.2">
      <c r="A35" s="43"/>
      <c r="B35" s="44"/>
      <c r="C35" s="42"/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5.5</v>
      </c>
      <c r="B42" s="19">
        <v>265.70999999999998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34.5</v>
      </c>
      <c r="B43" s="33">
        <v>265.70999999999998</v>
      </c>
      <c r="C43" s="17" t="s">
        <v>10</v>
      </c>
      <c r="D43" s="180"/>
    </row>
    <row r="44" spans="1:4" ht="20.100000000000001" customHeight="1" thickBot="1" x14ac:dyDescent="0.25">
      <c r="A44" s="34">
        <v>32.369999999999997</v>
      </c>
      <c r="B44" s="35">
        <v>264.73</v>
      </c>
      <c r="C44" s="21" t="s">
        <v>8</v>
      </c>
      <c r="D44" s="180"/>
    </row>
    <row r="45" spans="1:4" ht="20.100000000000001" customHeight="1" thickBot="1" x14ac:dyDescent="0.25">
      <c r="A45" s="20">
        <v>32.369999999999997</v>
      </c>
      <c r="B45" s="36">
        <v>266.73</v>
      </c>
      <c r="C45" s="22" t="s">
        <v>8</v>
      </c>
      <c r="D45" s="180"/>
    </row>
    <row r="46" spans="1:4" ht="20.100000000000001" customHeight="1" x14ac:dyDescent="0.2">
      <c r="A46" s="15">
        <v>32.42</v>
      </c>
      <c r="B46" s="19">
        <v>268.738</v>
      </c>
      <c r="C46" s="23" t="s">
        <v>2</v>
      </c>
      <c r="D46" s="180"/>
    </row>
    <row r="47" spans="1:4" ht="20.100000000000001" customHeight="1" thickBot="1" x14ac:dyDescent="0.25">
      <c r="A47" s="28">
        <v>32.42</v>
      </c>
      <c r="B47" s="33">
        <v>269.78399999999999</v>
      </c>
      <c r="C47" s="8" t="s">
        <v>2</v>
      </c>
      <c r="D47" s="180"/>
    </row>
    <row r="48" spans="1:4" ht="13.5" thickBot="1" x14ac:dyDescent="0.25">
      <c r="A48" s="15">
        <v>0</v>
      </c>
      <c r="B48" s="27">
        <v>268.26</v>
      </c>
      <c r="C48" s="9" t="s">
        <v>7</v>
      </c>
      <c r="D48" s="1"/>
    </row>
    <row r="49" spans="1:5" ht="13.5" thickBot="1" x14ac:dyDescent="0.25">
      <c r="A49" s="28">
        <v>35.57</v>
      </c>
      <c r="B49" s="29">
        <v>268.26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0.96</v>
      </c>
      <c r="D50" s="1"/>
    </row>
    <row r="51" spans="1:5" ht="16.5" thickBot="1" x14ac:dyDescent="0.3">
      <c r="A51" s="10" t="s">
        <v>11</v>
      </c>
      <c r="B51" s="4"/>
      <c r="C51" s="18">
        <f>B44</f>
        <v>264.73</v>
      </c>
      <c r="D51" s="1"/>
    </row>
    <row r="52" spans="1:5" ht="20.25" customHeight="1" thickBot="1" x14ac:dyDescent="0.3">
      <c r="A52" s="10" t="s">
        <v>14</v>
      </c>
      <c r="C52" s="31">
        <f>B3</f>
        <v>269.33999999999997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58"/>
  <sheetViews>
    <sheetView zoomScale="75" workbookViewId="0">
      <selection activeCell="C16" sqref="C16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270.93</v>
      </c>
      <c r="C4" s="42" t="s">
        <v>4</v>
      </c>
      <c r="D4" s="179"/>
    </row>
    <row r="5" spans="1:20" x14ac:dyDescent="0.2">
      <c r="A5" s="43">
        <v>0</v>
      </c>
      <c r="B5" s="44">
        <v>269.06</v>
      </c>
      <c r="C5" s="50"/>
      <c r="D5" s="179"/>
    </row>
    <row r="6" spans="1:20" x14ac:dyDescent="0.2">
      <c r="A6" s="43">
        <v>1</v>
      </c>
      <c r="B6" s="44">
        <v>269.06</v>
      </c>
      <c r="C6" s="42"/>
      <c r="D6" s="179"/>
    </row>
    <row r="7" spans="1:20" x14ac:dyDescent="0.2">
      <c r="A7" s="43">
        <v>4</v>
      </c>
      <c r="B7" s="44">
        <v>268.75</v>
      </c>
      <c r="C7" s="42"/>
      <c r="D7" s="179"/>
    </row>
    <row r="8" spans="1:20" x14ac:dyDescent="0.2">
      <c r="A8" s="16">
        <v>4</v>
      </c>
      <c r="B8" s="46">
        <v>266.08</v>
      </c>
      <c r="C8" s="45" t="s">
        <v>9</v>
      </c>
      <c r="D8" s="179"/>
    </row>
    <row r="9" spans="1:20" x14ac:dyDescent="0.2">
      <c r="A9" s="43">
        <v>4</v>
      </c>
      <c r="B9" s="44">
        <v>263.52</v>
      </c>
      <c r="C9" s="42"/>
      <c r="D9" s="179"/>
    </row>
    <row r="10" spans="1:20" x14ac:dyDescent="0.2">
      <c r="A10" s="43">
        <v>5</v>
      </c>
      <c r="B10" s="44">
        <v>263.43</v>
      </c>
      <c r="C10" s="50"/>
      <c r="D10" s="179"/>
    </row>
    <row r="11" spans="1:20" x14ac:dyDescent="0.2">
      <c r="A11" s="43">
        <v>7</v>
      </c>
      <c r="B11" s="44">
        <v>263.27999999999997</v>
      </c>
      <c r="C11" s="45"/>
      <c r="D11" s="179"/>
    </row>
    <row r="12" spans="1:20" x14ac:dyDescent="0.2">
      <c r="A12" s="43">
        <v>9</v>
      </c>
      <c r="B12" s="44">
        <v>263.13</v>
      </c>
      <c r="C12" s="42"/>
      <c r="D12" s="179"/>
    </row>
    <row r="13" spans="1:20" x14ac:dyDescent="0.2">
      <c r="A13" s="43">
        <v>10</v>
      </c>
      <c r="B13" s="44">
        <v>263.08999999999997</v>
      </c>
      <c r="C13" s="42"/>
      <c r="D13" s="179"/>
    </row>
    <row r="14" spans="1:20" x14ac:dyDescent="0.2">
      <c r="A14" s="43">
        <v>12</v>
      </c>
      <c r="B14" s="44">
        <v>263.02999999999997</v>
      </c>
      <c r="C14" s="42"/>
      <c r="D14" s="179"/>
    </row>
    <row r="15" spans="1:20" x14ac:dyDescent="0.2">
      <c r="A15" s="43">
        <v>14</v>
      </c>
      <c r="B15" s="44">
        <v>263.32</v>
      </c>
      <c r="C15" s="42"/>
      <c r="D15" s="179"/>
    </row>
    <row r="16" spans="1:20" x14ac:dyDescent="0.2">
      <c r="A16" s="43">
        <v>16</v>
      </c>
      <c r="B16" s="44">
        <v>263.58</v>
      </c>
      <c r="C16" s="42"/>
      <c r="D16" s="179"/>
    </row>
    <row r="17" spans="1:4" x14ac:dyDescent="0.2">
      <c r="A17" s="43">
        <v>18</v>
      </c>
      <c r="B17" s="44">
        <v>263.72000000000003</v>
      </c>
      <c r="C17" s="42"/>
      <c r="D17" s="179"/>
    </row>
    <row r="18" spans="1:4" x14ac:dyDescent="0.2">
      <c r="A18" s="43">
        <v>20</v>
      </c>
      <c r="B18" s="44">
        <v>263.93</v>
      </c>
      <c r="C18" s="42"/>
      <c r="D18" s="179"/>
    </row>
    <row r="19" spans="1:4" x14ac:dyDescent="0.2">
      <c r="A19" s="43">
        <v>22</v>
      </c>
      <c r="B19" s="44">
        <v>263.99</v>
      </c>
      <c r="C19" s="42"/>
      <c r="D19" s="179"/>
    </row>
    <row r="20" spans="1:4" x14ac:dyDescent="0.2">
      <c r="A20" s="43">
        <v>24</v>
      </c>
      <c r="B20" s="44">
        <v>264.02999999999997</v>
      </c>
      <c r="C20" s="42"/>
      <c r="D20" s="179"/>
    </row>
    <row r="21" spans="1:4" x14ac:dyDescent="0.2">
      <c r="A21" s="43">
        <v>26</v>
      </c>
      <c r="B21" s="44">
        <v>264.06</v>
      </c>
      <c r="C21" s="42"/>
      <c r="D21" s="179"/>
    </row>
    <row r="22" spans="1:4" x14ac:dyDescent="0.2">
      <c r="A22" s="43">
        <v>28</v>
      </c>
      <c r="B22" s="44">
        <v>264.13</v>
      </c>
      <c r="C22" s="42"/>
      <c r="D22" s="179"/>
    </row>
    <row r="23" spans="1:4" x14ac:dyDescent="0.2">
      <c r="A23" s="43">
        <v>30</v>
      </c>
      <c r="B23" s="44">
        <v>264.23</v>
      </c>
      <c r="C23" s="50"/>
      <c r="D23" s="179"/>
    </row>
    <row r="24" spans="1:4" x14ac:dyDescent="0.2">
      <c r="A24" s="43">
        <v>32</v>
      </c>
      <c r="B24" s="44">
        <v>265.23</v>
      </c>
      <c r="C24" s="45"/>
      <c r="D24" s="179"/>
    </row>
    <row r="25" spans="1:4" x14ac:dyDescent="0.2">
      <c r="A25" s="43">
        <v>32.5</v>
      </c>
      <c r="B25" s="44">
        <v>265.27999999999997</v>
      </c>
      <c r="C25" s="42"/>
      <c r="D25" s="179"/>
    </row>
    <row r="26" spans="1:4" s="7" customFormat="1" x14ac:dyDescent="0.2">
      <c r="A26" s="16">
        <v>32.5</v>
      </c>
      <c r="B26" s="46">
        <v>266.08</v>
      </c>
      <c r="C26" s="56" t="s">
        <v>10</v>
      </c>
      <c r="D26" s="179"/>
    </row>
    <row r="27" spans="1:4" x14ac:dyDescent="0.2">
      <c r="A27" s="43">
        <v>32.5</v>
      </c>
      <c r="B27" s="44">
        <v>266.41000000000003</v>
      </c>
      <c r="C27" s="42"/>
      <c r="D27" s="179"/>
    </row>
    <row r="28" spans="1:4" x14ac:dyDescent="0.2">
      <c r="A28" s="43">
        <v>33.5</v>
      </c>
      <c r="B28" s="44">
        <v>266.43</v>
      </c>
      <c r="C28" s="42"/>
      <c r="D28" s="179"/>
    </row>
    <row r="29" spans="1:4" x14ac:dyDescent="0.2">
      <c r="A29" s="43">
        <v>33.5</v>
      </c>
      <c r="B29" s="44">
        <v>270.95</v>
      </c>
      <c r="C29" s="42" t="s">
        <v>5</v>
      </c>
      <c r="D29" s="179"/>
    </row>
    <row r="30" spans="1:4" x14ac:dyDescent="0.2">
      <c r="A30" s="43"/>
      <c r="B30" s="44"/>
      <c r="C30" s="42"/>
      <c r="D30" s="179"/>
    </row>
    <row r="31" spans="1:4" x14ac:dyDescent="0.2">
      <c r="A31" s="16"/>
      <c r="B31" s="46"/>
      <c r="C31" s="42"/>
      <c r="D31" s="179"/>
    </row>
    <row r="32" spans="1:4" x14ac:dyDescent="0.2">
      <c r="A32" s="43"/>
      <c r="B32" s="44"/>
      <c r="C32" s="42"/>
      <c r="D32" s="179"/>
    </row>
    <row r="33" spans="1:4" x14ac:dyDescent="0.2">
      <c r="A33" s="43"/>
      <c r="B33" s="44"/>
      <c r="C33" s="42"/>
      <c r="D33" s="179"/>
    </row>
    <row r="34" spans="1:4" x14ac:dyDescent="0.2">
      <c r="A34" s="43"/>
      <c r="B34" s="44"/>
      <c r="C34" s="42"/>
      <c r="D34" s="179"/>
    </row>
    <row r="35" spans="1:4" x14ac:dyDescent="0.2">
      <c r="A35" s="43"/>
      <c r="B35" s="44"/>
      <c r="C35" s="42"/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4</v>
      </c>
      <c r="B42" s="19">
        <v>266.08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32.5</v>
      </c>
      <c r="B43" s="33">
        <v>266.08</v>
      </c>
      <c r="C43" s="17" t="s">
        <v>10</v>
      </c>
      <c r="D43" s="180"/>
    </row>
    <row r="44" spans="1:4" ht="20.100000000000001" customHeight="1" thickBot="1" x14ac:dyDescent="0.25">
      <c r="A44" s="34">
        <v>32.369999999999997</v>
      </c>
      <c r="B44" s="35">
        <v>264.73</v>
      </c>
      <c r="C44" s="21" t="s">
        <v>8</v>
      </c>
      <c r="D44" s="180"/>
    </row>
    <row r="45" spans="1:4" ht="20.100000000000001" customHeight="1" thickBot="1" x14ac:dyDescent="0.25">
      <c r="A45" s="20">
        <v>32.369999999999997</v>
      </c>
      <c r="B45" s="36">
        <v>266.73</v>
      </c>
      <c r="C45" s="22" t="s">
        <v>8</v>
      </c>
      <c r="D45" s="180"/>
    </row>
    <row r="46" spans="1:4" ht="20.100000000000001" customHeight="1" x14ac:dyDescent="0.2">
      <c r="A46" s="15">
        <v>32.42</v>
      </c>
      <c r="B46" s="19">
        <v>268.738</v>
      </c>
      <c r="C46" s="23" t="s">
        <v>2</v>
      </c>
      <c r="D46" s="180"/>
    </row>
    <row r="47" spans="1:4" ht="20.100000000000001" customHeight="1" thickBot="1" x14ac:dyDescent="0.25">
      <c r="A47" s="28">
        <v>32.42</v>
      </c>
      <c r="B47" s="33">
        <v>269.78399999999999</v>
      </c>
      <c r="C47" s="8" t="s">
        <v>2</v>
      </c>
      <c r="D47" s="180"/>
    </row>
    <row r="48" spans="1:4" ht="13.5" thickBot="1" x14ac:dyDescent="0.25">
      <c r="A48" s="15">
        <v>0</v>
      </c>
      <c r="B48" s="27">
        <v>268.26</v>
      </c>
      <c r="C48" s="9" t="s">
        <v>7</v>
      </c>
      <c r="D48" s="1"/>
    </row>
    <row r="49" spans="1:5" ht="13.5" thickBot="1" x14ac:dyDescent="0.25">
      <c r="A49" s="28">
        <v>35.57</v>
      </c>
      <c r="B49" s="29">
        <v>268.26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1.1200000000000001</v>
      </c>
      <c r="D50" s="1"/>
    </row>
    <row r="51" spans="1:5" ht="16.5" thickBot="1" x14ac:dyDescent="0.3">
      <c r="A51" s="10" t="s">
        <v>11</v>
      </c>
      <c r="B51" s="4"/>
      <c r="C51" s="18">
        <f>B44</f>
        <v>264.73</v>
      </c>
      <c r="D51" s="1"/>
    </row>
    <row r="52" spans="1:5" ht="20.25" customHeight="1" thickBot="1" x14ac:dyDescent="0.3">
      <c r="A52" s="10" t="s">
        <v>14</v>
      </c>
      <c r="C52" s="31">
        <f>B3</f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58"/>
  <sheetViews>
    <sheetView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276.67</v>
      </c>
      <c r="C4" s="42" t="s">
        <v>4</v>
      </c>
      <c r="D4" s="179"/>
    </row>
    <row r="5" spans="1:20" x14ac:dyDescent="0.2">
      <c r="A5" s="43">
        <v>0</v>
      </c>
      <c r="B5" s="44">
        <v>269.77</v>
      </c>
      <c r="C5" s="50"/>
      <c r="D5" s="179"/>
    </row>
    <row r="6" spans="1:20" x14ac:dyDescent="0.2">
      <c r="A6" s="43">
        <v>3.7</v>
      </c>
      <c r="B6" s="44">
        <v>269.85000000000002</v>
      </c>
      <c r="C6" s="42"/>
      <c r="D6" s="179"/>
    </row>
    <row r="7" spans="1:20" x14ac:dyDescent="0.2">
      <c r="A7" s="43">
        <v>3.7</v>
      </c>
      <c r="B7" s="44">
        <v>268.87</v>
      </c>
      <c r="C7" s="42"/>
      <c r="D7" s="179"/>
    </row>
    <row r="8" spans="1:20" x14ac:dyDescent="0.2">
      <c r="A8" s="43">
        <v>4.3</v>
      </c>
      <c r="B8" s="44">
        <v>267.74</v>
      </c>
      <c r="C8" s="45"/>
      <c r="D8" s="179"/>
    </row>
    <row r="9" spans="1:20" x14ac:dyDescent="0.2">
      <c r="A9" s="16">
        <v>5</v>
      </c>
      <c r="B9" s="46">
        <v>264.77999999999997</v>
      </c>
      <c r="C9" s="50" t="s">
        <v>9</v>
      </c>
      <c r="D9" s="179"/>
    </row>
    <row r="10" spans="1:20" x14ac:dyDescent="0.2">
      <c r="A10" s="43">
        <v>5</v>
      </c>
      <c r="B10" s="44">
        <v>263.08</v>
      </c>
      <c r="C10" s="50"/>
      <c r="D10" s="179"/>
    </row>
    <row r="11" spans="1:20" x14ac:dyDescent="0.2">
      <c r="A11" s="43">
        <v>6</v>
      </c>
      <c r="B11" s="44">
        <v>263.02999999999997</v>
      </c>
      <c r="C11" s="45"/>
      <c r="D11" s="179"/>
    </row>
    <row r="12" spans="1:20" x14ac:dyDescent="0.2">
      <c r="A12" s="43">
        <v>7.5</v>
      </c>
      <c r="B12" s="44">
        <v>262.83</v>
      </c>
      <c r="C12" s="42"/>
      <c r="D12" s="179"/>
    </row>
    <row r="13" spans="1:20" x14ac:dyDescent="0.2">
      <c r="A13" s="43">
        <v>9</v>
      </c>
      <c r="B13" s="44">
        <v>262.73</v>
      </c>
      <c r="C13" s="42"/>
      <c r="D13" s="179"/>
    </row>
    <row r="14" spans="1:20" x14ac:dyDescent="0.2">
      <c r="A14" s="43">
        <v>10.5</v>
      </c>
      <c r="B14" s="44">
        <v>262.58</v>
      </c>
      <c r="C14" s="42"/>
      <c r="D14" s="179"/>
    </row>
    <row r="15" spans="1:20" x14ac:dyDescent="0.2">
      <c r="A15" s="43">
        <v>12</v>
      </c>
      <c r="B15" s="44">
        <v>262.48</v>
      </c>
      <c r="C15" s="42"/>
      <c r="D15" s="179"/>
    </row>
    <row r="16" spans="1:20" x14ac:dyDescent="0.2">
      <c r="A16" s="43">
        <v>13.5</v>
      </c>
      <c r="B16" s="44">
        <v>262.58</v>
      </c>
      <c r="C16" s="42"/>
      <c r="D16" s="179"/>
    </row>
    <row r="17" spans="1:4" x14ac:dyDescent="0.2">
      <c r="A17" s="43">
        <v>15</v>
      </c>
      <c r="B17" s="44">
        <v>262.77999999999997</v>
      </c>
      <c r="C17" s="42"/>
      <c r="D17" s="179"/>
    </row>
    <row r="18" spans="1:4" x14ac:dyDescent="0.2">
      <c r="A18" s="43">
        <v>16.5</v>
      </c>
      <c r="B18" s="44">
        <v>262.88</v>
      </c>
      <c r="C18" s="42"/>
      <c r="D18" s="179"/>
    </row>
    <row r="19" spans="1:4" x14ac:dyDescent="0.2">
      <c r="A19" s="43">
        <v>18</v>
      </c>
      <c r="B19" s="44">
        <v>263.02999999999997</v>
      </c>
      <c r="C19" s="42"/>
      <c r="D19" s="179"/>
    </row>
    <row r="20" spans="1:4" x14ac:dyDescent="0.2">
      <c r="A20" s="43">
        <v>19.5</v>
      </c>
      <c r="B20" s="44">
        <v>263.27999999999997</v>
      </c>
      <c r="C20" s="42"/>
      <c r="D20" s="179"/>
    </row>
    <row r="21" spans="1:4" x14ac:dyDescent="0.2">
      <c r="A21" s="43">
        <v>21</v>
      </c>
      <c r="B21" s="44">
        <v>263.27999999999997</v>
      </c>
      <c r="C21" s="42"/>
      <c r="D21" s="179"/>
    </row>
    <row r="22" spans="1:4" x14ac:dyDescent="0.2">
      <c r="A22" s="43">
        <v>22.5</v>
      </c>
      <c r="B22" s="44">
        <v>263.43</v>
      </c>
      <c r="C22" s="42"/>
      <c r="D22" s="179"/>
    </row>
    <row r="23" spans="1:4" x14ac:dyDescent="0.2">
      <c r="A23" s="43">
        <v>24</v>
      </c>
      <c r="B23" s="44">
        <v>263.48</v>
      </c>
      <c r="C23" s="50"/>
      <c r="D23" s="179"/>
    </row>
    <row r="24" spans="1:4" x14ac:dyDescent="0.2">
      <c r="A24" s="43">
        <v>26</v>
      </c>
      <c r="B24" s="44">
        <v>263.68</v>
      </c>
      <c r="C24" s="45"/>
      <c r="D24" s="179"/>
    </row>
    <row r="25" spans="1:4" x14ac:dyDescent="0.2">
      <c r="A25" s="43">
        <v>28</v>
      </c>
      <c r="B25" s="44">
        <v>263.77999999999997</v>
      </c>
      <c r="C25" s="42"/>
      <c r="D25" s="179"/>
    </row>
    <row r="26" spans="1:4" s="7" customFormat="1" x14ac:dyDescent="0.2">
      <c r="A26" s="43">
        <v>30</v>
      </c>
      <c r="B26" s="44">
        <v>263.89999999999998</v>
      </c>
      <c r="C26" s="56"/>
      <c r="D26" s="179"/>
    </row>
    <row r="27" spans="1:4" x14ac:dyDescent="0.2">
      <c r="A27" s="43">
        <v>32</v>
      </c>
      <c r="B27" s="44">
        <v>263.89999999999998</v>
      </c>
      <c r="C27" s="42"/>
      <c r="D27" s="179"/>
    </row>
    <row r="28" spans="1:4" x14ac:dyDescent="0.2">
      <c r="A28" s="16">
        <v>34.200000000000003</v>
      </c>
      <c r="B28" s="46">
        <v>264.77999999999997</v>
      </c>
      <c r="C28" s="50" t="s">
        <v>10</v>
      </c>
      <c r="D28" s="179"/>
    </row>
    <row r="29" spans="1:4" x14ac:dyDescent="0.2">
      <c r="A29" s="43">
        <v>34.200000000000003</v>
      </c>
      <c r="B29" s="44">
        <v>265.68</v>
      </c>
      <c r="C29" s="42"/>
      <c r="D29" s="179"/>
    </row>
    <row r="30" spans="1:4" x14ac:dyDescent="0.2">
      <c r="A30" s="43">
        <v>35.5</v>
      </c>
      <c r="B30" s="44">
        <v>265.7</v>
      </c>
      <c r="C30" s="42"/>
      <c r="D30" s="179"/>
    </row>
    <row r="31" spans="1:4" x14ac:dyDescent="0.2">
      <c r="A31" s="43">
        <v>35.5</v>
      </c>
      <c r="B31" s="44">
        <v>276.67</v>
      </c>
      <c r="C31" s="42" t="s">
        <v>5</v>
      </c>
      <c r="D31" s="179"/>
    </row>
    <row r="32" spans="1:4" x14ac:dyDescent="0.2">
      <c r="A32" s="43"/>
      <c r="B32" s="44"/>
      <c r="C32" s="42"/>
      <c r="D32" s="179"/>
    </row>
    <row r="33" spans="1:4" x14ac:dyDescent="0.2">
      <c r="A33" s="43"/>
      <c r="B33" s="44"/>
      <c r="C33" s="42"/>
      <c r="D33" s="179"/>
    </row>
    <row r="34" spans="1:4" x14ac:dyDescent="0.2">
      <c r="A34" s="43"/>
      <c r="B34" s="44"/>
      <c r="C34" s="42"/>
      <c r="D34" s="179"/>
    </row>
    <row r="35" spans="1:4" x14ac:dyDescent="0.2">
      <c r="A35" s="43"/>
      <c r="B35" s="44"/>
      <c r="C35" s="42"/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5</v>
      </c>
      <c r="B42" s="19">
        <v>264.77999999999997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34.200000000000003</v>
      </c>
      <c r="B43" s="33">
        <v>264.77999999999997</v>
      </c>
      <c r="C43" s="17" t="s">
        <v>10</v>
      </c>
      <c r="D43" s="180"/>
    </row>
    <row r="44" spans="1:4" ht="20.100000000000001" customHeight="1" thickBot="1" x14ac:dyDescent="0.25">
      <c r="A44" s="34">
        <v>34</v>
      </c>
      <c r="B44" s="35">
        <v>263.77100000000002</v>
      </c>
      <c r="C44" s="21" t="s">
        <v>8</v>
      </c>
      <c r="D44" s="180"/>
    </row>
    <row r="45" spans="1:4" ht="20.100000000000001" customHeight="1" thickBot="1" x14ac:dyDescent="0.25">
      <c r="A45" s="20">
        <v>34</v>
      </c>
      <c r="B45" s="36">
        <v>265.77100000000002</v>
      </c>
      <c r="C45" s="22" t="s">
        <v>8</v>
      </c>
      <c r="D45" s="180"/>
    </row>
    <row r="46" spans="1:4" ht="20.100000000000001" customHeight="1" x14ac:dyDescent="0.2">
      <c r="A46" s="15">
        <v>34</v>
      </c>
      <c r="B46" s="19">
        <v>268.78800000000001</v>
      </c>
      <c r="C46" s="23" t="s">
        <v>2</v>
      </c>
      <c r="D46" s="180"/>
    </row>
    <row r="47" spans="1:4" ht="20.100000000000001" customHeight="1" thickBot="1" x14ac:dyDescent="0.25">
      <c r="A47" s="28">
        <v>34</v>
      </c>
      <c r="B47" s="33">
        <v>270.28800000000001</v>
      </c>
      <c r="C47" s="8" t="s">
        <v>2</v>
      </c>
      <c r="D47" s="180"/>
    </row>
    <row r="48" spans="1:4" ht="13.5" thickBot="1" x14ac:dyDescent="0.25">
      <c r="A48" s="15">
        <v>0</v>
      </c>
      <c r="B48" s="27">
        <v>276.67</v>
      </c>
      <c r="C48" s="9" t="s">
        <v>7</v>
      </c>
      <c r="D48" s="1"/>
    </row>
    <row r="49" spans="1:5" ht="13.5" thickBot="1" x14ac:dyDescent="0.25">
      <c r="A49" s="28">
        <v>35.57</v>
      </c>
      <c r="B49" s="29">
        <v>276.67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1</v>
      </c>
      <c r="D50" s="1"/>
    </row>
    <row r="51" spans="1:5" ht="16.5" thickBot="1" x14ac:dyDescent="0.3">
      <c r="A51" s="10" t="s">
        <v>11</v>
      </c>
      <c r="B51" s="4"/>
      <c r="C51" s="18">
        <f>B44</f>
        <v>263.77100000000002</v>
      </c>
      <c r="D51" s="1"/>
    </row>
    <row r="52" spans="1:5" ht="20.25" customHeight="1" thickBot="1" x14ac:dyDescent="0.3">
      <c r="A52" s="10" t="s">
        <v>14</v>
      </c>
      <c r="C52" s="31">
        <f>B3</f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58"/>
  <sheetViews>
    <sheetView topLeftCell="B7" zoomScale="75" workbookViewId="0">
      <selection activeCell="C18" sqref="C1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x14ac:dyDescent="0.3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x14ac:dyDescent="0.2">
      <c r="A2" s="61" t="s">
        <v>0</v>
      </c>
      <c r="B2" s="62" t="s">
        <v>1</v>
      </c>
      <c r="C2" s="61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">
      <c r="A3" s="63"/>
      <c r="B3" s="64">
        <v>270</v>
      </c>
      <c r="C3" s="65" t="s">
        <v>17</v>
      </c>
      <c r="D3" s="179"/>
    </row>
    <row r="4" spans="1:20" x14ac:dyDescent="0.2">
      <c r="A4" s="63">
        <v>0</v>
      </c>
      <c r="B4" s="66">
        <v>270.93</v>
      </c>
      <c r="C4" s="65" t="s">
        <v>4</v>
      </c>
      <c r="D4" s="179"/>
    </row>
    <row r="5" spans="1:20" x14ac:dyDescent="0.2">
      <c r="A5" s="67">
        <v>0</v>
      </c>
      <c r="B5" s="68">
        <v>269.02</v>
      </c>
      <c r="C5" s="69"/>
      <c r="D5" s="179"/>
    </row>
    <row r="6" spans="1:20" x14ac:dyDescent="0.2">
      <c r="A6" s="67">
        <v>1</v>
      </c>
      <c r="B6" s="68">
        <v>269.02</v>
      </c>
      <c r="C6" s="65"/>
      <c r="D6" s="179"/>
    </row>
    <row r="7" spans="1:20" x14ac:dyDescent="0.2">
      <c r="A7" s="67">
        <v>4</v>
      </c>
      <c r="B7" s="68">
        <v>268.93</v>
      </c>
      <c r="C7" s="65"/>
      <c r="D7" s="179"/>
    </row>
    <row r="8" spans="1:20" x14ac:dyDescent="0.2">
      <c r="A8" s="63">
        <v>4</v>
      </c>
      <c r="B8" s="66">
        <v>265.54000000000002</v>
      </c>
      <c r="C8" s="70" t="s">
        <v>9</v>
      </c>
      <c r="D8" s="179"/>
    </row>
    <row r="9" spans="1:20" x14ac:dyDescent="0.2">
      <c r="A9" s="67">
        <v>4</v>
      </c>
      <c r="B9" s="68">
        <v>264.19</v>
      </c>
      <c r="C9" s="71"/>
      <c r="D9" s="179"/>
    </row>
    <row r="10" spans="1:20" x14ac:dyDescent="0.2">
      <c r="A10" s="67">
        <v>8</v>
      </c>
      <c r="B10" s="68">
        <v>264.19</v>
      </c>
      <c r="C10" s="69"/>
      <c r="D10" s="179"/>
    </row>
    <row r="11" spans="1:20" x14ac:dyDescent="0.2">
      <c r="A11" s="67">
        <v>9</v>
      </c>
      <c r="B11" s="68">
        <v>263.97000000000003</v>
      </c>
      <c r="C11" s="72"/>
      <c r="D11" s="179"/>
    </row>
    <row r="12" spans="1:20" x14ac:dyDescent="0.2">
      <c r="A12" s="67">
        <v>11</v>
      </c>
      <c r="B12" s="68">
        <v>264.12</v>
      </c>
      <c r="C12" s="65"/>
      <c r="D12" s="179"/>
    </row>
    <row r="13" spans="1:20" x14ac:dyDescent="0.2">
      <c r="A13" s="67">
        <v>13</v>
      </c>
      <c r="B13" s="68">
        <v>264.06</v>
      </c>
      <c r="C13" s="65"/>
      <c r="D13" s="179"/>
    </row>
    <row r="14" spans="1:20" x14ac:dyDescent="0.2">
      <c r="A14" s="67">
        <v>15</v>
      </c>
      <c r="B14" s="68">
        <v>264.02999999999997</v>
      </c>
      <c r="C14" s="65"/>
      <c r="D14" s="179"/>
    </row>
    <row r="15" spans="1:20" x14ac:dyDescent="0.2">
      <c r="A15" s="67">
        <v>17</v>
      </c>
      <c r="B15" s="68">
        <v>264.19</v>
      </c>
      <c r="C15" s="65"/>
      <c r="D15" s="179"/>
    </row>
    <row r="16" spans="1:20" x14ac:dyDescent="0.2">
      <c r="A16" s="67">
        <v>19</v>
      </c>
      <c r="B16" s="68">
        <v>264.33999999999997</v>
      </c>
      <c r="C16" s="65"/>
      <c r="D16" s="179"/>
    </row>
    <row r="17" spans="1:4" x14ac:dyDescent="0.2">
      <c r="A17" s="67">
        <v>21</v>
      </c>
      <c r="B17" s="68">
        <v>264.45999999999998</v>
      </c>
      <c r="C17" s="65"/>
      <c r="D17" s="179"/>
    </row>
    <row r="18" spans="1:4" x14ac:dyDescent="0.2">
      <c r="A18" s="67">
        <v>23</v>
      </c>
      <c r="B18" s="68">
        <v>264.52</v>
      </c>
      <c r="C18" s="65"/>
      <c r="D18" s="179"/>
    </row>
    <row r="19" spans="1:4" x14ac:dyDescent="0.2">
      <c r="A19" s="67">
        <v>25</v>
      </c>
      <c r="B19" s="68">
        <v>264.61</v>
      </c>
      <c r="C19" s="65"/>
      <c r="D19" s="179"/>
    </row>
    <row r="20" spans="1:4" x14ac:dyDescent="0.2">
      <c r="A20" s="67">
        <v>27</v>
      </c>
      <c r="B20" s="68">
        <v>264.74</v>
      </c>
      <c r="C20" s="65"/>
      <c r="D20" s="179"/>
    </row>
    <row r="21" spans="1:4" x14ac:dyDescent="0.2">
      <c r="A21" s="67">
        <v>29</v>
      </c>
      <c r="B21" s="68">
        <v>264.89999999999998</v>
      </c>
      <c r="C21" s="65"/>
      <c r="D21" s="179"/>
    </row>
    <row r="22" spans="1:4" x14ac:dyDescent="0.2">
      <c r="A22" s="67">
        <v>31</v>
      </c>
      <c r="B22" s="68">
        <v>264.86</v>
      </c>
      <c r="C22" s="65"/>
      <c r="D22" s="179"/>
    </row>
    <row r="23" spans="1:4" x14ac:dyDescent="0.2">
      <c r="A23" s="67">
        <v>33</v>
      </c>
      <c r="B23" s="68">
        <v>264.89</v>
      </c>
      <c r="C23" s="69"/>
      <c r="D23" s="179"/>
    </row>
    <row r="24" spans="1:4" x14ac:dyDescent="0.2">
      <c r="A24" s="67">
        <v>35.4</v>
      </c>
      <c r="B24" s="68">
        <v>265.19</v>
      </c>
      <c r="C24" s="72"/>
      <c r="D24" s="179"/>
    </row>
    <row r="25" spans="1:4" x14ac:dyDescent="0.2">
      <c r="A25" s="63">
        <v>35.4</v>
      </c>
      <c r="B25" s="66">
        <v>265.54000000000002</v>
      </c>
      <c r="C25" s="70" t="s">
        <v>10</v>
      </c>
      <c r="D25" s="179"/>
    </row>
    <row r="26" spans="1:4" s="7" customFormat="1" x14ac:dyDescent="0.2">
      <c r="A26" s="67">
        <v>35.4</v>
      </c>
      <c r="B26" s="68">
        <v>266.39</v>
      </c>
      <c r="C26" s="73"/>
      <c r="D26" s="179"/>
    </row>
    <row r="27" spans="1:4" x14ac:dyDescent="0.2">
      <c r="A27" s="67">
        <v>36.700000000000003</v>
      </c>
      <c r="B27" s="68">
        <v>266.41000000000003</v>
      </c>
      <c r="C27" s="65"/>
      <c r="D27" s="179"/>
    </row>
    <row r="28" spans="1:4" x14ac:dyDescent="0.2">
      <c r="A28" s="63">
        <v>36.700000000000003</v>
      </c>
      <c r="B28" s="66">
        <v>270</v>
      </c>
      <c r="C28" s="65" t="s">
        <v>5</v>
      </c>
      <c r="D28" s="179"/>
    </row>
    <row r="29" spans="1:4" x14ac:dyDescent="0.2">
      <c r="A29" s="67"/>
      <c r="B29" s="68"/>
      <c r="C29" s="65"/>
      <c r="D29" s="179"/>
    </row>
    <row r="30" spans="1:4" x14ac:dyDescent="0.2">
      <c r="A30" s="67"/>
      <c r="B30" s="68"/>
      <c r="C30" s="65"/>
      <c r="D30" s="179"/>
    </row>
    <row r="31" spans="1:4" x14ac:dyDescent="0.2">
      <c r="A31" s="67"/>
      <c r="B31" s="68"/>
      <c r="C31" s="71"/>
      <c r="D31" s="179"/>
    </row>
    <row r="32" spans="1:4" x14ac:dyDescent="0.2">
      <c r="A32" s="67"/>
      <c r="B32" s="68"/>
      <c r="C32" s="65"/>
      <c r="D32" s="179"/>
    </row>
    <row r="33" spans="1:4" x14ac:dyDescent="0.2">
      <c r="A33" s="67"/>
      <c r="B33" s="68"/>
      <c r="C33" s="65"/>
      <c r="D33" s="179"/>
    </row>
    <row r="34" spans="1:4" x14ac:dyDescent="0.2">
      <c r="A34" s="67"/>
      <c r="B34" s="68"/>
      <c r="C34" s="65"/>
      <c r="D34" s="179"/>
    </row>
    <row r="35" spans="1:4" x14ac:dyDescent="0.2">
      <c r="A35" s="67"/>
      <c r="B35" s="68"/>
      <c r="C35" s="65"/>
      <c r="D35" s="179"/>
    </row>
    <row r="36" spans="1:4" x14ac:dyDescent="0.2">
      <c r="A36" s="67"/>
      <c r="B36" s="68"/>
      <c r="C36" s="65"/>
      <c r="D36" s="179"/>
    </row>
    <row r="37" spans="1:4" x14ac:dyDescent="0.2">
      <c r="A37" s="67"/>
      <c r="B37" s="68"/>
      <c r="C37" s="65"/>
      <c r="D37" s="179"/>
    </row>
    <row r="38" spans="1:4" x14ac:dyDescent="0.2">
      <c r="A38" s="67"/>
      <c r="B38" s="68"/>
      <c r="C38" s="65"/>
      <c r="D38" s="179"/>
    </row>
    <row r="39" spans="1:4" x14ac:dyDescent="0.2">
      <c r="A39" s="67"/>
      <c r="B39" s="68"/>
      <c r="C39" s="65"/>
      <c r="D39" s="179"/>
    </row>
    <row r="40" spans="1:4" x14ac:dyDescent="0.2">
      <c r="A40" s="67"/>
      <c r="B40" s="68"/>
      <c r="C40" s="68"/>
      <c r="D40" s="179"/>
    </row>
    <row r="41" spans="1:4" x14ac:dyDescent="0.2">
      <c r="A41" s="74"/>
      <c r="B41" s="75"/>
      <c r="C41" s="76"/>
      <c r="D41" s="179"/>
    </row>
    <row r="42" spans="1:4" ht="20.100000000000001" customHeight="1" x14ac:dyDescent="0.2">
      <c r="A42" s="63">
        <v>4</v>
      </c>
      <c r="B42" s="66">
        <v>265.54000000000002</v>
      </c>
      <c r="C42" s="60" t="s">
        <v>9</v>
      </c>
      <c r="D42" s="180" t="s">
        <v>6</v>
      </c>
    </row>
    <row r="43" spans="1:4" ht="20.100000000000001" customHeight="1" thickBot="1" x14ac:dyDescent="0.25">
      <c r="A43" s="63">
        <v>35.4</v>
      </c>
      <c r="B43" s="66">
        <v>265.54000000000002</v>
      </c>
      <c r="C43" s="59" t="s">
        <v>10</v>
      </c>
      <c r="D43" s="180"/>
    </row>
    <row r="44" spans="1:4" ht="20.100000000000001" customHeight="1" thickBot="1" x14ac:dyDescent="0.25">
      <c r="A44" s="34">
        <v>34</v>
      </c>
      <c r="B44" s="35">
        <v>264.73</v>
      </c>
      <c r="C44" s="21" t="s">
        <v>8</v>
      </c>
      <c r="D44" s="180"/>
    </row>
    <row r="45" spans="1:4" ht="20.100000000000001" customHeight="1" thickBot="1" x14ac:dyDescent="0.25">
      <c r="A45" s="20">
        <v>34</v>
      </c>
      <c r="B45" s="36">
        <v>266.73</v>
      </c>
      <c r="C45" s="22" t="s">
        <v>8</v>
      </c>
      <c r="D45" s="180"/>
    </row>
    <row r="46" spans="1:4" ht="20.100000000000001" customHeight="1" x14ac:dyDescent="0.2">
      <c r="A46" s="15">
        <v>34</v>
      </c>
      <c r="B46" s="19">
        <v>268.738</v>
      </c>
      <c r="C46" s="23" t="s">
        <v>2</v>
      </c>
      <c r="D46" s="180"/>
    </row>
    <row r="47" spans="1:4" ht="20.100000000000001" customHeight="1" thickBot="1" x14ac:dyDescent="0.25">
      <c r="A47" s="28">
        <v>34</v>
      </c>
      <c r="B47" s="33">
        <v>270.238</v>
      </c>
      <c r="C47" s="8" t="s">
        <v>2</v>
      </c>
      <c r="D47" s="180"/>
    </row>
    <row r="48" spans="1:4" ht="13.5" thickBot="1" x14ac:dyDescent="0.25">
      <c r="A48" s="63">
        <v>0</v>
      </c>
      <c r="B48" s="66">
        <v>270.93</v>
      </c>
      <c r="C48" s="57" t="s">
        <v>7</v>
      </c>
      <c r="D48" s="1"/>
    </row>
    <row r="49" spans="1:5" ht="13.5" thickBot="1" x14ac:dyDescent="0.25">
      <c r="A49" s="63">
        <v>36.700000000000003</v>
      </c>
      <c r="B49" s="66">
        <v>270</v>
      </c>
      <c r="C49" s="57" t="s">
        <v>7</v>
      </c>
      <c r="D49" s="1"/>
    </row>
    <row r="50" spans="1:5" ht="16.5" thickBot="1" x14ac:dyDescent="0.3">
      <c r="A50" s="24" t="s">
        <v>12</v>
      </c>
      <c r="B50" s="4"/>
      <c r="C50" s="58">
        <v>0.81</v>
      </c>
      <c r="D50" s="1"/>
    </row>
    <row r="51" spans="1:5" ht="16.5" thickBot="1" x14ac:dyDescent="0.3">
      <c r="A51" s="10" t="s">
        <v>11</v>
      </c>
      <c r="B51" s="4"/>
      <c r="C51" s="18">
        <f>B44</f>
        <v>264.73</v>
      </c>
      <c r="D51" s="1"/>
    </row>
    <row r="52" spans="1:5" ht="20.25" customHeight="1" thickBot="1" x14ac:dyDescent="0.3">
      <c r="A52" s="10" t="s">
        <v>14</v>
      </c>
      <c r="C52" s="31">
        <f>B3</f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T58"/>
  <sheetViews>
    <sheetView topLeftCell="A10" zoomScale="75" workbookViewId="0">
      <selection activeCell="B45" sqref="B4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270</v>
      </c>
      <c r="C3" s="39" t="s">
        <v>17</v>
      </c>
      <c r="D3" s="179"/>
    </row>
    <row r="4" spans="1:20" x14ac:dyDescent="0.2">
      <c r="A4" s="40">
        <v>0</v>
      </c>
      <c r="B4" s="41">
        <v>269.35000000000002</v>
      </c>
      <c r="C4" s="42"/>
      <c r="D4" s="179"/>
    </row>
    <row r="5" spans="1:20" x14ac:dyDescent="0.2">
      <c r="A5" s="43">
        <v>0</v>
      </c>
      <c r="B5" s="44">
        <v>269.27</v>
      </c>
      <c r="C5" s="50" t="s">
        <v>4</v>
      </c>
      <c r="D5" s="179"/>
    </row>
    <row r="6" spans="1:20" x14ac:dyDescent="0.2">
      <c r="A6" s="43">
        <v>3.5</v>
      </c>
      <c r="B6" s="44">
        <v>269.22000000000003</v>
      </c>
      <c r="C6" s="42"/>
      <c r="D6" s="179"/>
    </row>
    <row r="7" spans="1:20" x14ac:dyDescent="0.2">
      <c r="A7" s="43">
        <v>3.5</v>
      </c>
      <c r="B7" s="44">
        <v>268.20999999999998</v>
      </c>
      <c r="C7" s="42"/>
      <c r="D7" s="179"/>
    </row>
    <row r="8" spans="1:20" x14ac:dyDescent="0.2">
      <c r="A8" s="43">
        <v>4</v>
      </c>
      <c r="B8" s="44">
        <v>267.89</v>
      </c>
      <c r="C8" s="45"/>
      <c r="D8" s="179"/>
    </row>
    <row r="9" spans="1:20" x14ac:dyDescent="0.2">
      <c r="A9" s="43">
        <v>4</v>
      </c>
      <c r="B9" s="44">
        <v>268.76</v>
      </c>
      <c r="C9" s="50" t="s">
        <v>20</v>
      </c>
      <c r="D9" s="179"/>
    </row>
    <row r="10" spans="1:20" x14ac:dyDescent="0.2">
      <c r="A10" s="43">
        <v>4</v>
      </c>
      <c r="B10" s="44">
        <v>267.79000000000002</v>
      </c>
      <c r="C10" s="50" t="s">
        <v>21</v>
      </c>
      <c r="D10" s="179"/>
    </row>
    <row r="11" spans="1:20" x14ac:dyDescent="0.2">
      <c r="A11" s="43">
        <v>4</v>
      </c>
      <c r="B11" s="44">
        <v>267.74</v>
      </c>
      <c r="C11" s="45" t="s">
        <v>22</v>
      </c>
      <c r="D11" s="179"/>
    </row>
    <row r="12" spans="1:20" x14ac:dyDescent="0.2">
      <c r="A12" s="43">
        <v>4</v>
      </c>
      <c r="B12" s="44">
        <v>266.77</v>
      </c>
      <c r="C12" s="42" t="s">
        <v>23</v>
      </c>
      <c r="D12" s="179"/>
    </row>
    <row r="13" spans="1:20" x14ac:dyDescent="0.2">
      <c r="A13" s="16">
        <v>4</v>
      </c>
      <c r="B13" s="46">
        <v>265.02</v>
      </c>
      <c r="C13" s="42" t="s">
        <v>9</v>
      </c>
      <c r="D13" s="179"/>
    </row>
    <row r="14" spans="1:20" x14ac:dyDescent="0.2">
      <c r="A14" s="43">
        <v>4</v>
      </c>
      <c r="B14" s="44">
        <v>262.89999999999998</v>
      </c>
      <c r="C14" s="42"/>
      <c r="D14" s="179"/>
    </row>
    <row r="15" spans="1:20" x14ac:dyDescent="0.2">
      <c r="A15" s="43">
        <v>6</v>
      </c>
      <c r="B15" s="44">
        <v>262.83</v>
      </c>
      <c r="C15" s="42"/>
      <c r="D15" s="179"/>
    </row>
    <row r="16" spans="1:20" x14ac:dyDescent="0.2">
      <c r="A16" s="43">
        <v>8</v>
      </c>
      <c r="B16" s="44">
        <v>262.73</v>
      </c>
      <c r="C16" s="42"/>
      <c r="D16" s="179"/>
    </row>
    <row r="17" spans="1:4" x14ac:dyDescent="0.2">
      <c r="A17" s="43">
        <v>10</v>
      </c>
      <c r="B17" s="44">
        <v>262.61</v>
      </c>
      <c r="C17" s="42"/>
      <c r="D17" s="179"/>
    </row>
    <row r="18" spans="1:4" x14ac:dyDescent="0.2">
      <c r="A18" s="43">
        <v>12</v>
      </c>
      <c r="B18" s="44">
        <v>262.44</v>
      </c>
      <c r="C18" s="42"/>
      <c r="D18" s="179"/>
    </row>
    <row r="19" spans="1:4" x14ac:dyDescent="0.2">
      <c r="A19" s="43">
        <v>14</v>
      </c>
      <c r="B19" s="44">
        <v>262.39999999999998</v>
      </c>
      <c r="C19" s="42"/>
      <c r="D19" s="179"/>
    </row>
    <row r="20" spans="1:4" x14ac:dyDescent="0.2">
      <c r="A20" s="43">
        <v>16</v>
      </c>
      <c r="B20" s="44">
        <v>262.43</v>
      </c>
      <c r="C20" s="42"/>
      <c r="D20" s="179"/>
    </row>
    <row r="21" spans="1:4" x14ac:dyDescent="0.2">
      <c r="A21" s="43">
        <v>18</v>
      </c>
      <c r="B21" s="44">
        <v>262.69</v>
      </c>
      <c r="C21" s="42"/>
      <c r="D21" s="179"/>
    </row>
    <row r="22" spans="1:4" x14ac:dyDescent="0.2">
      <c r="A22" s="43">
        <v>20</v>
      </c>
      <c r="B22" s="44">
        <v>263.02</v>
      </c>
      <c r="C22" s="42"/>
      <c r="D22" s="179"/>
    </row>
    <row r="23" spans="1:4" x14ac:dyDescent="0.2">
      <c r="A23" s="43">
        <v>22</v>
      </c>
      <c r="B23" s="44">
        <v>263.16000000000003</v>
      </c>
      <c r="C23" s="50"/>
      <c r="D23" s="179"/>
    </row>
    <row r="24" spans="1:4" x14ac:dyDescent="0.2">
      <c r="A24" s="43">
        <v>24</v>
      </c>
      <c r="B24" s="44">
        <v>263.22000000000003</v>
      </c>
      <c r="C24" s="45"/>
      <c r="D24" s="179"/>
    </row>
    <row r="25" spans="1:4" x14ac:dyDescent="0.2">
      <c r="A25" s="43">
        <v>26</v>
      </c>
      <c r="B25" s="44">
        <v>263.33999999999997</v>
      </c>
      <c r="C25" s="42"/>
      <c r="D25" s="179"/>
    </row>
    <row r="26" spans="1:4" s="7" customFormat="1" x14ac:dyDescent="0.2">
      <c r="A26" s="43">
        <v>28</v>
      </c>
      <c r="B26" s="44">
        <v>263.35000000000002</v>
      </c>
      <c r="C26" s="56"/>
      <c r="D26" s="179"/>
    </row>
    <row r="27" spans="1:4" x14ac:dyDescent="0.2">
      <c r="A27" s="43">
        <v>30</v>
      </c>
      <c r="B27" s="44">
        <v>263.22000000000003</v>
      </c>
      <c r="C27" s="42"/>
      <c r="D27" s="179"/>
    </row>
    <row r="28" spans="1:4" x14ac:dyDescent="0.2">
      <c r="A28" s="43">
        <v>32</v>
      </c>
      <c r="B28" s="44">
        <v>263.29000000000002</v>
      </c>
      <c r="C28" s="50"/>
      <c r="D28" s="179"/>
    </row>
    <row r="29" spans="1:4" x14ac:dyDescent="0.2">
      <c r="A29" s="43">
        <v>34</v>
      </c>
      <c r="B29" s="44">
        <v>264.22000000000003</v>
      </c>
      <c r="C29" s="42"/>
      <c r="D29" s="179"/>
    </row>
    <row r="30" spans="1:4" x14ac:dyDescent="0.2">
      <c r="A30" s="43">
        <v>34.5</v>
      </c>
      <c r="B30" s="44">
        <v>264.32</v>
      </c>
      <c r="C30" s="42"/>
      <c r="D30" s="179"/>
    </row>
    <row r="31" spans="1:4" x14ac:dyDescent="0.2">
      <c r="A31" s="16">
        <v>34.5</v>
      </c>
      <c r="B31" s="46">
        <v>265.02</v>
      </c>
      <c r="C31" s="42" t="s">
        <v>10</v>
      </c>
      <c r="D31" s="179"/>
    </row>
    <row r="32" spans="1:4" x14ac:dyDescent="0.2">
      <c r="A32" s="43">
        <v>34.5</v>
      </c>
      <c r="B32" s="44">
        <v>266.39</v>
      </c>
      <c r="C32" s="42"/>
      <c r="D32" s="179"/>
    </row>
    <row r="33" spans="1:4" x14ac:dyDescent="0.2">
      <c r="A33" s="43">
        <v>36.700000000000003</v>
      </c>
      <c r="B33" s="44">
        <v>269.10000000000002</v>
      </c>
      <c r="C33" s="42"/>
      <c r="D33" s="179"/>
    </row>
    <row r="34" spans="1:4" x14ac:dyDescent="0.2">
      <c r="A34" s="43">
        <v>36.700000000000003</v>
      </c>
      <c r="B34" s="44">
        <v>269</v>
      </c>
      <c r="C34" s="42" t="s">
        <v>5</v>
      </c>
      <c r="D34" s="179"/>
    </row>
    <row r="35" spans="1:4" x14ac:dyDescent="0.2">
      <c r="A35" s="43">
        <v>36.700000000000003</v>
      </c>
      <c r="B35" s="44">
        <v>269.35000000000002</v>
      </c>
      <c r="C35" s="42" t="s">
        <v>24</v>
      </c>
      <c r="D35" s="179"/>
    </row>
    <row r="36" spans="1:4" x14ac:dyDescent="0.2">
      <c r="A36" s="43"/>
      <c r="B36" s="44"/>
      <c r="C36" s="42"/>
      <c r="D36" s="179"/>
    </row>
    <row r="37" spans="1:4" x14ac:dyDescent="0.2">
      <c r="A37" s="43"/>
      <c r="B37" s="44"/>
      <c r="C37" s="42"/>
      <c r="D37" s="179"/>
    </row>
    <row r="38" spans="1:4" x14ac:dyDescent="0.2">
      <c r="A38" s="43"/>
      <c r="B38" s="44"/>
      <c r="C38" s="42"/>
      <c r="D38" s="179"/>
    </row>
    <row r="39" spans="1:4" x14ac:dyDescent="0.2">
      <c r="A39" s="43"/>
      <c r="B39" s="44"/>
      <c r="C39" s="42"/>
      <c r="D39" s="179"/>
    </row>
    <row r="40" spans="1:4" x14ac:dyDescent="0.2">
      <c r="A40" s="43"/>
      <c r="B40" s="44"/>
      <c r="C40" s="47"/>
      <c r="D40" s="179"/>
    </row>
    <row r="41" spans="1:4" ht="13.5" thickBot="1" x14ac:dyDescent="0.25">
      <c r="A41" s="6"/>
      <c r="B41" s="13"/>
      <c r="C41" s="26"/>
      <c r="D41" s="179"/>
    </row>
    <row r="42" spans="1:4" ht="20.100000000000001" customHeight="1" x14ac:dyDescent="0.2">
      <c r="A42" s="15">
        <v>4</v>
      </c>
      <c r="B42" s="19">
        <v>265.02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34.5</v>
      </c>
      <c r="B43" s="33">
        <v>265.02</v>
      </c>
      <c r="C43" s="17" t="s">
        <v>10</v>
      </c>
      <c r="D43" s="180"/>
    </row>
    <row r="44" spans="1:4" ht="20.100000000000001" customHeight="1" thickBot="1" x14ac:dyDescent="0.25">
      <c r="A44" s="34">
        <v>34</v>
      </c>
      <c r="B44" s="35">
        <v>263.76499999999999</v>
      </c>
      <c r="C44" s="21" t="s">
        <v>8</v>
      </c>
      <c r="D44" s="180"/>
    </row>
    <row r="45" spans="1:4" ht="20.100000000000001" customHeight="1" thickBot="1" x14ac:dyDescent="0.25">
      <c r="A45" s="20">
        <v>34</v>
      </c>
      <c r="B45" s="36">
        <v>265.77100000000002</v>
      </c>
      <c r="C45" s="22" t="s">
        <v>8</v>
      </c>
      <c r="D45" s="180"/>
    </row>
    <row r="46" spans="1:4" ht="20.100000000000001" customHeight="1" x14ac:dyDescent="0.2">
      <c r="A46" s="15">
        <v>34</v>
      </c>
      <c r="B46" s="19">
        <v>268.78800000000001</v>
      </c>
      <c r="C46" s="23" t="s">
        <v>2</v>
      </c>
      <c r="D46" s="180"/>
    </row>
    <row r="47" spans="1:4" ht="20.100000000000001" customHeight="1" thickBot="1" x14ac:dyDescent="0.25">
      <c r="A47" s="28">
        <v>34</v>
      </c>
      <c r="B47" s="33">
        <v>270.28800000000001</v>
      </c>
      <c r="C47" s="8" t="s">
        <v>2</v>
      </c>
      <c r="D47" s="180"/>
    </row>
    <row r="48" spans="1:4" ht="13.5" thickBot="1" x14ac:dyDescent="0.25">
      <c r="A48" s="15">
        <v>0</v>
      </c>
      <c r="B48" s="27">
        <v>276.67</v>
      </c>
      <c r="C48" s="9" t="s">
        <v>7</v>
      </c>
      <c r="D48" s="1"/>
    </row>
    <row r="49" spans="1:5" ht="13.5" thickBot="1" x14ac:dyDescent="0.25">
      <c r="A49" s="28">
        <v>35.57</v>
      </c>
      <c r="B49" s="29">
        <v>276.67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1.25</v>
      </c>
      <c r="D50" s="1"/>
    </row>
    <row r="51" spans="1:5" ht="16.5" thickBot="1" x14ac:dyDescent="0.3">
      <c r="A51" s="10" t="s">
        <v>11</v>
      </c>
      <c r="B51" s="4"/>
      <c r="C51" s="18">
        <f>B44</f>
        <v>263.76499999999999</v>
      </c>
      <c r="D51" s="1"/>
    </row>
    <row r="52" spans="1:5" ht="20.25" customHeight="1" thickBot="1" x14ac:dyDescent="0.3">
      <c r="A52" s="10" t="s">
        <v>14</v>
      </c>
      <c r="C52" s="31">
        <f>B3</f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58"/>
  <sheetViews>
    <sheetView zoomScale="75" workbookViewId="0">
      <selection activeCell="C19" sqref="C1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269.34800000000001</v>
      </c>
      <c r="C3" s="39" t="s">
        <v>25</v>
      </c>
      <c r="D3" s="179"/>
    </row>
    <row r="4" spans="1:20" x14ac:dyDescent="0.2">
      <c r="A4" s="40">
        <v>0</v>
      </c>
      <c r="B4" s="41">
        <v>268.77</v>
      </c>
      <c r="C4" s="42" t="s">
        <v>26</v>
      </c>
      <c r="D4" s="179"/>
    </row>
    <row r="5" spans="1:20" x14ac:dyDescent="0.2">
      <c r="A5" s="43">
        <v>0</v>
      </c>
      <c r="B5" s="44">
        <v>267.8</v>
      </c>
      <c r="C5" s="50" t="s">
        <v>27</v>
      </c>
      <c r="D5" s="179"/>
    </row>
    <row r="6" spans="1:20" x14ac:dyDescent="0.2">
      <c r="A6" s="43">
        <v>0</v>
      </c>
      <c r="B6" s="44">
        <v>267.74</v>
      </c>
      <c r="C6" s="42" t="s">
        <v>28</v>
      </c>
      <c r="D6" s="179"/>
    </row>
    <row r="7" spans="1:20" x14ac:dyDescent="0.2">
      <c r="A7" s="43">
        <v>0</v>
      </c>
      <c r="B7" s="44">
        <v>266.75</v>
      </c>
      <c r="C7" s="42" t="s">
        <v>29</v>
      </c>
      <c r="D7" s="179"/>
    </row>
    <row r="8" spans="1:20" x14ac:dyDescent="0.2">
      <c r="A8" s="43">
        <v>0</v>
      </c>
      <c r="B8" s="44">
        <v>269.27</v>
      </c>
      <c r="C8" s="45" t="s">
        <v>4</v>
      </c>
      <c r="D8" s="179"/>
    </row>
    <row r="9" spans="1:20" x14ac:dyDescent="0.2">
      <c r="A9" s="43">
        <v>3.5</v>
      </c>
      <c r="B9" s="44">
        <v>269.23</v>
      </c>
      <c r="C9" s="50"/>
      <c r="D9" s="179"/>
    </row>
    <row r="10" spans="1:20" x14ac:dyDescent="0.2">
      <c r="A10" s="43">
        <v>3.5</v>
      </c>
      <c r="B10" s="44">
        <v>268.20999999999998</v>
      </c>
      <c r="C10" s="50"/>
      <c r="D10" s="179"/>
    </row>
    <row r="11" spans="1:20" x14ac:dyDescent="0.2">
      <c r="A11" s="43">
        <v>5</v>
      </c>
      <c r="B11" s="44">
        <v>267.89</v>
      </c>
      <c r="C11" s="45"/>
      <c r="D11" s="179"/>
    </row>
    <row r="12" spans="1:20" x14ac:dyDescent="0.2">
      <c r="A12" s="16">
        <v>5</v>
      </c>
      <c r="B12" s="46">
        <v>264.70999999999998</v>
      </c>
      <c r="C12" s="42" t="s">
        <v>9</v>
      </c>
      <c r="D12" s="179"/>
    </row>
    <row r="13" spans="1:20" x14ac:dyDescent="0.2">
      <c r="A13" s="43">
        <v>5</v>
      </c>
      <c r="B13" s="44">
        <v>261.60000000000002</v>
      </c>
      <c r="C13" s="42"/>
      <c r="D13" s="179"/>
    </row>
    <row r="14" spans="1:20" x14ac:dyDescent="0.2">
      <c r="A14" s="43">
        <v>6</v>
      </c>
      <c r="B14" s="44">
        <v>261.58999999999997</v>
      </c>
      <c r="C14" s="42"/>
      <c r="D14" s="179"/>
    </row>
    <row r="15" spans="1:20" x14ac:dyDescent="0.2">
      <c r="A15" s="43">
        <v>7.5</v>
      </c>
      <c r="B15" s="44">
        <v>261.42</v>
      </c>
      <c r="C15" s="42"/>
      <c r="D15" s="179"/>
    </row>
    <row r="16" spans="1:20" x14ac:dyDescent="0.2">
      <c r="A16" s="43">
        <v>9</v>
      </c>
      <c r="B16" s="44">
        <v>261.81</v>
      </c>
      <c r="C16" s="42"/>
      <c r="D16" s="179"/>
    </row>
    <row r="17" spans="1:4" x14ac:dyDescent="0.2">
      <c r="A17" s="43">
        <v>10.5</v>
      </c>
      <c r="B17" s="44">
        <v>261.95999999999998</v>
      </c>
      <c r="C17" s="42"/>
      <c r="D17" s="179"/>
    </row>
    <row r="18" spans="1:4" x14ac:dyDescent="0.2">
      <c r="A18" s="43">
        <v>12</v>
      </c>
      <c r="B18" s="44">
        <v>261.99</v>
      </c>
      <c r="C18" s="42"/>
      <c r="D18" s="179"/>
    </row>
    <row r="19" spans="1:4" x14ac:dyDescent="0.2">
      <c r="A19" s="43">
        <v>13.5</v>
      </c>
      <c r="B19" s="44">
        <v>262.3</v>
      </c>
      <c r="C19" s="42"/>
      <c r="D19" s="179"/>
    </row>
    <row r="20" spans="1:4" x14ac:dyDescent="0.2">
      <c r="A20" s="43">
        <v>15</v>
      </c>
      <c r="B20" s="44">
        <v>262.16000000000003</v>
      </c>
      <c r="C20" s="42"/>
      <c r="D20" s="179"/>
    </row>
    <row r="21" spans="1:4" x14ac:dyDescent="0.2">
      <c r="A21" s="43">
        <v>16.5</v>
      </c>
      <c r="B21" s="44">
        <v>262.19</v>
      </c>
      <c r="C21" s="42"/>
      <c r="D21" s="179"/>
    </row>
    <row r="22" spans="1:4" x14ac:dyDescent="0.2">
      <c r="A22" s="43">
        <v>18</v>
      </c>
      <c r="B22" s="44">
        <v>262.39999999999998</v>
      </c>
      <c r="C22" s="42"/>
      <c r="D22" s="179"/>
    </row>
    <row r="23" spans="1:4" x14ac:dyDescent="0.2">
      <c r="A23" s="43">
        <v>20</v>
      </c>
      <c r="B23" s="44">
        <v>262.55</v>
      </c>
      <c r="C23" s="50"/>
      <c r="D23" s="179"/>
    </row>
    <row r="24" spans="1:4" x14ac:dyDescent="0.2">
      <c r="A24" s="43">
        <v>22</v>
      </c>
      <c r="B24" s="44">
        <v>262.82</v>
      </c>
      <c r="C24" s="45"/>
      <c r="D24" s="179"/>
    </row>
    <row r="25" spans="1:4" x14ac:dyDescent="0.2">
      <c r="A25" s="43">
        <v>24</v>
      </c>
      <c r="B25" s="44">
        <v>262.85000000000002</v>
      </c>
      <c r="C25" s="42"/>
      <c r="D25" s="179"/>
    </row>
    <row r="26" spans="1:4" s="7" customFormat="1" x14ac:dyDescent="0.2">
      <c r="A26" s="43">
        <v>26</v>
      </c>
      <c r="B26" s="44">
        <v>263.06</v>
      </c>
      <c r="C26" s="56"/>
      <c r="D26" s="179"/>
    </row>
    <row r="27" spans="1:4" x14ac:dyDescent="0.2">
      <c r="A27" s="43">
        <v>28</v>
      </c>
      <c r="B27" s="44">
        <v>263.20999999999998</v>
      </c>
      <c r="C27" s="42"/>
      <c r="D27" s="179"/>
    </row>
    <row r="28" spans="1:4" x14ac:dyDescent="0.2">
      <c r="A28" s="43">
        <v>30</v>
      </c>
      <c r="B28" s="44">
        <v>263.36</v>
      </c>
      <c r="C28" s="50"/>
      <c r="D28" s="179"/>
    </row>
    <row r="29" spans="1:4" x14ac:dyDescent="0.2">
      <c r="A29" s="43">
        <v>32</v>
      </c>
      <c r="B29" s="44">
        <v>263.49</v>
      </c>
      <c r="C29" s="42"/>
      <c r="D29" s="179"/>
    </row>
    <row r="30" spans="1:4" x14ac:dyDescent="0.2">
      <c r="A30" s="43">
        <v>34.5</v>
      </c>
      <c r="B30" s="44">
        <v>264.31</v>
      </c>
      <c r="C30" s="42"/>
      <c r="D30" s="179"/>
    </row>
    <row r="31" spans="1:4" x14ac:dyDescent="0.2">
      <c r="A31" s="16">
        <v>34.5</v>
      </c>
      <c r="B31" s="46">
        <v>264.70999999999998</v>
      </c>
      <c r="C31" s="42" t="s">
        <v>10</v>
      </c>
      <c r="D31" s="179"/>
    </row>
    <row r="32" spans="1:4" x14ac:dyDescent="0.2">
      <c r="A32" s="43">
        <v>34.5</v>
      </c>
      <c r="B32" s="44">
        <v>266.39</v>
      </c>
      <c r="C32" s="42"/>
      <c r="D32" s="179"/>
    </row>
    <row r="33" spans="1:4" x14ac:dyDescent="0.2">
      <c r="A33" s="43">
        <v>36.700000000000003</v>
      </c>
      <c r="B33" s="44">
        <v>266.27</v>
      </c>
      <c r="C33" s="42"/>
      <c r="D33" s="179"/>
    </row>
    <row r="34" spans="1:4" x14ac:dyDescent="0.2">
      <c r="A34" s="43">
        <v>36.700000000000003</v>
      </c>
      <c r="B34" s="44">
        <v>269</v>
      </c>
      <c r="C34" s="42" t="s">
        <v>5</v>
      </c>
      <c r="D34" s="179"/>
    </row>
    <row r="35" spans="1:4" x14ac:dyDescent="0.2">
      <c r="A35" s="43" t="s">
        <v>30</v>
      </c>
      <c r="B35" s="44" t="s">
        <v>30</v>
      </c>
      <c r="C35" s="42"/>
      <c r="D35" s="179"/>
    </row>
    <row r="36" spans="1:4" x14ac:dyDescent="0.2">
      <c r="A36" s="43" t="s">
        <v>30</v>
      </c>
      <c r="B36" s="44" t="s">
        <v>30</v>
      </c>
      <c r="C36" s="42"/>
      <c r="D36" s="179"/>
    </row>
    <row r="37" spans="1:4" x14ac:dyDescent="0.2">
      <c r="A37" s="43" t="s">
        <v>30</v>
      </c>
      <c r="B37" s="44" t="s">
        <v>30</v>
      </c>
      <c r="C37" s="42"/>
      <c r="D37" s="179"/>
    </row>
    <row r="38" spans="1:4" x14ac:dyDescent="0.2">
      <c r="A38" s="43" t="s">
        <v>30</v>
      </c>
      <c r="B38" s="44" t="s">
        <v>30</v>
      </c>
      <c r="C38" s="42" t="s">
        <v>30</v>
      </c>
      <c r="D38" s="179"/>
    </row>
    <row r="39" spans="1:4" x14ac:dyDescent="0.2">
      <c r="A39" s="43" t="s">
        <v>30</v>
      </c>
      <c r="B39" s="44" t="s">
        <v>30</v>
      </c>
      <c r="C39" s="42"/>
      <c r="D39" s="179"/>
    </row>
    <row r="40" spans="1:4" x14ac:dyDescent="0.2">
      <c r="A40" s="43" t="s">
        <v>30</v>
      </c>
      <c r="B40" s="44" t="s">
        <v>30</v>
      </c>
      <c r="C40" s="47"/>
      <c r="D40" s="179"/>
    </row>
    <row r="41" spans="1:4" ht="13.5" thickBot="1" x14ac:dyDescent="0.25">
      <c r="A41" s="6" t="s">
        <v>30</v>
      </c>
      <c r="B41" s="13" t="s">
        <v>30</v>
      </c>
      <c r="C41" s="26" t="s">
        <v>30</v>
      </c>
      <c r="D41" s="179"/>
    </row>
    <row r="42" spans="1:4" ht="20.100000000000001" customHeight="1" x14ac:dyDescent="0.2">
      <c r="A42" s="15">
        <v>5</v>
      </c>
      <c r="B42" s="19">
        <v>264.70999999999998</v>
      </c>
      <c r="C42" s="14" t="s">
        <v>9</v>
      </c>
      <c r="D42" s="180" t="s">
        <v>6</v>
      </c>
    </row>
    <row r="43" spans="1:4" ht="20.100000000000001" customHeight="1" thickBot="1" x14ac:dyDescent="0.25">
      <c r="A43" s="28">
        <v>34.5</v>
      </c>
      <c r="B43" s="33">
        <v>264.70999999999998</v>
      </c>
      <c r="C43" s="17" t="s">
        <v>10</v>
      </c>
      <c r="D43" s="180"/>
    </row>
    <row r="44" spans="1:4" ht="20.100000000000001" customHeight="1" thickBot="1" x14ac:dyDescent="0.25">
      <c r="A44" s="34">
        <v>34</v>
      </c>
      <c r="B44" s="35">
        <v>263.76499999999999</v>
      </c>
      <c r="C44" s="21" t="s">
        <v>8</v>
      </c>
      <c r="D44" s="180"/>
    </row>
    <row r="45" spans="1:4" ht="20.100000000000001" customHeight="1" thickBot="1" x14ac:dyDescent="0.25">
      <c r="A45" s="20">
        <v>34</v>
      </c>
      <c r="B45" s="36">
        <v>265.77100000000002</v>
      </c>
      <c r="C45" s="22" t="s">
        <v>8</v>
      </c>
      <c r="D45" s="180"/>
    </row>
    <row r="46" spans="1:4" ht="20.100000000000001" customHeight="1" x14ac:dyDescent="0.2">
      <c r="A46" s="15">
        <v>34</v>
      </c>
      <c r="B46" s="19">
        <v>268.78800000000001</v>
      </c>
      <c r="C46" s="23" t="s">
        <v>2</v>
      </c>
      <c r="D46" s="180"/>
    </row>
    <row r="47" spans="1:4" ht="20.100000000000001" customHeight="1" thickBot="1" x14ac:dyDescent="0.25">
      <c r="A47" s="28">
        <v>34</v>
      </c>
      <c r="B47" s="33">
        <v>270.28800000000001</v>
      </c>
      <c r="C47" s="8" t="s">
        <v>2</v>
      </c>
      <c r="D47" s="180"/>
    </row>
    <row r="48" spans="1:4" ht="13.5" thickBot="1" x14ac:dyDescent="0.25">
      <c r="A48" s="15">
        <v>0</v>
      </c>
      <c r="B48" s="27">
        <v>269.27</v>
      </c>
      <c r="C48" s="9" t="s">
        <v>7</v>
      </c>
      <c r="D48" s="1"/>
    </row>
    <row r="49" spans="1:5" ht="13.5" thickBot="1" x14ac:dyDescent="0.25">
      <c r="A49" s="28">
        <v>36.700000000000003</v>
      </c>
      <c r="B49" s="29">
        <v>269</v>
      </c>
      <c r="C49" s="9" t="s">
        <v>7</v>
      </c>
      <c r="D49" s="1"/>
    </row>
    <row r="50" spans="1:5" ht="16.5" thickBot="1" x14ac:dyDescent="0.3">
      <c r="A50" s="24" t="s">
        <v>12</v>
      </c>
      <c r="B50" s="4"/>
      <c r="C50" s="30">
        <v>0.97</v>
      </c>
      <c r="D50" s="1"/>
    </row>
    <row r="51" spans="1:5" ht="16.5" thickBot="1" x14ac:dyDescent="0.3">
      <c r="A51" s="10" t="s">
        <v>11</v>
      </c>
      <c r="B51" s="4"/>
      <c r="C51" s="18">
        <f>B44</f>
        <v>263.76499999999999</v>
      </c>
      <c r="D51" s="1"/>
    </row>
    <row r="52" spans="1:5" ht="20.25" customHeight="1" thickBot="1" x14ac:dyDescent="0.3">
      <c r="A52" s="10" t="s">
        <v>14</v>
      </c>
      <c r="C52" s="31">
        <v>270</v>
      </c>
      <c r="D52" s="1"/>
    </row>
    <row r="53" spans="1:5" ht="15.75" thickBot="1" x14ac:dyDescent="0.3">
      <c r="A53" s="24" t="s">
        <v>13</v>
      </c>
      <c r="C53" s="32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ht="18" x14ac:dyDescent="0.25">
      <c r="C58" s="51"/>
      <c r="D58" s="52"/>
      <c r="E58" s="52"/>
    </row>
  </sheetData>
  <mergeCells count="3">
    <mergeCell ref="A1:Q1"/>
    <mergeCell ref="D2:D41"/>
    <mergeCell ref="D42:D47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T57"/>
  <sheetViews>
    <sheetView topLeftCell="A19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269.34800000000001</v>
      </c>
      <c r="C3" s="39" t="s">
        <v>31</v>
      </c>
      <c r="D3" s="179"/>
    </row>
    <row r="4" spans="1:20" x14ac:dyDescent="0.2">
      <c r="A4" s="40">
        <v>0</v>
      </c>
      <c r="B4" s="41">
        <v>269.27</v>
      </c>
      <c r="C4" s="42" t="s">
        <v>4</v>
      </c>
      <c r="D4" s="179"/>
    </row>
    <row r="5" spans="1:20" x14ac:dyDescent="0.2">
      <c r="A5" s="43">
        <v>3.5</v>
      </c>
      <c r="B5" s="44">
        <v>269.20999999999998</v>
      </c>
      <c r="C5" s="50"/>
      <c r="D5" s="179"/>
    </row>
    <row r="6" spans="1:20" x14ac:dyDescent="0.2">
      <c r="A6" s="43">
        <v>3.5</v>
      </c>
      <c r="B6" s="44">
        <v>268.2</v>
      </c>
      <c r="C6" s="42"/>
      <c r="D6" s="179"/>
    </row>
    <row r="7" spans="1:20" x14ac:dyDescent="0.2">
      <c r="A7" s="43">
        <v>5</v>
      </c>
      <c r="B7" s="44">
        <v>267.87</v>
      </c>
      <c r="C7" s="42"/>
      <c r="D7" s="179"/>
    </row>
    <row r="8" spans="1:20" x14ac:dyDescent="0.2">
      <c r="A8" s="43">
        <v>5</v>
      </c>
      <c r="B8" s="44">
        <v>267.8</v>
      </c>
      <c r="C8" s="50" t="s">
        <v>32</v>
      </c>
      <c r="D8" s="179"/>
    </row>
    <row r="9" spans="1:20" x14ac:dyDescent="0.2">
      <c r="A9" s="43">
        <v>5</v>
      </c>
      <c r="B9" s="44">
        <v>267.74</v>
      </c>
      <c r="C9" s="50" t="s">
        <v>22</v>
      </c>
      <c r="D9" s="179"/>
    </row>
    <row r="10" spans="1:20" x14ac:dyDescent="0.2">
      <c r="A10" s="43">
        <v>5</v>
      </c>
      <c r="B10" s="44">
        <v>266.75</v>
      </c>
      <c r="C10" s="45" t="s">
        <v>23</v>
      </c>
      <c r="D10" s="179"/>
    </row>
    <row r="11" spans="1:20" x14ac:dyDescent="0.2">
      <c r="A11" s="43">
        <v>5</v>
      </c>
      <c r="B11" s="44">
        <v>264.89999999999998</v>
      </c>
      <c r="C11" s="42" t="s">
        <v>9</v>
      </c>
      <c r="D11" s="179"/>
    </row>
    <row r="12" spans="1:20" x14ac:dyDescent="0.2">
      <c r="A12" s="16">
        <v>5</v>
      </c>
      <c r="B12" s="46">
        <v>261.60000000000002</v>
      </c>
      <c r="C12" s="42"/>
      <c r="D12" s="179"/>
    </row>
    <row r="13" spans="1:20" x14ac:dyDescent="0.2">
      <c r="A13" s="43">
        <v>6</v>
      </c>
      <c r="B13" s="44">
        <v>261.58999999999997</v>
      </c>
      <c r="C13" s="42"/>
      <c r="D13" s="179"/>
    </row>
    <row r="14" spans="1:20" x14ac:dyDescent="0.2">
      <c r="A14" s="43">
        <v>7.5</v>
      </c>
      <c r="B14" s="44">
        <v>261.42</v>
      </c>
      <c r="C14" s="42"/>
      <c r="D14" s="179"/>
    </row>
    <row r="15" spans="1:20" x14ac:dyDescent="0.2">
      <c r="A15" s="43">
        <v>9</v>
      </c>
      <c r="B15" s="44">
        <v>261.81</v>
      </c>
      <c r="C15" s="42"/>
      <c r="D15" s="179"/>
    </row>
    <row r="16" spans="1:20" x14ac:dyDescent="0.2">
      <c r="A16" s="43">
        <v>10.5</v>
      </c>
      <c r="B16" s="44">
        <v>261.95999999999998</v>
      </c>
      <c r="C16" s="42"/>
      <c r="D16" s="179"/>
    </row>
    <row r="17" spans="1:4" x14ac:dyDescent="0.2">
      <c r="A17" s="43">
        <v>12</v>
      </c>
      <c r="B17" s="44">
        <v>261.99</v>
      </c>
      <c r="C17" s="42"/>
      <c r="D17" s="179"/>
    </row>
    <row r="18" spans="1:4" x14ac:dyDescent="0.2">
      <c r="A18" s="43">
        <v>13.5</v>
      </c>
      <c r="B18" s="44">
        <v>262.3</v>
      </c>
      <c r="C18" s="42"/>
      <c r="D18" s="179"/>
    </row>
    <row r="19" spans="1:4" x14ac:dyDescent="0.2">
      <c r="A19" s="43">
        <v>15</v>
      </c>
      <c r="B19" s="44">
        <v>262.16000000000003</v>
      </c>
      <c r="C19" s="42"/>
      <c r="D19" s="179"/>
    </row>
    <row r="20" spans="1:4" x14ac:dyDescent="0.2">
      <c r="A20" s="43">
        <v>16.5</v>
      </c>
      <c r="B20" s="44">
        <v>262.19</v>
      </c>
      <c r="C20" s="42"/>
      <c r="D20" s="179"/>
    </row>
    <row r="21" spans="1:4" x14ac:dyDescent="0.2">
      <c r="A21" s="43">
        <v>18</v>
      </c>
      <c r="B21" s="44">
        <v>262.39999999999998</v>
      </c>
      <c r="C21" s="42"/>
      <c r="D21" s="179"/>
    </row>
    <row r="22" spans="1:4" x14ac:dyDescent="0.2">
      <c r="A22" s="43">
        <v>20</v>
      </c>
      <c r="B22" s="44">
        <v>262.55</v>
      </c>
      <c r="C22" s="50"/>
      <c r="D22" s="179"/>
    </row>
    <row r="23" spans="1:4" x14ac:dyDescent="0.2">
      <c r="A23" s="43">
        <v>22</v>
      </c>
      <c r="B23" s="44">
        <v>262.81</v>
      </c>
      <c r="C23" s="45"/>
      <c r="D23" s="179"/>
    </row>
    <row r="24" spans="1:4" x14ac:dyDescent="0.2">
      <c r="A24" s="43">
        <v>24</v>
      </c>
      <c r="B24" s="44">
        <v>262.83</v>
      </c>
      <c r="C24" s="42"/>
      <c r="D24" s="179"/>
    </row>
    <row r="25" spans="1:4" s="7" customFormat="1" x14ac:dyDescent="0.2">
      <c r="A25" s="43">
        <v>26</v>
      </c>
      <c r="B25" s="44">
        <v>263.06</v>
      </c>
      <c r="C25" s="56"/>
      <c r="D25" s="179"/>
    </row>
    <row r="26" spans="1:4" x14ac:dyDescent="0.2">
      <c r="A26" s="43">
        <v>28</v>
      </c>
      <c r="B26" s="44">
        <v>263.20999999999998</v>
      </c>
      <c r="C26" s="42"/>
      <c r="D26" s="179"/>
    </row>
    <row r="27" spans="1:4" x14ac:dyDescent="0.2">
      <c r="A27" s="43">
        <v>30</v>
      </c>
      <c r="B27" s="44">
        <v>263.36</v>
      </c>
      <c r="C27" s="50"/>
      <c r="D27" s="179"/>
    </row>
    <row r="28" spans="1:4" x14ac:dyDescent="0.2">
      <c r="A28" s="43">
        <v>32</v>
      </c>
      <c r="B28" s="44">
        <v>263.51</v>
      </c>
      <c r="C28" s="42"/>
      <c r="D28" s="179"/>
    </row>
    <row r="29" spans="1:4" x14ac:dyDescent="0.2">
      <c r="A29" s="43">
        <v>34.5</v>
      </c>
      <c r="B29" s="44">
        <v>264.29000000000002</v>
      </c>
      <c r="C29" s="42"/>
      <c r="D29" s="179"/>
    </row>
    <row r="30" spans="1:4" x14ac:dyDescent="0.2">
      <c r="A30" s="16">
        <v>34.5</v>
      </c>
      <c r="B30" s="46">
        <v>264.89999999999998</v>
      </c>
      <c r="C30" s="42" t="s">
        <v>10</v>
      </c>
      <c r="D30" s="179"/>
    </row>
    <row r="31" spans="1:4" x14ac:dyDescent="0.2">
      <c r="A31" s="43">
        <v>34.5</v>
      </c>
      <c r="B31" s="44">
        <v>266.39</v>
      </c>
      <c r="C31" s="42"/>
      <c r="D31" s="179"/>
    </row>
    <row r="32" spans="1:4" x14ac:dyDescent="0.2">
      <c r="A32" s="43">
        <v>36.700000000000003</v>
      </c>
      <c r="B32" s="44">
        <v>269</v>
      </c>
      <c r="C32" s="42" t="s">
        <v>5</v>
      </c>
      <c r="D32" s="179"/>
    </row>
    <row r="33" spans="1:4" x14ac:dyDescent="0.2">
      <c r="A33" s="43">
        <v>36.700000000000003</v>
      </c>
      <c r="B33" s="44">
        <v>269.35000000000002</v>
      </c>
      <c r="C33" s="42" t="s">
        <v>19</v>
      </c>
      <c r="D33" s="179"/>
    </row>
    <row r="34" spans="1:4" x14ac:dyDescent="0.2">
      <c r="A34" s="43" t="s">
        <v>30</v>
      </c>
      <c r="B34" s="44" t="s">
        <v>30</v>
      </c>
      <c r="C34" s="42"/>
      <c r="D34" s="179"/>
    </row>
    <row r="35" spans="1:4" x14ac:dyDescent="0.2">
      <c r="A35" s="43" t="s">
        <v>30</v>
      </c>
      <c r="B35" s="44" t="s">
        <v>30</v>
      </c>
      <c r="C35" s="42"/>
      <c r="D35" s="179"/>
    </row>
    <row r="36" spans="1:4" x14ac:dyDescent="0.2">
      <c r="A36" s="43" t="s">
        <v>30</v>
      </c>
      <c r="B36" s="44" t="s">
        <v>30</v>
      </c>
      <c r="C36" s="42"/>
      <c r="D36" s="179"/>
    </row>
    <row r="37" spans="1:4" x14ac:dyDescent="0.2">
      <c r="A37" s="43" t="s">
        <v>30</v>
      </c>
      <c r="B37" s="44" t="s">
        <v>30</v>
      </c>
      <c r="C37" s="42" t="s">
        <v>30</v>
      </c>
      <c r="D37" s="179"/>
    </row>
    <row r="38" spans="1:4" x14ac:dyDescent="0.2">
      <c r="A38" s="43" t="s">
        <v>30</v>
      </c>
      <c r="B38" s="44" t="s">
        <v>30</v>
      </c>
      <c r="C38" s="42"/>
      <c r="D38" s="179"/>
    </row>
    <row r="39" spans="1:4" x14ac:dyDescent="0.2">
      <c r="A39" s="43" t="s">
        <v>30</v>
      </c>
      <c r="B39" s="44" t="s">
        <v>30</v>
      </c>
      <c r="C39" s="47"/>
      <c r="D39" s="179"/>
    </row>
    <row r="40" spans="1:4" ht="13.5" thickBot="1" x14ac:dyDescent="0.25">
      <c r="A40" s="6" t="s">
        <v>30</v>
      </c>
      <c r="B40" s="13" t="s">
        <v>30</v>
      </c>
      <c r="C40" s="26" t="s">
        <v>30</v>
      </c>
      <c r="D40" s="179"/>
    </row>
    <row r="41" spans="1:4" ht="20.100000000000001" customHeight="1" x14ac:dyDescent="0.2">
      <c r="A41" s="15">
        <v>5</v>
      </c>
      <c r="B41" s="19">
        <v>264.89999999999998</v>
      </c>
      <c r="C41" s="14" t="s">
        <v>9</v>
      </c>
      <c r="D41" s="180" t="s">
        <v>6</v>
      </c>
    </row>
    <row r="42" spans="1:4" ht="20.100000000000001" customHeight="1" thickBot="1" x14ac:dyDescent="0.25">
      <c r="A42" s="28">
        <v>34.5</v>
      </c>
      <c r="B42" s="33">
        <v>264.89999999999998</v>
      </c>
      <c r="C42" s="17" t="s">
        <v>10</v>
      </c>
      <c r="D42" s="180"/>
    </row>
    <row r="43" spans="1:4" ht="20.100000000000001" customHeight="1" thickBot="1" x14ac:dyDescent="0.25">
      <c r="A43" s="34">
        <v>34</v>
      </c>
      <c r="B43" s="35">
        <v>263.76499999999999</v>
      </c>
      <c r="C43" s="21" t="s">
        <v>8</v>
      </c>
      <c r="D43" s="180"/>
    </row>
    <row r="44" spans="1:4" ht="20.100000000000001" customHeight="1" thickBot="1" x14ac:dyDescent="0.25">
      <c r="A44" s="20">
        <v>34</v>
      </c>
      <c r="B44" s="36">
        <v>265.77100000000002</v>
      </c>
      <c r="C44" s="22" t="s">
        <v>8</v>
      </c>
      <c r="D44" s="180"/>
    </row>
    <row r="45" spans="1:4" ht="20.100000000000001" customHeight="1" x14ac:dyDescent="0.2">
      <c r="A45" s="15">
        <v>34</v>
      </c>
      <c r="B45" s="19">
        <v>268.78800000000001</v>
      </c>
      <c r="C45" s="23" t="s">
        <v>2</v>
      </c>
      <c r="D45" s="180"/>
    </row>
    <row r="46" spans="1:4" ht="20.100000000000001" customHeight="1" thickBot="1" x14ac:dyDescent="0.25">
      <c r="A46" s="28">
        <v>34</v>
      </c>
      <c r="B46" s="33">
        <v>270.28800000000001</v>
      </c>
      <c r="C46" s="8" t="s">
        <v>2</v>
      </c>
      <c r="D46" s="180"/>
    </row>
    <row r="47" spans="1:4" ht="13.5" thickBot="1" x14ac:dyDescent="0.25">
      <c r="A47" s="15">
        <v>0</v>
      </c>
      <c r="B47" s="27">
        <v>269.27</v>
      </c>
      <c r="C47" s="9" t="s">
        <v>7</v>
      </c>
      <c r="D47" s="1"/>
    </row>
    <row r="48" spans="1:4" ht="13.5" thickBot="1" x14ac:dyDescent="0.25">
      <c r="A48" s="28">
        <v>36.700000000000003</v>
      </c>
      <c r="B48" s="29">
        <v>269</v>
      </c>
      <c r="C48" s="9" t="s">
        <v>7</v>
      </c>
      <c r="D48" s="1"/>
    </row>
    <row r="49" spans="1:5" ht="16.5" thickBot="1" x14ac:dyDescent="0.3">
      <c r="A49" s="24" t="s">
        <v>12</v>
      </c>
      <c r="B49" s="4"/>
      <c r="C49" s="30">
        <v>1.1299999999999999</v>
      </c>
      <c r="D49" s="1"/>
    </row>
    <row r="50" spans="1:5" ht="16.5" thickBot="1" x14ac:dyDescent="0.3">
      <c r="A50" s="10" t="s">
        <v>11</v>
      </c>
      <c r="B50" s="4"/>
      <c r="C50" s="18">
        <f>B43</f>
        <v>263.76499999999999</v>
      </c>
      <c r="D50" s="1"/>
    </row>
    <row r="51" spans="1:5" ht="20.25" customHeight="1" thickBot="1" x14ac:dyDescent="0.3">
      <c r="A51" s="10" t="s">
        <v>14</v>
      </c>
      <c r="C51" s="31">
        <v>270</v>
      </c>
      <c r="D51" s="1"/>
    </row>
    <row r="52" spans="1:5" ht="15.75" thickBot="1" x14ac:dyDescent="0.3">
      <c r="A52" s="24" t="s">
        <v>13</v>
      </c>
      <c r="C52" s="32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ht="18" x14ac:dyDescent="0.25">
      <c r="C57" s="51"/>
      <c r="D57" s="52"/>
      <c r="E57" s="52"/>
    </row>
  </sheetData>
  <mergeCells count="3">
    <mergeCell ref="A1:Q1"/>
    <mergeCell ref="D2:D40"/>
    <mergeCell ref="D41:D46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T57"/>
  <sheetViews>
    <sheetView zoomScale="75" workbookViewId="0">
      <selection activeCell="A49" sqref="A4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269.35000000000002</v>
      </c>
      <c r="C3" s="39" t="s">
        <v>17</v>
      </c>
      <c r="D3" s="179"/>
    </row>
    <row r="4" spans="1:20" x14ac:dyDescent="0.2">
      <c r="A4" s="40">
        <v>0</v>
      </c>
      <c r="B4" s="41">
        <v>277.23</v>
      </c>
      <c r="C4" s="42" t="s">
        <v>4</v>
      </c>
      <c r="D4" s="179"/>
    </row>
    <row r="5" spans="1:20" x14ac:dyDescent="0.2">
      <c r="A5" s="43">
        <v>0</v>
      </c>
      <c r="B5" s="44">
        <v>269.23</v>
      </c>
      <c r="C5" s="50"/>
      <c r="D5" s="179"/>
    </row>
    <row r="6" spans="1:20" x14ac:dyDescent="0.2">
      <c r="A6" s="43">
        <v>3</v>
      </c>
      <c r="B6" s="44">
        <v>269.26</v>
      </c>
      <c r="C6" s="42"/>
      <c r="D6" s="179"/>
    </row>
    <row r="7" spans="1:20" x14ac:dyDescent="0.2">
      <c r="A7" s="43">
        <v>3</v>
      </c>
      <c r="B7" s="44">
        <v>268.2</v>
      </c>
      <c r="C7" s="42"/>
      <c r="D7" s="179"/>
    </row>
    <row r="8" spans="1:20" x14ac:dyDescent="0.2">
      <c r="A8" s="43">
        <v>3.5</v>
      </c>
      <c r="B8" s="44">
        <v>268.2</v>
      </c>
      <c r="C8" s="50"/>
      <c r="D8" s="179"/>
    </row>
    <row r="9" spans="1:20" x14ac:dyDescent="0.2">
      <c r="A9" s="16">
        <v>3.5</v>
      </c>
      <c r="B9" s="46">
        <v>264.92</v>
      </c>
      <c r="C9" s="45" t="s">
        <v>9</v>
      </c>
      <c r="D9" s="179"/>
    </row>
    <row r="10" spans="1:20" x14ac:dyDescent="0.2">
      <c r="A10" s="43">
        <v>3.5</v>
      </c>
      <c r="B10" s="44">
        <v>262.12</v>
      </c>
      <c r="C10" s="45"/>
      <c r="D10" s="179"/>
    </row>
    <row r="11" spans="1:20" x14ac:dyDescent="0.2">
      <c r="A11" s="43">
        <v>4</v>
      </c>
      <c r="B11" s="44">
        <v>262.08</v>
      </c>
      <c r="C11" s="42"/>
      <c r="D11" s="179"/>
    </row>
    <row r="12" spans="1:20" x14ac:dyDescent="0.2">
      <c r="A12" s="43">
        <v>5.5</v>
      </c>
      <c r="B12" s="44">
        <v>262.17</v>
      </c>
      <c r="C12" s="42"/>
      <c r="D12" s="179"/>
    </row>
    <row r="13" spans="1:20" x14ac:dyDescent="0.2">
      <c r="A13" s="43">
        <v>7</v>
      </c>
      <c r="B13" s="44">
        <v>262.11</v>
      </c>
      <c r="C13" s="42"/>
      <c r="D13" s="179"/>
    </row>
    <row r="14" spans="1:20" x14ac:dyDescent="0.2">
      <c r="A14" s="43">
        <v>8.5</v>
      </c>
      <c r="B14" s="44">
        <v>262.08</v>
      </c>
      <c r="C14" s="42"/>
      <c r="D14" s="179"/>
    </row>
    <row r="15" spans="1:20" x14ac:dyDescent="0.2">
      <c r="A15" s="43">
        <v>10</v>
      </c>
      <c r="B15" s="44">
        <v>261.95999999999998</v>
      </c>
      <c r="C15" s="42"/>
      <c r="D15" s="179"/>
    </row>
    <row r="16" spans="1:20" x14ac:dyDescent="0.2">
      <c r="A16" s="43">
        <v>11.5</v>
      </c>
      <c r="B16" s="44">
        <v>261.89999999999998</v>
      </c>
      <c r="C16" s="42"/>
      <c r="D16" s="179"/>
    </row>
    <row r="17" spans="1:4" x14ac:dyDescent="0.2">
      <c r="A17" s="43">
        <v>13</v>
      </c>
      <c r="B17" s="44">
        <v>261.81</v>
      </c>
      <c r="C17" s="42"/>
      <c r="D17" s="179"/>
    </row>
    <row r="18" spans="1:4" x14ac:dyDescent="0.2">
      <c r="A18" s="43">
        <v>14.5</v>
      </c>
      <c r="B18" s="44">
        <v>262.02</v>
      </c>
      <c r="C18" s="42"/>
      <c r="D18" s="179"/>
    </row>
    <row r="19" spans="1:4" x14ac:dyDescent="0.2">
      <c r="A19" s="43">
        <v>16</v>
      </c>
      <c r="B19" s="44">
        <v>262.17</v>
      </c>
      <c r="C19" s="42"/>
      <c r="D19" s="179"/>
    </row>
    <row r="20" spans="1:4" x14ac:dyDescent="0.2">
      <c r="A20" s="43">
        <v>17.5</v>
      </c>
      <c r="B20" s="44">
        <v>262.32</v>
      </c>
      <c r="C20" s="42"/>
      <c r="D20" s="179"/>
    </row>
    <row r="21" spans="1:4" x14ac:dyDescent="0.2">
      <c r="A21" s="43">
        <v>19</v>
      </c>
      <c r="B21" s="44">
        <v>262.56</v>
      </c>
      <c r="C21" s="42"/>
      <c r="D21" s="179"/>
    </row>
    <row r="22" spans="1:4" x14ac:dyDescent="0.2">
      <c r="A22" s="43">
        <v>21</v>
      </c>
      <c r="B22" s="44">
        <v>262.86</v>
      </c>
      <c r="C22" s="50"/>
      <c r="D22" s="179"/>
    </row>
    <row r="23" spans="1:4" x14ac:dyDescent="0.2">
      <c r="A23" s="43">
        <v>23</v>
      </c>
      <c r="B23" s="44">
        <v>263.01</v>
      </c>
      <c r="C23" s="45"/>
      <c r="D23" s="179"/>
    </row>
    <row r="24" spans="1:4" x14ac:dyDescent="0.2">
      <c r="A24" s="43">
        <v>25</v>
      </c>
      <c r="B24" s="44">
        <v>263.16000000000003</v>
      </c>
      <c r="C24" s="42"/>
      <c r="D24" s="179"/>
    </row>
    <row r="25" spans="1:4" s="7" customFormat="1" x14ac:dyDescent="0.2">
      <c r="A25" s="43">
        <v>27</v>
      </c>
      <c r="B25" s="44">
        <v>263.22000000000003</v>
      </c>
      <c r="C25" s="56"/>
      <c r="D25" s="179"/>
    </row>
    <row r="26" spans="1:4" x14ac:dyDescent="0.2">
      <c r="A26" s="43">
        <v>29</v>
      </c>
      <c r="B26" s="44">
        <v>263.19</v>
      </c>
      <c r="C26" s="42"/>
      <c r="D26" s="179"/>
    </row>
    <row r="27" spans="1:4" x14ac:dyDescent="0.2">
      <c r="A27" s="43">
        <v>33.5</v>
      </c>
      <c r="B27" s="44">
        <v>264.64999999999998</v>
      </c>
      <c r="C27" s="50"/>
      <c r="D27" s="179"/>
    </row>
    <row r="28" spans="1:4" x14ac:dyDescent="0.2">
      <c r="A28" s="16">
        <v>33.5</v>
      </c>
      <c r="B28" s="46">
        <v>264.92</v>
      </c>
      <c r="C28" s="45" t="s">
        <v>10</v>
      </c>
      <c r="D28" s="179"/>
    </row>
    <row r="29" spans="1:4" x14ac:dyDescent="0.2">
      <c r="A29" s="43">
        <v>33.5</v>
      </c>
      <c r="B29" s="44">
        <v>266.39999999999998</v>
      </c>
      <c r="C29" s="42"/>
      <c r="D29" s="179"/>
    </row>
    <row r="30" spans="1:4" x14ac:dyDescent="0.2">
      <c r="A30" s="43">
        <v>34.5</v>
      </c>
      <c r="B30" s="44">
        <v>266.39</v>
      </c>
      <c r="C30" s="42"/>
      <c r="D30" s="179"/>
    </row>
    <row r="31" spans="1:4" x14ac:dyDescent="0.2">
      <c r="A31" s="43">
        <v>34.5</v>
      </c>
      <c r="B31" s="44">
        <v>277.23</v>
      </c>
      <c r="C31" s="42" t="s">
        <v>5</v>
      </c>
      <c r="D31" s="179"/>
    </row>
    <row r="32" spans="1:4" x14ac:dyDescent="0.2">
      <c r="A32" s="43"/>
      <c r="B32" s="44"/>
      <c r="C32" s="42"/>
      <c r="D32" s="179"/>
    </row>
    <row r="33" spans="1:4" x14ac:dyDescent="0.2">
      <c r="A33" s="43"/>
      <c r="B33" s="44"/>
      <c r="C33" s="42"/>
      <c r="D33" s="179"/>
    </row>
    <row r="34" spans="1:4" x14ac:dyDescent="0.2">
      <c r="A34" s="43" t="s">
        <v>30</v>
      </c>
      <c r="B34" s="44" t="s">
        <v>30</v>
      </c>
      <c r="C34" s="42"/>
      <c r="D34" s="179"/>
    </row>
    <row r="35" spans="1:4" x14ac:dyDescent="0.2">
      <c r="A35" s="43" t="s">
        <v>30</v>
      </c>
      <c r="B35" s="44" t="s">
        <v>30</v>
      </c>
      <c r="C35" s="42"/>
      <c r="D35" s="179"/>
    </row>
    <row r="36" spans="1:4" x14ac:dyDescent="0.2">
      <c r="A36" s="43" t="s">
        <v>30</v>
      </c>
      <c r="B36" s="44" t="s">
        <v>30</v>
      </c>
      <c r="C36" s="42"/>
      <c r="D36" s="179"/>
    </row>
    <row r="37" spans="1:4" x14ac:dyDescent="0.2">
      <c r="A37" s="43" t="s">
        <v>30</v>
      </c>
      <c r="B37" s="44" t="s">
        <v>30</v>
      </c>
      <c r="C37" s="42" t="s">
        <v>30</v>
      </c>
      <c r="D37" s="179"/>
    </row>
    <row r="38" spans="1:4" x14ac:dyDescent="0.2">
      <c r="A38" s="43" t="s">
        <v>30</v>
      </c>
      <c r="B38" s="44" t="s">
        <v>30</v>
      </c>
      <c r="C38" s="42"/>
      <c r="D38" s="179"/>
    </row>
    <row r="39" spans="1:4" x14ac:dyDescent="0.2">
      <c r="A39" s="43" t="s">
        <v>30</v>
      </c>
      <c r="B39" s="44" t="s">
        <v>30</v>
      </c>
      <c r="C39" s="47"/>
      <c r="D39" s="179"/>
    </row>
    <row r="40" spans="1:4" ht="13.5" thickBot="1" x14ac:dyDescent="0.25">
      <c r="A40" s="6" t="s">
        <v>30</v>
      </c>
      <c r="B40" s="13" t="s">
        <v>30</v>
      </c>
      <c r="C40" s="26" t="s">
        <v>30</v>
      </c>
      <c r="D40" s="179"/>
    </row>
    <row r="41" spans="1:4" ht="20.100000000000001" customHeight="1" x14ac:dyDescent="0.2">
      <c r="A41" s="15">
        <v>3.5</v>
      </c>
      <c r="B41" s="19">
        <v>264.92</v>
      </c>
      <c r="C41" s="14" t="s">
        <v>9</v>
      </c>
      <c r="D41" s="180" t="s">
        <v>6</v>
      </c>
    </row>
    <row r="42" spans="1:4" ht="20.100000000000001" customHeight="1" thickBot="1" x14ac:dyDescent="0.25">
      <c r="A42" s="28">
        <v>33.5</v>
      </c>
      <c r="B42" s="33">
        <v>264.92</v>
      </c>
      <c r="C42" s="17" t="s">
        <v>10</v>
      </c>
      <c r="D42" s="180"/>
    </row>
    <row r="43" spans="1:4" ht="20.100000000000001" customHeight="1" thickBot="1" x14ac:dyDescent="0.25">
      <c r="A43" s="34">
        <v>33</v>
      </c>
      <c r="B43" s="35">
        <v>263.74799999999999</v>
      </c>
      <c r="C43" s="21" t="s">
        <v>8</v>
      </c>
      <c r="D43" s="180"/>
    </row>
    <row r="44" spans="1:4" ht="20.100000000000001" customHeight="1" thickBot="1" x14ac:dyDescent="0.25">
      <c r="A44" s="20">
        <v>33</v>
      </c>
      <c r="B44" s="36">
        <v>265.74799999999999</v>
      </c>
      <c r="C44" s="22" t="s">
        <v>8</v>
      </c>
      <c r="D44" s="180"/>
    </row>
    <row r="45" spans="1:4" ht="20.100000000000001" customHeight="1" x14ac:dyDescent="0.2">
      <c r="A45" s="15">
        <v>34</v>
      </c>
      <c r="B45" s="19">
        <v>268.76499999999999</v>
      </c>
      <c r="C45" s="23" t="s">
        <v>2</v>
      </c>
      <c r="D45" s="180"/>
    </row>
    <row r="46" spans="1:4" ht="20.100000000000001" customHeight="1" thickBot="1" x14ac:dyDescent="0.25">
      <c r="A46" s="28">
        <v>34</v>
      </c>
      <c r="B46" s="33">
        <v>270.26499999999999</v>
      </c>
      <c r="C46" s="8" t="s">
        <v>2</v>
      </c>
      <c r="D46" s="180"/>
    </row>
    <row r="47" spans="1:4" ht="13.5" thickBot="1" x14ac:dyDescent="0.25">
      <c r="A47" s="15">
        <v>0</v>
      </c>
      <c r="B47" s="27">
        <v>277.23</v>
      </c>
      <c r="C47" s="9" t="s">
        <v>7</v>
      </c>
      <c r="D47" s="1"/>
    </row>
    <row r="48" spans="1:4" ht="13.5" thickBot="1" x14ac:dyDescent="0.25">
      <c r="A48" s="28">
        <v>34.5</v>
      </c>
      <c r="B48" s="29">
        <v>277.23</v>
      </c>
      <c r="C48" s="9" t="s">
        <v>7</v>
      </c>
      <c r="D48" s="1"/>
    </row>
    <row r="49" spans="1:5" ht="16.5" thickBot="1" x14ac:dyDescent="0.3">
      <c r="A49" s="24" t="s">
        <v>12</v>
      </c>
      <c r="B49" s="4"/>
      <c r="C49" s="30">
        <v>1.1200000000000001</v>
      </c>
      <c r="D49" s="1"/>
    </row>
    <row r="50" spans="1:5" ht="16.5" thickBot="1" x14ac:dyDescent="0.3">
      <c r="A50" s="10" t="s">
        <v>11</v>
      </c>
      <c r="B50" s="4"/>
      <c r="C50" s="18">
        <f>B43</f>
        <v>263.74799999999999</v>
      </c>
      <c r="D50" s="1"/>
    </row>
    <row r="51" spans="1:5" ht="20.25" customHeight="1" thickBot="1" x14ac:dyDescent="0.3">
      <c r="A51" s="10" t="s">
        <v>14</v>
      </c>
      <c r="C51" s="31">
        <f>B3</f>
        <v>269.35000000000002</v>
      </c>
      <c r="D51" s="1"/>
    </row>
    <row r="52" spans="1:5" ht="15.75" thickBot="1" x14ac:dyDescent="0.3">
      <c r="A52" s="24" t="s">
        <v>13</v>
      </c>
      <c r="C52" s="32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ht="18" x14ac:dyDescent="0.25">
      <c r="C57" s="51"/>
      <c r="D57" s="52"/>
      <c r="E57" s="52"/>
    </row>
  </sheetData>
  <mergeCells count="3">
    <mergeCell ref="A1:Q1"/>
    <mergeCell ref="D2:D40"/>
    <mergeCell ref="D41:D46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T57"/>
  <sheetViews>
    <sheetView topLeftCell="A10" zoomScale="75" workbookViewId="0">
      <selection activeCell="U46" sqref="U46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270.3</v>
      </c>
      <c r="C3" s="39" t="s">
        <v>17</v>
      </c>
      <c r="D3" s="179"/>
    </row>
    <row r="4" spans="1:20" x14ac:dyDescent="0.2">
      <c r="A4" s="40">
        <v>0</v>
      </c>
      <c r="B4" s="41">
        <v>278.2</v>
      </c>
      <c r="C4" s="42" t="s">
        <v>4</v>
      </c>
      <c r="D4" s="179"/>
    </row>
    <row r="5" spans="1:20" x14ac:dyDescent="0.2">
      <c r="A5" s="43">
        <v>0</v>
      </c>
      <c r="B5" s="44">
        <v>270.2</v>
      </c>
      <c r="C5" s="50"/>
      <c r="D5" s="179"/>
    </row>
    <row r="6" spans="1:20" x14ac:dyDescent="0.2">
      <c r="A6" s="43">
        <v>3.5</v>
      </c>
      <c r="B6" s="44">
        <v>270.18</v>
      </c>
      <c r="C6" s="42"/>
      <c r="D6" s="179"/>
    </row>
    <row r="7" spans="1:20" x14ac:dyDescent="0.2">
      <c r="A7" s="43">
        <v>3.5</v>
      </c>
      <c r="B7" s="44">
        <v>269.16000000000003</v>
      </c>
      <c r="C7" s="42"/>
      <c r="D7" s="179"/>
    </row>
    <row r="8" spans="1:20" x14ac:dyDescent="0.2">
      <c r="A8" s="43">
        <v>4.5</v>
      </c>
      <c r="B8" s="44">
        <v>268.89</v>
      </c>
      <c r="C8" s="50"/>
      <c r="D8" s="179"/>
    </row>
    <row r="9" spans="1:20" x14ac:dyDescent="0.2">
      <c r="A9" s="16">
        <v>4.5</v>
      </c>
      <c r="B9" s="46">
        <v>266</v>
      </c>
      <c r="C9" s="45" t="s">
        <v>9</v>
      </c>
      <c r="D9" s="179"/>
    </row>
    <row r="10" spans="1:20" x14ac:dyDescent="0.2">
      <c r="A10" s="43">
        <v>4.5</v>
      </c>
      <c r="B10" s="44">
        <v>264</v>
      </c>
      <c r="C10" s="45"/>
      <c r="D10" s="179"/>
    </row>
    <row r="11" spans="1:20" x14ac:dyDescent="0.2">
      <c r="A11" s="43">
        <v>6</v>
      </c>
      <c r="B11" s="44">
        <v>263.99</v>
      </c>
      <c r="C11" s="42"/>
      <c r="D11" s="179"/>
    </row>
    <row r="12" spans="1:20" x14ac:dyDescent="0.2">
      <c r="A12" s="43">
        <v>7.5</v>
      </c>
      <c r="B12" s="44">
        <v>263.79000000000002</v>
      </c>
      <c r="C12" s="42"/>
      <c r="D12" s="179"/>
    </row>
    <row r="13" spans="1:20" x14ac:dyDescent="0.2">
      <c r="A13" s="43">
        <v>9</v>
      </c>
      <c r="B13" s="44">
        <v>263.73</v>
      </c>
      <c r="C13" s="42"/>
      <c r="D13" s="179"/>
    </row>
    <row r="14" spans="1:20" x14ac:dyDescent="0.2">
      <c r="A14" s="43">
        <v>10.5</v>
      </c>
      <c r="B14" s="44">
        <v>263.58999999999997</v>
      </c>
      <c r="C14" s="42"/>
      <c r="D14" s="179"/>
    </row>
    <row r="15" spans="1:20" x14ac:dyDescent="0.2">
      <c r="A15" s="43">
        <v>12</v>
      </c>
      <c r="B15" s="44">
        <v>263.43</v>
      </c>
      <c r="C15" s="42"/>
      <c r="D15" s="179"/>
    </row>
    <row r="16" spans="1:20" x14ac:dyDescent="0.2">
      <c r="A16" s="43">
        <v>13.5</v>
      </c>
      <c r="B16" s="44">
        <v>263.44</v>
      </c>
      <c r="C16" s="42"/>
      <c r="D16" s="179"/>
    </row>
    <row r="17" spans="1:4" x14ac:dyDescent="0.2">
      <c r="A17" s="43">
        <v>15</v>
      </c>
      <c r="B17" s="44">
        <v>263.5</v>
      </c>
      <c r="C17" s="42"/>
      <c r="D17" s="179"/>
    </row>
    <row r="18" spans="1:4" x14ac:dyDescent="0.2">
      <c r="A18" s="43">
        <v>16.5</v>
      </c>
      <c r="B18" s="44">
        <v>263.70999999999998</v>
      </c>
      <c r="C18" s="42"/>
      <c r="D18" s="179"/>
    </row>
    <row r="19" spans="1:4" x14ac:dyDescent="0.2">
      <c r="A19" s="43">
        <v>18</v>
      </c>
      <c r="B19" s="44">
        <v>263.97000000000003</v>
      </c>
      <c r="C19" s="42"/>
      <c r="D19" s="179"/>
    </row>
    <row r="20" spans="1:4" x14ac:dyDescent="0.2">
      <c r="A20" s="43">
        <v>19.5</v>
      </c>
      <c r="B20" s="44">
        <v>264.08999999999997</v>
      </c>
      <c r="C20" s="42"/>
      <c r="D20" s="179"/>
    </row>
    <row r="21" spans="1:4" x14ac:dyDescent="0.2">
      <c r="A21" s="43">
        <v>21.5</v>
      </c>
      <c r="B21" s="44">
        <v>264.24</v>
      </c>
      <c r="C21" s="42"/>
      <c r="D21" s="179"/>
    </row>
    <row r="22" spans="1:4" x14ac:dyDescent="0.2">
      <c r="A22" s="43">
        <v>23.5</v>
      </c>
      <c r="B22" s="44">
        <v>264.25</v>
      </c>
      <c r="C22" s="50"/>
      <c r="D22" s="179"/>
    </row>
    <row r="23" spans="1:4" x14ac:dyDescent="0.2">
      <c r="A23" s="43">
        <v>25.5</v>
      </c>
      <c r="B23" s="44">
        <v>264.36</v>
      </c>
      <c r="C23" s="45"/>
      <c r="D23" s="179"/>
    </row>
    <row r="24" spans="1:4" x14ac:dyDescent="0.2">
      <c r="A24" s="43">
        <v>27.5</v>
      </c>
      <c r="B24" s="44">
        <v>264.5</v>
      </c>
      <c r="C24" s="42"/>
      <c r="D24" s="179"/>
    </row>
    <row r="25" spans="1:4" s="7" customFormat="1" x14ac:dyDescent="0.2">
      <c r="A25" s="43">
        <v>29.5</v>
      </c>
      <c r="B25" s="44">
        <v>264.33</v>
      </c>
      <c r="C25" s="56"/>
      <c r="D25" s="179"/>
    </row>
    <row r="26" spans="1:4" x14ac:dyDescent="0.2">
      <c r="A26" s="43">
        <v>31.5</v>
      </c>
      <c r="B26" s="44">
        <v>264.18</v>
      </c>
      <c r="C26" s="42"/>
      <c r="D26" s="179"/>
    </row>
    <row r="27" spans="1:4" x14ac:dyDescent="0.2">
      <c r="A27" s="43">
        <v>33.700000000000003</v>
      </c>
      <c r="B27" s="44">
        <v>265.05</v>
      </c>
      <c r="C27" s="50"/>
      <c r="D27" s="179"/>
    </row>
    <row r="28" spans="1:4" x14ac:dyDescent="0.2">
      <c r="A28" s="16">
        <v>33.700000000000003</v>
      </c>
      <c r="B28" s="46">
        <v>266</v>
      </c>
      <c r="C28" s="45" t="s">
        <v>10</v>
      </c>
      <c r="D28" s="179"/>
    </row>
    <row r="29" spans="1:4" x14ac:dyDescent="0.2">
      <c r="A29" s="43">
        <v>33.700000000000003</v>
      </c>
      <c r="B29" s="44">
        <v>266.48</v>
      </c>
      <c r="C29" s="42"/>
      <c r="D29" s="179"/>
    </row>
    <row r="30" spans="1:4" x14ac:dyDescent="0.2">
      <c r="A30" s="43">
        <v>34.6</v>
      </c>
      <c r="B30" s="44">
        <v>266.48</v>
      </c>
      <c r="D30" s="179"/>
    </row>
    <row r="31" spans="1:4" x14ac:dyDescent="0.2">
      <c r="A31" s="43">
        <v>34.6</v>
      </c>
      <c r="B31" s="44">
        <v>278.2</v>
      </c>
      <c r="C31" s="42" t="s">
        <v>5</v>
      </c>
      <c r="D31" s="179"/>
    </row>
    <row r="32" spans="1:4" x14ac:dyDescent="0.2">
      <c r="A32" s="43"/>
      <c r="B32" s="42"/>
      <c r="C32" s="42"/>
      <c r="D32" s="179"/>
    </row>
    <row r="33" spans="1:4" x14ac:dyDescent="0.2">
      <c r="A33" s="43"/>
      <c r="B33" s="44"/>
      <c r="C33" s="42"/>
      <c r="D33" s="179"/>
    </row>
    <row r="34" spans="1:4" x14ac:dyDescent="0.2">
      <c r="A34" s="43" t="s">
        <v>30</v>
      </c>
      <c r="B34" s="44" t="s">
        <v>30</v>
      </c>
      <c r="C34" s="42"/>
      <c r="D34" s="179"/>
    </row>
    <row r="35" spans="1:4" x14ac:dyDescent="0.2">
      <c r="A35" s="43" t="s">
        <v>30</v>
      </c>
      <c r="B35" s="44" t="s">
        <v>30</v>
      </c>
      <c r="C35" s="42"/>
      <c r="D35" s="179"/>
    </row>
    <row r="36" spans="1:4" x14ac:dyDescent="0.2">
      <c r="A36" s="43" t="s">
        <v>30</v>
      </c>
      <c r="B36" s="44" t="s">
        <v>30</v>
      </c>
      <c r="C36" s="42"/>
      <c r="D36" s="179"/>
    </row>
    <row r="37" spans="1:4" x14ac:dyDescent="0.2">
      <c r="A37" s="43" t="s">
        <v>30</v>
      </c>
      <c r="B37" s="44" t="s">
        <v>30</v>
      </c>
      <c r="C37" s="42" t="s">
        <v>30</v>
      </c>
      <c r="D37" s="179"/>
    </row>
    <row r="38" spans="1:4" x14ac:dyDescent="0.2">
      <c r="A38" s="43" t="s">
        <v>30</v>
      </c>
      <c r="B38" s="44" t="s">
        <v>30</v>
      </c>
      <c r="C38" s="42"/>
      <c r="D38" s="179"/>
    </row>
    <row r="39" spans="1:4" x14ac:dyDescent="0.2">
      <c r="A39" s="43" t="s">
        <v>30</v>
      </c>
      <c r="B39" s="44" t="s">
        <v>30</v>
      </c>
      <c r="C39" s="47"/>
      <c r="D39" s="179"/>
    </row>
    <row r="40" spans="1:4" ht="13.5" thickBot="1" x14ac:dyDescent="0.25">
      <c r="A40" s="6" t="s">
        <v>30</v>
      </c>
      <c r="B40" s="13" t="s">
        <v>30</v>
      </c>
      <c r="C40" s="26" t="s">
        <v>30</v>
      </c>
      <c r="D40" s="179"/>
    </row>
    <row r="41" spans="1:4" ht="20.100000000000001" customHeight="1" x14ac:dyDescent="0.2">
      <c r="A41" s="15">
        <v>4.5</v>
      </c>
      <c r="B41" s="19">
        <v>266</v>
      </c>
      <c r="C41" s="14" t="s">
        <v>9</v>
      </c>
      <c r="D41" s="180" t="s">
        <v>6</v>
      </c>
    </row>
    <row r="42" spans="1:4" ht="20.100000000000001" customHeight="1" thickBot="1" x14ac:dyDescent="0.25">
      <c r="A42" s="28">
        <v>33.700000000000003</v>
      </c>
      <c r="B42" s="33">
        <v>266</v>
      </c>
      <c r="C42" s="17" t="s">
        <v>10</v>
      </c>
      <c r="D42" s="180"/>
    </row>
    <row r="43" spans="1:4" ht="20.100000000000001" customHeight="1" thickBot="1" x14ac:dyDescent="0.25">
      <c r="A43" s="34">
        <v>33</v>
      </c>
      <c r="B43" s="35">
        <v>263.74799999999999</v>
      </c>
      <c r="C43" s="21" t="s">
        <v>8</v>
      </c>
      <c r="D43" s="180"/>
    </row>
    <row r="44" spans="1:4" ht="20.100000000000001" customHeight="1" thickBot="1" x14ac:dyDescent="0.25">
      <c r="A44" s="20">
        <v>33</v>
      </c>
      <c r="B44" s="36">
        <v>265.74799999999999</v>
      </c>
      <c r="C44" s="22" t="s">
        <v>8</v>
      </c>
      <c r="D44" s="180"/>
    </row>
    <row r="45" spans="1:4" ht="20.100000000000001" customHeight="1" x14ac:dyDescent="0.2">
      <c r="A45" s="15">
        <v>34</v>
      </c>
      <c r="B45" s="19">
        <v>268.76499999999999</v>
      </c>
      <c r="C45" s="23" t="s">
        <v>2</v>
      </c>
      <c r="D45" s="180"/>
    </row>
    <row r="46" spans="1:4" ht="20.100000000000001" customHeight="1" thickBot="1" x14ac:dyDescent="0.25">
      <c r="A46" s="28">
        <v>34</v>
      </c>
      <c r="B46" s="33">
        <v>270.26499999999999</v>
      </c>
      <c r="C46" s="8" t="s">
        <v>2</v>
      </c>
      <c r="D46" s="180"/>
    </row>
    <row r="47" spans="1:4" ht="13.5" thickBot="1" x14ac:dyDescent="0.25">
      <c r="A47" s="15">
        <v>0</v>
      </c>
      <c r="B47" s="27">
        <v>277.23</v>
      </c>
      <c r="C47" s="9" t="s">
        <v>7</v>
      </c>
      <c r="D47" s="1"/>
    </row>
    <row r="48" spans="1:4" ht="13.5" thickBot="1" x14ac:dyDescent="0.25">
      <c r="A48" s="28">
        <v>34.5</v>
      </c>
      <c r="B48" s="29">
        <v>277.23</v>
      </c>
      <c r="C48" s="9" t="s">
        <v>7</v>
      </c>
      <c r="D48" s="1"/>
    </row>
    <row r="49" spans="1:5" ht="16.5" thickBot="1" x14ac:dyDescent="0.3">
      <c r="A49" s="24" t="s">
        <v>12</v>
      </c>
      <c r="B49" s="4"/>
      <c r="C49" s="30">
        <v>1.4</v>
      </c>
      <c r="D49" s="1"/>
    </row>
    <row r="50" spans="1:5" ht="16.5" thickBot="1" x14ac:dyDescent="0.3">
      <c r="A50" s="10" t="s">
        <v>11</v>
      </c>
      <c r="B50" s="4"/>
      <c r="C50" s="18">
        <f>B43</f>
        <v>263.74799999999999</v>
      </c>
      <c r="D50" s="1"/>
    </row>
    <row r="51" spans="1:5" ht="20.25" customHeight="1" thickBot="1" x14ac:dyDescent="0.3">
      <c r="A51" s="10" t="s">
        <v>14</v>
      </c>
      <c r="C51" s="31">
        <f>B3</f>
        <v>270.3</v>
      </c>
      <c r="D51" s="1"/>
    </row>
    <row r="52" spans="1:5" ht="15.75" thickBot="1" x14ac:dyDescent="0.3">
      <c r="A52" s="24" t="s">
        <v>13</v>
      </c>
      <c r="C52" s="32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ht="18" x14ac:dyDescent="0.25">
      <c r="C57" s="51"/>
      <c r="D57" s="52"/>
      <c r="E57" s="52"/>
    </row>
  </sheetData>
  <mergeCells count="3">
    <mergeCell ref="A1:Q1"/>
    <mergeCell ref="D2:D40"/>
    <mergeCell ref="D41:D46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T57"/>
  <sheetViews>
    <sheetView topLeftCell="A16" zoomScale="75" workbookViewId="0">
      <selection activeCell="I58" sqref="I5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9" bestFit="1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269.33999999999997</v>
      </c>
      <c r="C3" s="39" t="s">
        <v>33</v>
      </c>
      <c r="D3" s="179"/>
    </row>
    <row r="4" spans="1:20" x14ac:dyDescent="0.2">
      <c r="A4" s="40">
        <v>0</v>
      </c>
      <c r="B4" s="41">
        <v>275.5</v>
      </c>
      <c r="C4" s="42" t="s">
        <v>4</v>
      </c>
      <c r="D4" s="179"/>
    </row>
    <row r="5" spans="1:20" x14ac:dyDescent="0.2">
      <c r="A5" s="43">
        <v>0</v>
      </c>
      <c r="B5" s="44">
        <v>269.37</v>
      </c>
      <c r="C5" s="50"/>
      <c r="D5" s="179"/>
    </row>
    <row r="6" spans="1:20" x14ac:dyDescent="0.2">
      <c r="A6" s="43">
        <v>3</v>
      </c>
      <c r="B6" s="44">
        <v>269.19</v>
      </c>
      <c r="C6" s="42"/>
      <c r="D6" s="179"/>
    </row>
    <row r="7" spans="1:20" x14ac:dyDescent="0.2">
      <c r="A7" s="43">
        <v>3</v>
      </c>
      <c r="B7" s="44">
        <v>268.29000000000002</v>
      </c>
      <c r="C7" s="42"/>
      <c r="D7" s="179"/>
    </row>
    <row r="8" spans="1:20" x14ac:dyDescent="0.2">
      <c r="A8" s="43">
        <v>3.6</v>
      </c>
      <c r="B8" s="44">
        <v>267.64999999999998</v>
      </c>
      <c r="C8" s="50"/>
      <c r="D8" s="179"/>
    </row>
    <row r="9" spans="1:20" x14ac:dyDescent="0.2">
      <c r="A9" s="16">
        <v>4</v>
      </c>
      <c r="B9" s="46">
        <v>265.27999999999997</v>
      </c>
      <c r="C9" s="45" t="s">
        <v>9</v>
      </c>
      <c r="D9" s="179"/>
    </row>
    <row r="10" spans="1:20" x14ac:dyDescent="0.2">
      <c r="A10" s="43">
        <v>4</v>
      </c>
      <c r="B10" s="44">
        <v>262.37</v>
      </c>
      <c r="C10" s="45"/>
      <c r="D10" s="179"/>
    </row>
    <row r="11" spans="1:20" x14ac:dyDescent="0.2">
      <c r="A11" s="43">
        <v>7.01</v>
      </c>
      <c r="B11" s="44">
        <v>262.36</v>
      </c>
      <c r="C11" s="42"/>
      <c r="D11" s="179"/>
    </row>
    <row r="12" spans="1:20" x14ac:dyDescent="0.2">
      <c r="A12" s="43">
        <v>8.49</v>
      </c>
      <c r="B12" s="44">
        <v>262.25</v>
      </c>
      <c r="C12" s="42"/>
      <c r="D12" s="179"/>
    </row>
    <row r="13" spans="1:20" x14ac:dyDescent="0.2">
      <c r="A13" s="43">
        <v>10.07</v>
      </c>
      <c r="B13" s="44">
        <v>262.27</v>
      </c>
      <c r="C13" s="42"/>
      <c r="D13" s="179"/>
    </row>
    <row r="14" spans="1:20" x14ac:dyDescent="0.2">
      <c r="A14" s="43">
        <v>11.47</v>
      </c>
      <c r="B14" s="44">
        <v>262.04000000000002</v>
      </c>
      <c r="C14" s="42"/>
      <c r="D14" s="179"/>
    </row>
    <row r="15" spans="1:20" x14ac:dyDescent="0.2">
      <c r="A15" s="43">
        <v>13.09</v>
      </c>
      <c r="B15" s="44">
        <v>261.93</v>
      </c>
      <c r="C15" s="42"/>
      <c r="D15" s="179"/>
    </row>
    <row r="16" spans="1:20" x14ac:dyDescent="0.2">
      <c r="A16" s="43">
        <v>14.38</v>
      </c>
      <c r="B16" s="44">
        <v>261.87</v>
      </c>
      <c r="C16" s="42"/>
      <c r="D16" s="179"/>
    </row>
    <row r="17" spans="1:4" x14ac:dyDescent="0.2">
      <c r="A17" s="43">
        <v>15.81</v>
      </c>
      <c r="B17" s="44">
        <v>262.02999999999997</v>
      </c>
      <c r="C17" s="42"/>
      <c r="D17" s="179"/>
    </row>
    <row r="18" spans="1:4" x14ac:dyDescent="0.2">
      <c r="A18" s="43">
        <v>17.739999999999998</v>
      </c>
      <c r="B18" s="44">
        <v>262.14999999999998</v>
      </c>
      <c r="C18" s="42"/>
      <c r="D18" s="179"/>
    </row>
    <row r="19" spans="1:4" x14ac:dyDescent="0.2">
      <c r="A19" s="43">
        <v>19.059999999999999</v>
      </c>
      <c r="B19" s="44">
        <v>262.24</v>
      </c>
      <c r="C19" s="42"/>
      <c r="D19" s="179"/>
    </row>
    <row r="20" spans="1:4" x14ac:dyDescent="0.2">
      <c r="A20" s="43">
        <v>20.58</v>
      </c>
      <c r="B20" s="44">
        <v>262.33</v>
      </c>
      <c r="C20" s="42"/>
      <c r="D20" s="179"/>
    </row>
    <row r="21" spans="1:4" x14ac:dyDescent="0.2">
      <c r="A21" s="43">
        <v>22.11</v>
      </c>
      <c r="B21" s="44">
        <v>262.41000000000003</v>
      </c>
      <c r="C21" s="42"/>
      <c r="D21" s="179"/>
    </row>
    <row r="22" spans="1:4" x14ac:dyDescent="0.2">
      <c r="A22" s="43">
        <v>23.62</v>
      </c>
      <c r="B22" s="44">
        <v>262.44</v>
      </c>
      <c r="C22" s="50"/>
      <c r="D22" s="179"/>
    </row>
    <row r="23" spans="1:4" x14ac:dyDescent="0.2">
      <c r="A23" s="43">
        <v>25.12</v>
      </c>
      <c r="B23" s="44">
        <v>262.62</v>
      </c>
      <c r="C23" s="45"/>
      <c r="D23" s="179"/>
    </row>
    <row r="24" spans="1:4" x14ac:dyDescent="0.2">
      <c r="A24" s="43">
        <v>26.65</v>
      </c>
      <c r="B24" s="44">
        <v>262.72000000000003</v>
      </c>
      <c r="C24" s="42"/>
      <c r="D24" s="179"/>
    </row>
    <row r="25" spans="1:4" s="7" customFormat="1" x14ac:dyDescent="0.2">
      <c r="A25" s="43">
        <v>28.14</v>
      </c>
      <c r="B25" s="44">
        <v>262.82</v>
      </c>
      <c r="C25" s="56"/>
      <c r="D25" s="179"/>
    </row>
    <row r="26" spans="1:4" x14ac:dyDescent="0.2">
      <c r="A26" s="43">
        <v>29.45</v>
      </c>
      <c r="B26" s="44">
        <v>262.83999999999997</v>
      </c>
      <c r="C26" s="42"/>
      <c r="D26" s="179"/>
    </row>
    <row r="27" spans="1:4" x14ac:dyDescent="0.2">
      <c r="A27" s="43">
        <v>31.09</v>
      </c>
      <c r="B27" s="44">
        <v>262.87</v>
      </c>
      <c r="C27" s="50"/>
      <c r="D27" s="179"/>
    </row>
    <row r="28" spans="1:4" x14ac:dyDescent="0.2">
      <c r="A28" s="43">
        <v>32.51</v>
      </c>
      <c r="B28" s="44">
        <v>263.29000000000002</v>
      </c>
      <c r="C28" s="45"/>
      <c r="D28" s="179"/>
    </row>
    <row r="29" spans="1:4" x14ac:dyDescent="0.2">
      <c r="A29" s="43">
        <v>35.4</v>
      </c>
      <c r="B29" s="44">
        <v>263.57</v>
      </c>
      <c r="C29" s="42"/>
      <c r="D29" s="179"/>
    </row>
    <row r="30" spans="1:4" x14ac:dyDescent="0.2">
      <c r="A30" s="16">
        <v>35.4</v>
      </c>
      <c r="B30" s="46">
        <v>265.27999999999997</v>
      </c>
      <c r="C30" s="78" t="s">
        <v>10</v>
      </c>
      <c r="D30" s="179"/>
    </row>
    <row r="31" spans="1:4" x14ac:dyDescent="0.2">
      <c r="A31" s="43">
        <v>35.799999999999997</v>
      </c>
      <c r="B31" s="44">
        <v>266.67</v>
      </c>
      <c r="C31" s="42"/>
      <c r="D31" s="179"/>
    </row>
    <row r="32" spans="1:4" x14ac:dyDescent="0.2">
      <c r="A32" s="43">
        <v>36.9</v>
      </c>
      <c r="B32" s="77">
        <v>266.62</v>
      </c>
      <c r="C32" s="42"/>
      <c r="D32" s="179"/>
    </row>
    <row r="33" spans="1:4" x14ac:dyDescent="0.2">
      <c r="A33" s="43">
        <v>36.9</v>
      </c>
      <c r="B33" s="44">
        <v>279</v>
      </c>
      <c r="C33" s="42" t="s">
        <v>5</v>
      </c>
      <c r="D33" s="179"/>
    </row>
    <row r="34" spans="1:4" x14ac:dyDescent="0.2">
      <c r="A34" s="43" t="s">
        <v>30</v>
      </c>
      <c r="B34" s="44" t="s">
        <v>30</v>
      </c>
      <c r="C34" s="42"/>
      <c r="D34" s="179"/>
    </row>
    <row r="35" spans="1:4" x14ac:dyDescent="0.2">
      <c r="A35" s="43" t="s">
        <v>30</v>
      </c>
      <c r="B35" s="44" t="s">
        <v>30</v>
      </c>
      <c r="C35" s="42"/>
      <c r="D35" s="179"/>
    </row>
    <row r="36" spans="1:4" x14ac:dyDescent="0.2">
      <c r="A36" s="43" t="s">
        <v>30</v>
      </c>
      <c r="B36" s="44" t="s">
        <v>30</v>
      </c>
      <c r="C36" s="42"/>
      <c r="D36" s="179"/>
    </row>
    <row r="37" spans="1:4" x14ac:dyDescent="0.2">
      <c r="A37" s="43" t="s">
        <v>30</v>
      </c>
      <c r="B37" s="44" t="s">
        <v>30</v>
      </c>
      <c r="C37" s="42" t="s">
        <v>30</v>
      </c>
      <c r="D37" s="179"/>
    </row>
    <row r="38" spans="1:4" x14ac:dyDescent="0.2">
      <c r="A38" s="43" t="s">
        <v>30</v>
      </c>
      <c r="B38" s="44" t="s">
        <v>30</v>
      </c>
      <c r="C38" s="42"/>
      <c r="D38" s="179"/>
    </row>
    <row r="39" spans="1:4" x14ac:dyDescent="0.2">
      <c r="A39" s="43" t="s">
        <v>30</v>
      </c>
      <c r="B39" s="44" t="s">
        <v>30</v>
      </c>
      <c r="C39" s="47"/>
      <c r="D39" s="179"/>
    </row>
    <row r="40" spans="1:4" ht="13.5" thickBot="1" x14ac:dyDescent="0.25">
      <c r="A40" s="6" t="s">
        <v>30</v>
      </c>
      <c r="B40" s="13" t="s">
        <v>30</v>
      </c>
      <c r="C40" s="26" t="s">
        <v>30</v>
      </c>
      <c r="D40" s="179"/>
    </row>
    <row r="41" spans="1:4" ht="20.100000000000001" customHeight="1" x14ac:dyDescent="0.2">
      <c r="A41" s="15">
        <v>4</v>
      </c>
      <c r="B41" s="19">
        <v>265.27999999999997</v>
      </c>
      <c r="C41" s="14" t="s">
        <v>9</v>
      </c>
      <c r="D41" s="180" t="s">
        <v>6</v>
      </c>
    </row>
    <row r="42" spans="1:4" ht="20.100000000000001" customHeight="1" thickBot="1" x14ac:dyDescent="0.25">
      <c r="A42" s="28">
        <v>35.4</v>
      </c>
      <c r="B42" s="33">
        <v>265.27999999999997</v>
      </c>
      <c r="C42" s="17" t="s">
        <v>10</v>
      </c>
      <c r="D42" s="180"/>
    </row>
    <row r="43" spans="1:4" ht="20.100000000000001" customHeight="1" thickBot="1" x14ac:dyDescent="0.25">
      <c r="A43" s="34">
        <v>35</v>
      </c>
      <c r="B43" s="35">
        <v>263.74799999999999</v>
      </c>
      <c r="C43" s="21" t="s">
        <v>8</v>
      </c>
      <c r="D43" s="180"/>
    </row>
    <row r="44" spans="1:4" ht="20.100000000000001" customHeight="1" thickBot="1" x14ac:dyDescent="0.25">
      <c r="A44" s="20">
        <v>35</v>
      </c>
      <c r="B44" s="36">
        <v>265.74799999999999</v>
      </c>
      <c r="C44" s="22" t="s">
        <v>8</v>
      </c>
      <c r="D44" s="180"/>
    </row>
    <row r="45" spans="1:4" ht="20.100000000000001" customHeight="1" x14ac:dyDescent="0.2">
      <c r="A45" s="15">
        <v>34</v>
      </c>
      <c r="B45" s="19">
        <v>268.76499999999999</v>
      </c>
      <c r="C45" s="23" t="s">
        <v>2</v>
      </c>
      <c r="D45" s="180"/>
    </row>
    <row r="46" spans="1:4" ht="20.100000000000001" customHeight="1" thickBot="1" x14ac:dyDescent="0.25">
      <c r="A46" s="28">
        <v>34</v>
      </c>
      <c r="B46" s="33">
        <v>270.26499999999999</v>
      </c>
      <c r="C46" s="8" t="s">
        <v>2</v>
      </c>
      <c r="D46" s="180"/>
    </row>
    <row r="47" spans="1:4" ht="13.5" thickBot="1" x14ac:dyDescent="0.25">
      <c r="A47" s="15">
        <v>0</v>
      </c>
      <c r="B47" s="27">
        <v>275.5</v>
      </c>
      <c r="C47" s="9" t="s">
        <v>7</v>
      </c>
      <c r="D47" s="1"/>
    </row>
    <row r="48" spans="1:4" ht="13.5" thickBot="1" x14ac:dyDescent="0.25">
      <c r="A48" s="28">
        <v>36.9</v>
      </c>
      <c r="B48" s="29">
        <v>279</v>
      </c>
      <c r="C48" s="9" t="s">
        <v>7</v>
      </c>
      <c r="D48" s="1"/>
    </row>
    <row r="49" spans="1:5" ht="16.5" thickBot="1" x14ac:dyDescent="0.3">
      <c r="A49" s="24" t="s">
        <v>12</v>
      </c>
      <c r="B49" s="4"/>
      <c r="C49" s="30">
        <v>1.49</v>
      </c>
      <c r="D49" s="1"/>
    </row>
    <row r="50" spans="1:5" ht="16.5" thickBot="1" x14ac:dyDescent="0.3">
      <c r="A50" s="10" t="s">
        <v>11</v>
      </c>
      <c r="B50" s="4"/>
      <c r="C50" s="18">
        <f>B43</f>
        <v>263.74799999999999</v>
      </c>
      <c r="D50" s="1"/>
    </row>
    <row r="51" spans="1:5" ht="20.25" customHeight="1" thickBot="1" x14ac:dyDescent="0.3">
      <c r="A51" s="10" t="s">
        <v>14</v>
      </c>
      <c r="C51" s="31">
        <f>B3</f>
        <v>269.33999999999997</v>
      </c>
      <c r="D51" s="1"/>
    </row>
    <row r="52" spans="1:5" ht="15.75" thickBot="1" x14ac:dyDescent="0.3">
      <c r="A52" s="24" t="s">
        <v>13</v>
      </c>
      <c r="C52" s="32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ht="18" x14ac:dyDescent="0.25">
      <c r="C57" s="51"/>
      <c r="D57" s="52"/>
      <c r="E57" s="52"/>
    </row>
  </sheetData>
  <mergeCells count="3">
    <mergeCell ref="A1:Q1"/>
    <mergeCell ref="D2:D40"/>
    <mergeCell ref="D41:D46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T50"/>
  <sheetViews>
    <sheetView showGridLines="0" topLeftCell="A13" zoomScale="75" workbookViewId="0">
      <selection activeCell="B15" sqref="B1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9" bestFit="1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80">
        <v>0</v>
      </c>
      <c r="B3" s="81">
        <v>270.3</v>
      </c>
      <c r="C3" s="39" t="s">
        <v>17</v>
      </c>
      <c r="D3" s="179"/>
    </row>
    <row r="4" spans="1:20" x14ac:dyDescent="0.2">
      <c r="A4" s="54">
        <v>0</v>
      </c>
      <c r="B4" s="55">
        <v>278.45999999999998</v>
      </c>
      <c r="C4" s="42" t="s">
        <v>4</v>
      </c>
      <c r="D4" s="179"/>
    </row>
    <row r="5" spans="1:20" x14ac:dyDescent="0.2">
      <c r="A5" s="43">
        <v>0</v>
      </c>
      <c r="B5" s="44">
        <v>270.29000000000002</v>
      </c>
      <c r="C5" s="50"/>
      <c r="D5" s="179"/>
    </row>
    <row r="6" spans="1:20" x14ac:dyDescent="0.2">
      <c r="A6" s="43">
        <v>3</v>
      </c>
      <c r="B6" s="44">
        <v>270.02999999999997</v>
      </c>
      <c r="C6" s="42"/>
      <c r="D6" s="179"/>
    </row>
    <row r="7" spans="1:20" x14ac:dyDescent="0.2">
      <c r="A7" s="43">
        <v>6</v>
      </c>
      <c r="B7" s="44">
        <v>269.27</v>
      </c>
      <c r="C7" s="42"/>
      <c r="D7" s="179"/>
    </row>
    <row r="8" spans="1:20" x14ac:dyDescent="0.2">
      <c r="A8" s="43">
        <v>9.5</v>
      </c>
      <c r="B8" s="44">
        <v>269.25</v>
      </c>
      <c r="C8" s="50"/>
      <c r="D8" s="179"/>
    </row>
    <row r="9" spans="1:20" x14ac:dyDescent="0.2">
      <c r="A9" s="16">
        <v>16.8</v>
      </c>
      <c r="B9" s="46">
        <v>265</v>
      </c>
      <c r="C9" s="45" t="s">
        <v>9</v>
      </c>
      <c r="D9" s="179"/>
    </row>
    <row r="10" spans="1:20" x14ac:dyDescent="0.2">
      <c r="A10" s="43">
        <v>22.8</v>
      </c>
      <c r="B10" s="44">
        <v>262.42</v>
      </c>
      <c r="C10" s="42"/>
      <c r="D10" s="179"/>
    </row>
    <row r="11" spans="1:20" x14ac:dyDescent="0.2">
      <c r="A11" s="43">
        <v>23.8</v>
      </c>
      <c r="B11" s="44">
        <v>262</v>
      </c>
      <c r="C11" s="42"/>
      <c r="D11" s="179"/>
    </row>
    <row r="12" spans="1:20" x14ac:dyDescent="0.2">
      <c r="A12" s="43">
        <v>24.8</v>
      </c>
      <c r="B12" s="44">
        <v>262</v>
      </c>
      <c r="C12" s="42"/>
      <c r="D12" s="179"/>
    </row>
    <row r="13" spans="1:20" x14ac:dyDescent="0.2">
      <c r="A13" s="43">
        <v>25.8</v>
      </c>
      <c r="B13" s="44">
        <v>261.93</v>
      </c>
      <c r="C13" s="42"/>
      <c r="D13" s="179"/>
    </row>
    <row r="14" spans="1:20" x14ac:dyDescent="0.2">
      <c r="A14" s="43">
        <v>26.8</v>
      </c>
      <c r="B14" s="44">
        <v>261.88</v>
      </c>
      <c r="C14" s="42"/>
      <c r="D14" s="179"/>
    </row>
    <row r="15" spans="1:20" x14ac:dyDescent="0.2">
      <c r="A15" s="43">
        <v>27.8</v>
      </c>
      <c r="B15" s="44">
        <v>261.91000000000003</v>
      </c>
      <c r="C15" s="42"/>
      <c r="D15" s="179"/>
    </row>
    <row r="16" spans="1:20" x14ac:dyDescent="0.2">
      <c r="A16" s="43">
        <v>28.8</v>
      </c>
      <c r="B16" s="44">
        <v>261.93</v>
      </c>
      <c r="C16" s="42"/>
      <c r="D16" s="179"/>
    </row>
    <row r="17" spans="1:4" x14ac:dyDescent="0.2">
      <c r="A17" s="43">
        <v>30.3</v>
      </c>
      <c r="B17" s="44">
        <v>262.08</v>
      </c>
      <c r="C17" s="42"/>
      <c r="D17" s="179"/>
    </row>
    <row r="18" spans="1:4" x14ac:dyDescent="0.2">
      <c r="A18" s="43">
        <v>31.8</v>
      </c>
      <c r="B18" s="44">
        <v>262.10000000000002</v>
      </c>
      <c r="C18" s="42"/>
      <c r="D18" s="179"/>
    </row>
    <row r="19" spans="1:4" x14ac:dyDescent="0.2">
      <c r="A19" s="43">
        <v>33.299999999999997</v>
      </c>
      <c r="B19" s="44">
        <v>262.42</v>
      </c>
      <c r="C19" s="42"/>
      <c r="D19" s="179"/>
    </row>
    <row r="20" spans="1:4" x14ac:dyDescent="0.2">
      <c r="A20" s="43">
        <v>34.799999999999997</v>
      </c>
      <c r="B20" s="44">
        <v>262.37</v>
      </c>
      <c r="C20" s="42"/>
      <c r="D20" s="179"/>
    </row>
    <row r="21" spans="1:4" x14ac:dyDescent="0.2">
      <c r="A21" s="43">
        <v>36.299999999999997</v>
      </c>
      <c r="B21" s="44">
        <v>262.68</v>
      </c>
      <c r="C21" s="50"/>
      <c r="D21" s="179"/>
    </row>
    <row r="22" spans="1:4" x14ac:dyDescent="0.2">
      <c r="A22" s="43">
        <v>37.799999999999997</v>
      </c>
      <c r="B22" s="44">
        <v>262.52</v>
      </c>
      <c r="C22" s="45"/>
      <c r="D22" s="179"/>
    </row>
    <row r="23" spans="1:4" x14ac:dyDescent="0.2">
      <c r="A23" s="43">
        <v>39.299999999999997</v>
      </c>
      <c r="B23" s="44">
        <v>262.64999999999998</v>
      </c>
      <c r="C23" s="42"/>
      <c r="D23" s="179"/>
    </row>
    <row r="24" spans="1:4" s="7" customFormat="1" x14ac:dyDescent="0.2">
      <c r="A24" s="43">
        <v>40.799999999999997</v>
      </c>
      <c r="B24" s="44">
        <v>263.05</v>
      </c>
      <c r="C24" s="56"/>
      <c r="D24" s="179"/>
    </row>
    <row r="25" spans="1:4" x14ac:dyDescent="0.2">
      <c r="A25" s="43">
        <v>42.3</v>
      </c>
      <c r="B25" s="44">
        <v>263.08</v>
      </c>
      <c r="C25" s="42"/>
      <c r="D25" s="179"/>
    </row>
    <row r="26" spans="1:4" x14ac:dyDescent="0.2">
      <c r="A26" s="43">
        <v>43.8</v>
      </c>
      <c r="B26" s="44">
        <v>262.82</v>
      </c>
      <c r="C26" s="50"/>
      <c r="D26" s="179"/>
    </row>
    <row r="27" spans="1:4" x14ac:dyDescent="0.2">
      <c r="A27" s="43">
        <v>45.3</v>
      </c>
      <c r="B27" s="44">
        <v>263.12</v>
      </c>
      <c r="C27" s="45"/>
      <c r="D27" s="179"/>
    </row>
    <row r="28" spans="1:4" x14ac:dyDescent="0.2">
      <c r="A28" s="43">
        <v>46.8</v>
      </c>
      <c r="B28" s="44">
        <v>263.2</v>
      </c>
      <c r="C28" s="42"/>
      <c r="D28" s="179"/>
    </row>
    <row r="29" spans="1:4" x14ac:dyDescent="0.2">
      <c r="A29" s="43">
        <v>49.8</v>
      </c>
      <c r="B29" s="44">
        <v>264.2</v>
      </c>
      <c r="C29" s="78"/>
      <c r="D29" s="179"/>
    </row>
    <row r="30" spans="1:4" x14ac:dyDescent="0.2">
      <c r="A30" s="16">
        <v>51.3</v>
      </c>
      <c r="B30" s="46">
        <v>265</v>
      </c>
      <c r="C30" s="79" t="s">
        <v>10</v>
      </c>
      <c r="D30" s="179"/>
    </row>
    <row r="31" spans="1:4" x14ac:dyDescent="0.2">
      <c r="A31" s="43">
        <v>52.3</v>
      </c>
      <c r="B31" s="44">
        <v>266.82</v>
      </c>
      <c r="C31" s="42"/>
      <c r="D31" s="179"/>
    </row>
    <row r="32" spans="1:4" x14ac:dyDescent="0.2">
      <c r="A32" s="16">
        <v>53</v>
      </c>
      <c r="B32" s="46">
        <v>276.45</v>
      </c>
      <c r="C32" s="42" t="s">
        <v>5</v>
      </c>
      <c r="D32" s="179"/>
    </row>
    <row r="33" spans="1:4" ht="13.5" thickBot="1" x14ac:dyDescent="0.25">
      <c r="A33" s="6" t="s">
        <v>30</v>
      </c>
      <c r="B33" s="13" t="s">
        <v>30</v>
      </c>
      <c r="C33" s="26" t="s">
        <v>30</v>
      </c>
      <c r="D33" s="179"/>
    </row>
    <row r="34" spans="1:4" ht="20.100000000000001" customHeight="1" x14ac:dyDescent="0.2">
      <c r="A34" s="15">
        <v>16.8</v>
      </c>
      <c r="B34" s="19">
        <v>265</v>
      </c>
      <c r="C34" s="14" t="s">
        <v>9</v>
      </c>
      <c r="D34" s="180" t="s">
        <v>6</v>
      </c>
    </row>
    <row r="35" spans="1:4" ht="20.100000000000001" customHeight="1" thickBot="1" x14ac:dyDescent="0.25">
      <c r="A35" s="28">
        <v>51.3</v>
      </c>
      <c r="B35" s="33">
        <v>265</v>
      </c>
      <c r="C35" s="17" t="s">
        <v>10</v>
      </c>
      <c r="D35" s="180"/>
    </row>
    <row r="36" spans="1:4" ht="20.100000000000001" customHeight="1" thickBot="1" x14ac:dyDescent="0.25">
      <c r="A36" s="34">
        <v>51</v>
      </c>
      <c r="B36" s="35">
        <v>263.74799999999999</v>
      </c>
      <c r="C36" s="21" t="s">
        <v>8</v>
      </c>
      <c r="D36" s="180"/>
    </row>
    <row r="37" spans="1:4" ht="20.100000000000001" customHeight="1" thickBot="1" x14ac:dyDescent="0.25">
      <c r="A37" s="20">
        <v>51</v>
      </c>
      <c r="B37" s="36">
        <v>265.74799999999999</v>
      </c>
      <c r="C37" s="22" t="s">
        <v>8</v>
      </c>
      <c r="D37" s="180"/>
    </row>
    <row r="38" spans="1:4" ht="20.100000000000001" customHeight="1" x14ac:dyDescent="0.2">
      <c r="A38" s="15">
        <v>51</v>
      </c>
      <c r="B38" s="19">
        <v>268.76499999999999</v>
      </c>
      <c r="C38" s="23" t="s">
        <v>2</v>
      </c>
      <c r="D38" s="180"/>
    </row>
    <row r="39" spans="1:4" ht="20.100000000000001" customHeight="1" thickBot="1" x14ac:dyDescent="0.25">
      <c r="A39" s="28">
        <v>51</v>
      </c>
      <c r="B39" s="33">
        <v>270.26499999999999</v>
      </c>
      <c r="C39" s="8" t="s">
        <v>2</v>
      </c>
      <c r="D39" s="180"/>
    </row>
    <row r="40" spans="1:4" ht="13.5" thickBot="1" x14ac:dyDescent="0.25">
      <c r="A40" s="15">
        <v>0</v>
      </c>
      <c r="B40" s="27">
        <v>275.5</v>
      </c>
      <c r="C40" s="9" t="s">
        <v>7</v>
      </c>
      <c r="D40" s="1"/>
    </row>
    <row r="41" spans="1:4" ht="13.5" thickBot="1" x14ac:dyDescent="0.25">
      <c r="A41" s="28">
        <v>36.9</v>
      </c>
      <c r="B41" s="29">
        <v>279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1.2</v>
      </c>
      <c r="D42" s="1"/>
    </row>
    <row r="43" spans="1:4" ht="16.5" thickBot="1" x14ac:dyDescent="0.3">
      <c r="A43" s="10" t="s">
        <v>11</v>
      </c>
      <c r="B43" s="4"/>
      <c r="C43" s="18">
        <f>B36</f>
        <v>263.74799999999999</v>
      </c>
      <c r="D43" s="1"/>
    </row>
    <row r="44" spans="1:4" ht="20.25" customHeight="1" thickBot="1" x14ac:dyDescent="0.3">
      <c r="A44" s="10" t="s">
        <v>14</v>
      </c>
      <c r="C44" s="31">
        <f>B3</f>
        <v>270.3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51"/>
      <c r="D50" s="52"/>
      <c r="E50" s="52"/>
    </row>
  </sheetData>
  <mergeCells count="3">
    <mergeCell ref="A1:Q1"/>
    <mergeCell ref="D2:D33"/>
    <mergeCell ref="D34:D39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T50"/>
  <sheetViews>
    <sheetView showGridLines="0" zoomScale="75" workbookViewId="0">
      <selection activeCell="Z34" sqref="Z3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9" bestFit="1" customWidth="1"/>
    <col min="4" max="4" width="5.7109375" customWidth="1"/>
  </cols>
  <sheetData>
    <row r="1" spans="1:20" ht="27.75" customHeight="1" thickBot="1" x14ac:dyDescent="0.35">
      <c r="A1" s="178" t="s">
        <v>18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80">
        <v>0</v>
      </c>
      <c r="B3" s="81">
        <v>269.35000000000002</v>
      </c>
      <c r="C3" s="39" t="s">
        <v>17</v>
      </c>
      <c r="D3" s="179"/>
    </row>
    <row r="4" spans="1:20" x14ac:dyDescent="0.2">
      <c r="A4" s="54">
        <v>0</v>
      </c>
      <c r="B4" s="55">
        <v>270.05</v>
      </c>
      <c r="C4" s="42" t="s">
        <v>4</v>
      </c>
      <c r="D4" s="179"/>
    </row>
    <row r="5" spans="1:20" x14ac:dyDescent="0.2">
      <c r="A5" s="43">
        <v>2</v>
      </c>
      <c r="B5" s="44">
        <v>268.95999999999998</v>
      </c>
      <c r="C5" s="50"/>
      <c r="D5" s="179"/>
    </row>
    <row r="6" spans="1:20" x14ac:dyDescent="0.2">
      <c r="A6" s="43">
        <v>3</v>
      </c>
      <c r="B6" s="44">
        <v>267.16000000000003</v>
      </c>
      <c r="C6" s="42"/>
      <c r="D6" s="179"/>
    </row>
    <row r="7" spans="1:20" x14ac:dyDescent="0.2">
      <c r="A7" s="43">
        <v>3.7</v>
      </c>
      <c r="B7" s="44">
        <v>266</v>
      </c>
      <c r="C7" s="42"/>
      <c r="D7" s="179"/>
    </row>
    <row r="8" spans="1:20" x14ac:dyDescent="0.2">
      <c r="A8" s="16">
        <v>4</v>
      </c>
      <c r="B8" s="46">
        <v>265.27</v>
      </c>
      <c r="C8" s="50" t="s">
        <v>9</v>
      </c>
      <c r="D8" s="179"/>
    </row>
    <row r="9" spans="1:20" x14ac:dyDescent="0.2">
      <c r="A9" s="82">
        <v>6</v>
      </c>
      <c r="B9" s="83">
        <v>262.07</v>
      </c>
      <c r="C9" s="45"/>
      <c r="D9" s="179"/>
    </row>
    <row r="10" spans="1:20" x14ac:dyDescent="0.2">
      <c r="A10" s="43">
        <v>8</v>
      </c>
      <c r="B10" s="44">
        <v>262.17</v>
      </c>
      <c r="C10" s="42"/>
      <c r="D10" s="179"/>
    </row>
    <row r="11" spans="1:20" x14ac:dyDescent="0.2">
      <c r="A11" s="43">
        <v>10</v>
      </c>
      <c r="B11" s="44">
        <v>262.27</v>
      </c>
      <c r="C11" s="42"/>
      <c r="D11" s="179"/>
    </row>
    <row r="12" spans="1:20" x14ac:dyDescent="0.2">
      <c r="A12" s="43">
        <v>12</v>
      </c>
      <c r="B12" s="44">
        <v>262.56</v>
      </c>
      <c r="C12" s="42"/>
      <c r="D12" s="179"/>
    </row>
    <row r="13" spans="1:20" x14ac:dyDescent="0.2">
      <c r="A13" s="43">
        <v>14</v>
      </c>
      <c r="B13" s="44">
        <v>262.97000000000003</v>
      </c>
      <c r="C13" s="42"/>
      <c r="D13" s="179"/>
    </row>
    <row r="14" spans="1:20" x14ac:dyDescent="0.2">
      <c r="A14" s="43">
        <v>16</v>
      </c>
      <c r="B14" s="44">
        <v>263.37</v>
      </c>
      <c r="C14" s="42"/>
      <c r="D14" s="179"/>
    </row>
    <row r="15" spans="1:20" x14ac:dyDescent="0.2">
      <c r="A15" s="43">
        <v>18</v>
      </c>
      <c r="B15" s="44">
        <v>263.57</v>
      </c>
      <c r="C15" s="42"/>
      <c r="D15" s="179"/>
    </row>
    <row r="16" spans="1:20" x14ac:dyDescent="0.2">
      <c r="A16" s="43">
        <v>20</v>
      </c>
      <c r="B16" s="44">
        <v>263.27</v>
      </c>
      <c r="C16" s="42"/>
      <c r="D16" s="179"/>
    </row>
    <row r="17" spans="1:4" x14ac:dyDescent="0.2">
      <c r="A17" s="43">
        <v>22</v>
      </c>
      <c r="B17" s="44">
        <v>263.07</v>
      </c>
      <c r="C17" s="42"/>
      <c r="D17" s="179"/>
    </row>
    <row r="18" spans="1:4" x14ac:dyDescent="0.2">
      <c r="A18" s="43">
        <v>24</v>
      </c>
      <c r="B18" s="44">
        <v>263.17</v>
      </c>
      <c r="C18" s="42"/>
      <c r="D18" s="179"/>
    </row>
    <row r="19" spans="1:4" x14ac:dyDescent="0.2">
      <c r="A19" s="43">
        <v>26</v>
      </c>
      <c r="B19" s="44">
        <v>263.44</v>
      </c>
      <c r="C19" s="42"/>
      <c r="D19" s="179"/>
    </row>
    <row r="20" spans="1:4" x14ac:dyDescent="0.2">
      <c r="A20" s="43">
        <v>28</v>
      </c>
      <c r="B20" s="44">
        <v>263.64</v>
      </c>
      <c r="C20" s="42"/>
      <c r="D20" s="179"/>
    </row>
    <row r="21" spans="1:4" x14ac:dyDescent="0.2">
      <c r="A21" s="43">
        <v>30</v>
      </c>
      <c r="B21" s="44">
        <v>263.87</v>
      </c>
      <c r="C21" s="50"/>
      <c r="D21" s="179"/>
    </row>
    <row r="22" spans="1:4" x14ac:dyDescent="0.2">
      <c r="A22" s="43">
        <v>32</v>
      </c>
      <c r="B22" s="44">
        <v>264.2</v>
      </c>
      <c r="C22" s="45"/>
      <c r="D22" s="179"/>
    </row>
    <row r="23" spans="1:4" x14ac:dyDescent="0.2">
      <c r="A23" s="16">
        <v>33</v>
      </c>
      <c r="B23" s="46">
        <v>265.27</v>
      </c>
      <c r="C23" s="42" t="s">
        <v>10</v>
      </c>
      <c r="D23" s="179"/>
    </row>
    <row r="24" spans="1:4" s="7" customFormat="1" x14ac:dyDescent="0.2">
      <c r="A24" s="43">
        <v>33.9</v>
      </c>
      <c r="B24" s="44">
        <v>265.61</v>
      </c>
      <c r="C24" s="56"/>
      <c r="D24" s="179"/>
    </row>
    <row r="25" spans="1:4" x14ac:dyDescent="0.2">
      <c r="A25" s="43">
        <v>33.9</v>
      </c>
      <c r="B25" s="44">
        <v>269.37</v>
      </c>
      <c r="C25" s="42" t="s">
        <v>5</v>
      </c>
      <c r="D25" s="179"/>
    </row>
    <row r="26" spans="1:4" x14ac:dyDescent="0.2">
      <c r="A26" s="43">
        <v>33.9</v>
      </c>
      <c r="B26" s="44">
        <v>269.36</v>
      </c>
      <c r="C26" s="50" t="s">
        <v>17</v>
      </c>
      <c r="D26" s="179"/>
    </row>
    <row r="27" spans="1:4" x14ac:dyDescent="0.2">
      <c r="A27" s="43"/>
      <c r="B27" s="44"/>
      <c r="C27" s="45"/>
      <c r="D27" s="179"/>
    </row>
    <row r="28" spans="1:4" x14ac:dyDescent="0.2">
      <c r="A28" s="43"/>
      <c r="B28" s="44"/>
      <c r="C28" s="42"/>
      <c r="D28" s="179"/>
    </row>
    <row r="29" spans="1:4" x14ac:dyDescent="0.2">
      <c r="A29" s="43"/>
      <c r="B29" s="44"/>
      <c r="C29" s="78"/>
      <c r="D29" s="179"/>
    </row>
    <row r="30" spans="1:4" x14ac:dyDescent="0.2">
      <c r="A30" s="16"/>
      <c r="B30" s="46"/>
      <c r="C30" s="79"/>
      <c r="D30" s="179"/>
    </row>
    <row r="31" spans="1:4" x14ac:dyDescent="0.2">
      <c r="A31" s="43"/>
      <c r="B31" s="44"/>
      <c r="C31" s="42"/>
      <c r="D31" s="179"/>
    </row>
    <row r="32" spans="1:4" x14ac:dyDescent="0.2">
      <c r="A32" s="16"/>
      <c r="B32" s="46"/>
      <c r="C32" s="42"/>
      <c r="D32" s="179"/>
    </row>
    <row r="33" spans="1:4" ht="13.5" thickBot="1" x14ac:dyDescent="0.25">
      <c r="A33" s="6" t="s">
        <v>30</v>
      </c>
      <c r="B33" s="13" t="s">
        <v>30</v>
      </c>
      <c r="C33" s="26" t="s">
        <v>30</v>
      </c>
      <c r="D33" s="179"/>
    </row>
    <row r="34" spans="1:4" ht="20.100000000000001" customHeight="1" x14ac:dyDescent="0.2">
      <c r="A34" s="15">
        <f>A8</f>
        <v>4</v>
      </c>
      <c r="B34" s="19">
        <f>B8</f>
        <v>265.27</v>
      </c>
      <c r="C34" s="14" t="s">
        <v>9</v>
      </c>
      <c r="D34" s="180" t="s">
        <v>6</v>
      </c>
    </row>
    <row r="35" spans="1:4" ht="20.100000000000001" customHeight="1" thickBot="1" x14ac:dyDescent="0.25">
      <c r="A35" s="28">
        <f>A23</f>
        <v>33</v>
      </c>
      <c r="B35" s="33">
        <f>B23</f>
        <v>265.27</v>
      </c>
      <c r="C35" s="17" t="s">
        <v>10</v>
      </c>
      <c r="D35" s="180"/>
    </row>
    <row r="36" spans="1:4" ht="20.100000000000001" customHeight="1" thickBot="1" x14ac:dyDescent="0.25">
      <c r="A36" s="34">
        <v>33</v>
      </c>
      <c r="B36" s="35">
        <v>263.74799999999999</v>
      </c>
      <c r="C36" s="21" t="s">
        <v>8</v>
      </c>
      <c r="D36" s="180"/>
    </row>
    <row r="37" spans="1:4" ht="20.100000000000001" customHeight="1" thickBot="1" x14ac:dyDescent="0.25">
      <c r="A37" s="20">
        <v>33</v>
      </c>
      <c r="B37" s="36">
        <v>265.74799999999999</v>
      </c>
      <c r="C37" s="22" t="s">
        <v>8</v>
      </c>
      <c r="D37" s="180"/>
    </row>
    <row r="38" spans="1:4" ht="20.100000000000001" customHeight="1" x14ac:dyDescent="0.2">
      <c r="A38" s="15">
        <v>34</v>
      </c>
      <c r="B38" s="19">
        <v>268.76499999999999</v>
      </c>
      <c r="C38" s="23" t="s">
        <v>2</v>
      </c>
      <c r="D38" s="180"/>
    </row>
    <row r="39" spans="1:4" ht="20.100000000000001" customHeight="1" thickBot="1" x14ac:dyDescent="0.25">
      <c r="A39" s="28">
        <v>34</v>
      </c>
      <c r="B39" s="33">
        <v>270.26499999999999</v>
      </c>
      <c r="C39" s="8" t="s">
        <v>2</v>
      </c>
      <c r="D39" s="180"/>
    </row>
    <row r="40" spans="1:4" ht="13.5" thickBot="1" x14ac:dyDescent="0.25">
      <c r="A40" s="15">
        <v>0</v>
      </c>
      <c r="B40" s="27">
        <f>B4</f>
        <v>270.05</v>
      </c>
      <c r="C40" s="9" t="s">
        <v>7</v>
      </c>
      <c r="D40" s="1"/>
    </row>
    <row r="41" spans="1:4" ht="13.5" thickBot="1" x14ac:dyDescent="0.25">
      <c r="A41" s="28">
        <f>A25</f>
        <v>33.9</v>
      </c>
      <c r="B41" s="29">
        <f>B25</f>
        <v>269.37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1.54</v>
      </c>
      <c r="D42" s="1"/>
    </row>
    <row r="43" spans="1:4" ht="16.5" thickBot="1" x14ac:dyDescent="0.3">
      <c r="A43" s="10" t="s">
        <v>11</v>
      </c>
      <c r="B43" s="4"/>
      <c r="C43" s="18">
        <f>B36</f>
        <v>263.74799999999999</v>
      </c>
      <c r="D43" s="1"/>
    </row>
    <row r="44" spans="1:4" ht="20.25" customHeight="1" thickBot="1" x14ac:dyDescent="0.3">
      <c r="A44" s="10" t="s">
        <v>14</v>
      </c>
      <c r="C44" s="31">
        <f>B3</f>
        <v>269.35000000000002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51"/>
      <c r="D50" s="52"/>
      <c r="E50" s="52"/>
    </row>
  </sheetData>
  <mergeCells count="3">
    <mergeCell ref="A1:Q1"/>
    <mergeCell ref="D2:D33"/>
    <mergeCell ref="D34:D39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T52"/>
  <sheetViews>
    <sheetView showGridLines="0" zoomScale="75" workbookViewId="0">
      <selection activeCell="T45" sqref="T4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9" bestFit="1" customWidth="1"/>
    <col min="4" max="4" width="5.7109375" customWidth="1"/>
  </cols>
  <sheetData>
    <row r="1" spans="1:20" ht="27.75" customHeight="1" thickBot="1" x14ac:dyDescent="0.35">
      <c r="A1" s="178" t="s">
        <v>35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9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80">
        <v>0</v>
      </c>
      <c r="B3" s="81">
        <v>269.35000000000002</v>
      </c>
      <c r="C3" s="39" t="s">
        <v>34</v>
      </c>
      <c r="D3" s="179"/>
    </row>
    <row r="4" spans="1:20" x14ac:dyDescent="0.2">
      <c r="A4" s="54">
        <v>0</v>
      </c>
      <c r="B4" s="55">
        <v>277.8</v>
      </c>
      <c r="C4" s="42" t="s">
        <v>4</v>
      </c>
      <c r="D4" s="179"/>
    </row>
    <row r="5" spans="1:20" x14ac:dyDescent="0.2">
      <c r="A5" s="82">
        <v>0</v>
      </c>
      <c r="B5" s="83">
        <v>269.3</v>
      </c>
      <c r="C5" s="50"/>
      <c r="D5" s="179"/>
    </row>
    <row r="6" spans="1:20" x14ac:dyDescent="0.2">
      <c r="A6" s="82">
        <v>3.5</v>
      </c>
      <c r="B6" s="83">
        <v>269.23</v>
      </c>
      <c r="C6" s="42"/>
      <c r="D6" s="179"/>
    </row>
    <row r="7" spans="1:20" x14ac:dyDescent="0.2">
      <c r="A7" s="82">
        <v>3.5</v>
      </c>
      <c r="B7" s="83">
        <v>268.2</v>
      </c>
      <c r="C7" s="42"/>
      <c r="D7" s="179"/>
    </row>
    <row r="8" spans="1:20" x14ac:dyDescent="0.2">
      <c r="A8" s="82">
        <v>3.9</v>
      </c>
      <c r="B8" s="83">
        <v>267.89</v>
      </c>
      <c r="C8" s="50"/>
      <c r="D8" s="179"/>
    </row>
    <row r="9" spans="1:20" x14ac:dyDescent="0.2">
      <c r="A9" s="16">
        <v>3.9</v>
      </c>
      <c r="B9" s="46">
        <v>264.58999999999997</v>
      </c>
      <c r="C9" s="45" t="s">
        <v>9</v>
      </c>
      <c r="D9" s="179"/>
    </row>
    <row r="10" spans="1:20" x14ac:dyDescent="0.2">
      <c r="A10" s="82">
        <v>3.9</v>
      </c>
      <c r="B10" s="83">
        <v>261.8</v>
      </c>
      <c r="C10" s="45"/>
      <c r="D10" s="179"/>
    </row>
    <row r="11" spans="1:20" x14ac:dyDescent="0.2">
      <c r="A11" s="82">
        <v>6.91</v>
      </c>
      <c r="B11" s="83">
        <v>261.8</v>
      </c>
      <c r="C11" s="42"/>
      <c r="D11" s="179"/>
    </row>
    <row r="12" spans="1:20" x14ac:dyDescent="0.2">
      <c r="A12" s="82">
        <v>8.31</v>
      </c>
      <c r="B12" s="83">
        <v>261.86</v>
      </c>
      <c r="C12" s="42"/>
      <c r="D12" s="179"/>
    </row>
    <row r="13" spans="1:20" x14ac:dyDescent="0.2">
      <c r="A13" s="82">
        <v>9.7100000000000009</v>
      </c>
      <c r="B13" s="83">
        <v>261.83</v>
      </c>
      <c r="C13" s="42"/>
      <c r="D13" s="179"/>
    </row>
    <row r="14" spans="1:20" x14ac:dyDescent="0.2">
      <c r="A14" s="82">
        <v>11.11</v>
      </c>
      <c r="B14" s="83">
        <v>261.72000000000003</v>
      </c>
      <c r="C14" s="42"/>
      <c r="D14" s="179"/>
    </row>
    <row r="15" spans="1:20" x14ac:dyDescent="0.2">
      <c r="A15" s="82">
        <v>12.49</v>
      </c>
      <c r="B15" s="83">
        <v>261.67</v>
      </c>
      <c r="C15" s="42"/>
      <c r="D15" s="179"/>
    </row>
    <row r="16" spans="1:20" x14ac:dyDescent="0.2">
      <c r="A16" s="82">
        <v>13.93</v>
      </c>
      <c r="B16" s="83">
        <v>261.63</v>
      </c>
      <c r="C16" s="42"/>
      <c r="D16" s="179"/>
    </row>
    <row r="17" spans="1:4" x14ac:dyDescent="0.2">
      <c r="A17" s="82">
        <v>15.36</v>
      </c>
      <c r="B17" s="83">
        <v>261.76</v>
      </c>
      <c r="C17" s="42"/>
      <c r="D17" s="179"/>
    </row>
    <row r="18" spans="1:4" x14ac:dyDescent="0.2">
      <c r="A18" s="82">
        <v>16.72</v>
      </c>
      <c r="B18" s="83">
        <v>261.86</v>
      </c>
      <c r="C18" s="42"/>
      <c r="D18" s="179"/>
    </row>
    <row r="19" spans="1:4" x14ac:dyDescent="0.2">
      <c r="A19" s="82">
        <v>18.100000000000001</v>
      </c>
      <c r="B19" s="83">
        <v>262</v>
      </c>
      <c r="C19" s="42"/>
      <c r="D19" s="179"/>
    </row>
    <row r="20" spans="1:4" x14ac:dyDescent="0.2">
      <c r="A20" s="82">
        <v>19.55</v>
      </c>
      <c r="B20" s="83">
        <v>262.2</v>
      </c>
      <c r="C20" s="42"/>
      <c r="D20" s="179"/>
    </row>
    <row r="21" spans="1:4" x14ac:dyDescent="0.2">
      <c r="A21" s="82">
        <v>20.95</v>
      </c>
      <c r="B21" s="83">
        <v>262.32</v>
      </c>
      <c r="C21" s="42"/>
      <c r="D21" s="179"/>
    </row>
    <row r="22" spans="1:4" x14ac:dyDescent="0.2">
      <c r="A22" s="82">
        <v>22.27</v>
      </c>
      <c r="B22" s="83">
        <v>262.39</v>
      </c>
      <c r="C22" s="50"/>
      <c r="D22" s="179"/>
    </row>
    <row r="23" spans="1:4" x14ac:dyDescent="0.2">
      <c r="A23" s="82">
        <v>23.71</v>
      </c>
      <c r="B23" s="83">
        <v>262.42</v>
      </c>
      <c r="C23" s="45"/>
      <c r="D23" s="179"/>
    </row>
    <row r="24" spans="1:4" x14ac:dyDescent="0.2">
      <c r="A24" s="82">
        <v>25.06</v>
      </c>
      <c r="B24" s="83">
        <v>262.58999999999997</v>
      </c>
      <c r="C24" s="42"/>
      <c r="D24" s="179"/>
    </row>
    <row r="25" spans="1:4" s="7" customFormat="1" x14ac:dyDescent="0.2">
      <c r="A25" s="82">
        <v>26.56</v>
      </c>
      <c r="B25" s="83">
        <v>262.61</v>
      </c>
      <c r="C25" s="56"/>
      <c r="D25" s="179"/>
    </row>
    <row r="26" spans="1:4" x14ac:dyDescent="0.2">
      <c r="A26" s="82">
        <v>27.88</v>
      </c>
      <c r="B26" s="83">
        <v>262.61</v>
      </c>
      <c r="C26" s="42"/>
      <c r="D26" s="179"/>
    </row>
    <row r="27" spans="1:4" x14ac:dyDescent="0.2">
      <c r="A27" s="82">
        <v>29.33</v>
      </c>
      <c r="B27" s="83">
        <v>262.60000000000002</v>
      </c>
      <c r="C27" s="50"/>
      <c r="D27" s="179"/>
    </row>
    <row r="28" spans="1:4" x14ac:dyDescent="0.2">
      <c r="A28" s="82">
        <v>30.66</v>
      </c>
      <c r="B28" s="83">
        <v>262.81</v>
      </c>
      <c r="C28" s="45"/>
      <c r="D28" s="179"/>
    </row>
    <row r="29" spans="1:4" x14ac:dyDescent="0.2">
      <c r="A29" s="82">
        <v>32.17</v>
      </c>
      <c r="B29" s="83">
        <v>263.27999999999997</v>
      </c>
      <c r="C29" s="42"/>
      <c r="D29" s="179"/>
    </row>
    <row r="30" spans="1:4" x14ac:dyDescent="0.2">
      <c r="A30" s="82">
        <v>33.65</v>
      </c>
      <c r="B30" s="83">
        <v>263.39999999999998</v>
      </c>
      <c r="C30" s="42"/>
      <c r="D30" s="179"/>
    </row>
    <row r="31" spans="1:4" x14ac:dyDescent="0.2">
      <c r="A31" s="82">
        <v>33.65</v>
      </c>
      <c r="B31" s="46">
        <v>264.58999999999997</v>
      </c>
      <c r="C31" s="87" t="s">
        <v>10</v>
      </c>
      <c r="D31" s="179"/>
    </row>
    <row r="32" spans="1:4" x14ac:dyDescent="0.2">
      <c r="A32" s="82">
        <v>33.65</v>
      </c>
      <c r="B32" s="83">
        <v>265.51</v>
      </c>
      <c r="C32" s="79"/>
      <c r="D32" s="179"/>
    </row>
    <row r="33" spans="1:4" x14ac:dyDescent="0.2">
      <c r="A33" s="82">
        <v>34.65</v>
      </c>
      <c r="B33" s="83">
        <v>265.26</v>
      </c>
      <c r="C33" s="42"/>
      <c r="D33" s="179"/>
    </row>
    <row r="34" spans="1:4" x14ac:dyDescent="0.2">
      <c r="A34" s="16">
        <v>34.65</v>
      </c>
      <c r="B34" s="46">
        <v>277.79000000000002</v>
      </c>
      <c r="C34" s="42" t="s">
        <v>5</v>
      </c>
      <c r="D34" s="179"/>
    </row>
    <row r="35" spans="1:4" ht="13.5" thickBot="1" x14ac:dyDescent="0.25">
      <c r="A35" s="84">
        <v>34.65</v>
      </c>
      <c r="B35" s="85">
        <v>269.32</v>
      </c>
      <c r="C35" s="86" t="s">
        <v>17</v>
      </c>
      <c r="D35" s="179"/>
    </row>
    <row r="36" spans="1:4" ht="20.100000000000001" customHeight="1" x14ac:dyDescent="0.2">
      <c r="A36" s="15">
        <f>A8</f>
        <v>3.9</v>
      </c>
      <c r="B36" s="19">
        <v>264.58999999999997</v>
      </c>
      <c r="C36" s="14" t="s">
        <v>9</v>
      </c>
      <c r="D36" s="180" t="s">
        <v>6</v>
      </c>
    </row>
    <row r="37" spans="1:4" ht="20.100000000000001" customHeight="1" thickBot="1" x14ac:dyDescent="0.25">
      <c r="A37" s="28">
        <v>33.65</v>
      </c>
      <c r="B37" s="33">
        <v>264.58999999999997</v>
      </c>
      <c r="C37" s="17" t="s">
        <v>10</v>
      </c>
      <c r="D37" s="180"/>
    </row>
    <row r="38" spans="1:4" ht="20.100000000000001" customHeight="1" thickBot="1" x14ac:dyDescent="0.25">
      <c r="A38" s="34">
        <v>32.5</v>
      </c>
      <c r="B38" s="35">
        <v>263.62</v>
      </c>
      <c r="C38" s="21" t="s">
        <v>8</v>
      </c>
      <c r="D38" s="180"/>
    </row>
    <row r="39" spans="1:4" ht="20.100000000000001" customHeight="1" thickBot="1" x14ac:dyDescent="0.25">
      <c r="A39" s="20">
        <v>32.5</v>
      </c>
      <c r="B39" s="36">
        <v>265.62</v>
      </c>
      <c r="C39" s="22" t="s">
        <v>8</v>
      </c>
      <c r="D39" s="180"/>
    </row>
    <row r="40" spans="1:4" ht="20.100000000000001" customHeight="1" x14ac:dyDescent="0.2">
      <c r="A40" s="15">
        <v>34</v>
      </c>
      <c r="B40" s="19">
        <v>267.81</v>
      </c>
      <c r="C40" s="23" t="s">
        <v>2</v>
      </c>
      <c r="D40" s="180"/>
    </row>
    <row r="41" spans="1:4" ht="20.100000000000001" customHeight="1" thickBot="1" x14ac:dyDescent="0.25">
      <c r="A41" s="28">
        <v>34</v>
      </c>
      <c r="B41" s="33">
        <v>269.31</v>
      </c>
      <c r="C41" s="8" t="s">
        <v>2</v>
      </c>
      <c r="D41" s="180"/>
    </row>
    <row r="42" spans="1:4" ht="13.5" thickBot="1" x14ac:dyDescent="0.25">
      <c r="A42" s="15">
        <v>0</v>
      </c>
      <c r="B42" s="27">
        <f>B4</f>
        <v>277.8</v>
      </c>
      <c r="C42" s="9" t="s">
        <v>7</v>
      </c>
      <c r="D42" s="1"/>
    </row>
    <row r="43" spans="1:4" ht="13.5" thickBot="1" x14ac:dyDescent="0.25">
      <c r="A43" s="28">
        <v>34.65</v>
      </c>
      <c r="B43" s="29">
        <v>277.79000000000002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1.54</v>
      </c>
      <c r="D44" s="1"/>
    </row>
    <row r="45" spans="1:4" ht="16.5" thickBot="1" x14ac:dyDescent="0.3">
      <c r="A45" s="10" t="s">
        <v>11</v>
      </c>
      <c r="B45" s="4"/>
      <c r="C45" s="18">
        <f>B38</f>
        <v>263.62</v>
      </c>
      <c r="D45" s="1"/>
    </row>
    <row r="46" spans="1:4" ht="20.25" customHeight="1" thickBot="1" x14ac:dyDescent="0.3">
      <c r="A46" s="10" t="s">
        <v>14</v>
      </c>
      <c r="C46" s="31">
        <f>B3</f>
        <v>269.35000000000002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51"/>
      <c r="D52" s="52"/>
      <c r="E52" s="52"/>
    </row>
  </sheetData>
  <mergeCells count="3">
    <mergeCell ref="A1:Q1"/>
    <mergeCell ref="D2:D35"/>
    <mergeCell ref="D36:D41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P75"/>
  <sheetViews>
    <sheetView zoomScale="70" zoomScaleNormal="70" workbookViewId="0">
      <selection sqref="A1:V1"/>
    </sheetView>
  </sheetViews>
  <sheetFormatPr baseColWidth="10" defaultColWidth="11.42578125" defaultRowHeight="12.75" x14ac:dyDescent="0.2"/>
  <cols>
    <col min="1" max="1" width="9.7109375" style="88" customWidth="1"/>
    <col min="2" max="2" width="8.570312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68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98.69</v>
      </c>
      <c r="AI4" s="96">
        <f>AH4</f>
        <v>98.69</v>
      </c>
      <c r="AJ4" s="90"/>
      <c r="AK4" s="90"/>
      <c r="AL4" s="97">
        <f>SUM(AL5:AL46)</f>
        <v>94.821999999999989</v>
      </c>
      <c r="AM4" s="97">
        <f>SUM(AM5:AM46)</f>
        <v>10.5</v>
      </c>
      <c r="AN4" s="97">
        <f>SUM(AN5:AN46)</f>
        <v>94.801999999999992</v>
      </c>
      <c r="AO4" s="97">
        <f>SUM(AO5:AO46)</f>
        <v>23</v>
      </c>
      <c r="AP4" s="90"/>
    </row>
    <row r="5" spans="1:42" ht="15.75" x14ac:dyDescent="0.25">
      <c r="A5" s="98">
        <f t="shared" ref="A5:A51" si="0">AF5</f>
        <v>0</v>
      </c>
      <c r="B5" s="99">
        <f t="shared" ref="B5:B51" si="1">AD5</f>
        <v>98.69</v>
      </c>
      <c r="C5" s="100" t="str">
        <f>IF(AG5="","",AG5)</f>
        <v xml:space="preserve">S/BM </v>
      </c>
      <c r="D5" s="196"/>
      <c r="X5" s="101"/>
      <c r="Y5" s="102"/>
      <c r="Z5" s="103">
        <v>0.89200000000000002</v>
      </c>
      <c r="AA5" s="104"/>
      <c r="AB5" s="105"/>
      <c r="AC5" s="106">
        <f>IF(AA5="",AD5+Z5,"")</f>
        <v>99.581999999999994</v>
      </c>
      <c r="AD5" s="107">
        <v>98.69</v>
      </c>
      <c r="AE5" s="108">
        <v>0</v>
      </c>
      <c r="AF5" s="109"/>
      <c r="AG5" s="110" t="s">
        <v>49</v>
      </c>
      <c r="AH5" s="90">
        <f t="shared" ref="AH5:AH46" si="2">IF(AND(AJ5="NAOI",AJ5=AJ6),AK5,AI5)</f>
        <v>99.581999999999994</v>
      </c>
      <c r="AI5" s="90">
        <f>IF(AA5="",AC5,AI4)</f>
        <v>99.581999999999994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98.69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97.131999999999991</v>
      </c>
      <c r="C6" s="100" t="str">
        <f t="shared" ref="C6:C44" si="5">IF(AG6="","",AG6)</f>
        <v>PRI</v>
      </c>
      <c r="D6" s="196"/>
      <c r="X6" s="111"/>
      <c r="Y6" s="112"/>
      <c r="Z6" s="113"/>
      <c r="AA6" s="114">
        <v>2.4500000000000002</v>
      </c>
      <c r="AB6" s="115"/>
      <c r="AC6" s="116" t="str">
        <f>IF(AA6="",AD6+Z6,"")</f>
        <v/>
      </c>
      <c r="AD6" s="117">
        <f>IF(AA6="",AH5-AB6,AH5-AA6)</f>
        <v>97.131999999999991</v>
      </c>
      <c r="AE6" s="118">
        <v>0</v>
      </c>
      <c r="AF6" s="117">
        <f>AE6</f>
        <v>0</v>
      </c>
      <c r="AG6" s="119" t="s">
        <v>4</v>
      </c>
      <c r="AH6" s="90">
        <f t="shared" si="2"/>
        <v>99.581999999999994</v>
      </c>
      <c r="AI6" s="90">
        <f t="shared" ref="AI6:AI46" si="6">IF(AA6="",AC6,AI5)</f>
        <v>99.581999999999994</v>
      </c>
      <c r="AJ6" s="90" t="str">
        <f t="shared" si="3"/>
        <v>PRI</v>
      </c>
      <c r="AK6" s="97">
        <f t="shared" si="4"/>
        <v>97.131999999999991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5</v>
      </c>
      <c r="B7" s="99">
        <f t="shared" si="1"/>
        <v>96.361999999999995</v>
      </c>
      <c r="C7" s="100" t="str">
        <f t="shared" si="5"/>
        <v/>
      </c>
      <c r="D7" s="196"/>
      <c r="X7" s="111"/>
      <c r="Y7" s="112"/>
      <c r="Z7" s="113"/>
      <c r="AA7" s="114">
        <v>3.22</v>
      </c>
      <c r="AB7" s="115"/>
      <c r="AC7" s="116" t="str">
        <f t="shared" ref="AC7:AC46" si="11">IF(AA7="",AD7+Z7,"")</f>
        <v/>
      </c>
      <c r="AD7" s="117">
        <f>IF(AA7="",AH6-AB7,AH6-AA7)</f>
        <v>96.361999999999995</v>
      </c>
      <c r="AE7" s="118">
        <v>5</v>
      </c>
      <c r="AF7" s="117">
        <f t="shared" ref="AF7:AF46" si="12">+AF6+AE7</f>
        <v>5</v>
      </c>
      <c r="AG7" s="120"/>
      <c r="AH7" s="90">
        <f t="shared" si="2"/>
        <v>99.581999999999994</v>
      </c>
      <c r="AI7" s="90">
        <f t="shared" si="6"/>
        <v>99.581999999999994</v>
      </c>
      <c r="AJ7" s="90" t="str">
        <f t="shared" si="3"/>
        <v>PRI</v>
      </c>
      <c r="AK7" s="97">
        <f t="shared" si="4"/>
        <v>96.361999999999995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9</v>
      </c>
      <c r="B8" s="99">
        <f t="shared" si="1"/>
        <v>95.071999999999989</v>
      </c>
      <c r="C8" s="100" t="str">
        <f t="shared" si="5"/>
        <v/>
      </c>
      <c r="D8" s="196"/>
      <c r="X8" s="111"/>
      <c r="Y8" s="112"/>
      <c r="Z8" s="113"/>
      <c r="AA8" s="114">
        <v>4.51</v>
      </c>
      <c r="AB8" s="115"/>
      <c r="AC8" s="116" t="str">
        <f t="shared" si="11"/>
        <v/>
      </c>
      <c r="AD8" s="117">
        <f>IF(AA8="",AH7-AB8,AH7-AA8)</f>
        <v>95.071999999999989</v>
      </c>
      <c r="AE8" s="118">
        <v>4</v>
      </c>
      <c r="AF8" s="117">
        <f t="shared" si="12"/>
        <v>9</v>
      </c>
      <c r="AG8" s="120"/>
      <c r="AH8" s="90">
        <f t="shared" si="2"/>
        <v>99.581999999999994</v>
      </c>
      <c r="AI8" s="90">
        <f t="shared" si="6"/>
        <v>99.581999999999994</v>
      </c>
      <c r="AJ8" s="90" t="str">
        <f t="shared" si="3"/>
        <v>PRI</v>
      </c>
      <c r="AK8" s="97">
        <f t="shared" si="4"/>
        <v>95.071999999999989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10.5</v>
      </c>
      <c r="B9" s="99">
        <f t="shared" si="1"/>
        <v>94.821999999999989</v>
      </c>
      <c r="C9" s="100" t="str">
        <f t="shared" si="5"/>
        <v>NAOI</v>
      </c>
      <c r="D9" s="196"/>
      <c r="X9" s="111"/>
      <c r="Y9" s="112"/>
      <c r="Z9" s="113"/>
      <c r="AA9" s="114">
        <v>4.76</v>
      </c>
      <c r="AB9" s="115"/>
      <c r="AC9" s="116" t="str">
        <f t="shared" si="11"/>
        <v/>
      </c>
      <c r="AD9" s="117">
        <f>IF(AA9="",AH8-AB9,AH8-AA9)</f>
        <v>94.821999999999989</v>
      </c>
      <c r="AE9" s="118">
        <v>1.5</v>
      </c>
      <c r="AF9" s="117">
        <f t="shared" si="12"/>
        <v>10.5</v>
      </c>
      <c r="AG9" s="119" t="s">
        <v>9</v>
      </c>
      <c r="AH9" s="90">
        <f t="shared" si="2"/>
        <v>94.821999999999989</v>
      </c>
      <c r="AI9" s="90">
        <f t="shared" si="6"/>
        <v>99.581999999999994</v>
      </c>
      <c r="AJ9" s="90" t="str">
        <f t="shared" si="3"/>
        <v>NAOI</v>
      </c>
      <c r="AK9" s="97">
        <f t="shared" si="4"/>
        <v>94.821999999999989</v>
      </c>
      <c r="AL9" s="90">
        <f t="shared" si="7"/>
        <v>94.821999999999989</v>
      </c>
      <c r="AM9" s="97">
        <f t="shared" si="8"/>
        <v>10.5</v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11.5</v>
      </c>
      <c r="B10" s="99">
        <f t="shared" si="1"/>
        <v>94.521999999999991</v>
      </c>
      <c r="C10" s="100" t="str">
        <f t="shared" si="5"/>
        <v/>
      </c>
      <c r="D10" s="196"/>
      <c r="E10" s="88">
        <f>(B12+B35)/2</f>
        <v>96.578000000000003</v>
      </c>
      <c r="X10" s="111"/>
      <c r="Y10" s="112"/>
      <c r="Z10" s="113"/>
      <c r="AA10" s="114">
        <v>0.3</v>
      </c>
      <c r="AB10" s="115"/>
      <c r="AC10" s="116" t="str">
        <f t="shared" si="11"/>
        <v/>
      </c>
      <c r="AD10" s="117">
        <f t="shared" ref="AD10:AD51" si="13">IF(AJ9="S/BM",AD9,IF(AA10="",AH9-AB10,AH9-AA10))</f>
        <v>94.521999999999991</v>
      </c>
      <c r="AE10" s="118">
        <v>1</v>
      </c>
      <c r="AF10" s="117">
        <f t="shared" si="12"/>
        <v>11.5</v>
      </c>
      <c r="AG10" s="120"/>
      <c r="AH10" s="90">
        <f t="shared" si="2"/>
        <v>94.821999999999989</v>
      </c>
      <c r="AI10" s="90">
        <f t="shared" si="6"/>
        <v>99.581999999999994</v>
      </c>
      <c r="AJ10" s="90" t="str">
        <f t="shared" si="3"/>
        <v>NAOI</v>
      </c>
      <c r="AK10" s="97">
        <f t="shared" si="4"/>
        <v>94.821999999999989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12.5</v>
      </c>
      <c r="B11" s="99">
        <f t="shared" si="1"/>
        <v>94.471999999999994</v>
      </c>
      <c r="C11" s="100" t="str">
        <f t="shared" si="5"/>
        <v/>
      </c>
      <c r="D11" s="196"/>
      <c r="E11" s="121">
        <v>0.33</v>
      </c>
      <c r="X11" s="111"/>
      <c r="Y11" s="112"/>
      <c r="Z11" s="113"/>
      <c r="AA11" s="114">
        <v>0.35</v>
      </c>
      <c r="AB11" s="115"/>
      <c r="AC11" s="116" t="str">
        <f t="shared" si="11"/>
        <v/>
      </c>
      <c r="AD11" s="117">
        <f t="shared" si="13"/>
        <v>94.471999999999994</v>
      </c>
      <c r="AE11" s="118">
        <v>1</v>
      </c>
      <c r="AF11" s="117">
        <f t="shared" si="12"/>
        <v>12.5</v>
      </c>
      <c r="AG11" s="120"/>
      <c r="AH11" s="90">
        <f t="shared" si="2"/>
        <v>94.821999999999989</v>
      </c>
      <c r="AI11" s="90">
        <f t="shared" si="6"/>
        <v>99.581999999999994</v>
      </c>
      <c r="AJ11" s="90" t="str">
        <f t="shared" si="3"/>
        <v>NAOI</v>
      </c>
      <c r="AK11" s="97">
        <f t="shared" si="4"/>
        <v>94.821999999999989</v>
      </c>
      <c r="AL11" s="90" t="str">
        <f t="shared" si="7"/>
        <v/>
      </c>
      <c r="AM11" s="97" t="str">
        <f t="shared" si="8"/>
        <v/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13</v>
      </c>
      <c r="B12" s="99">
        <f t="shared" si="1"/>
        <v>94.461999999999989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0.36</v>
      </c>
      <c r="AB12" s="115"/>
      <c r="AC12" s="116" t="str">
        <f>IF(AA12="",AD12+Z12,"")</f>
        <v/>
      </c>
      <c r="AD12" s="117">
        <f t="shared" si="13"/>
        <v>94.461999999999989</v>
      </c>
      <c r="AE12" s="118">
        <v>0.5</v>
      </c>
      <c r="AF12" s="117">
        <f t="shared" si="12"/>
        <v>13</v>
      </c>
      <c r="AG12" s="120"/>
      <c r="AH12" s="90">
        <f t="shared" si="2"/>
        <v>94.821999999999989</v>
      </c>
      <c r="AI12" s="90">
        <f t="shared" si="6"/>
        <v>99.581999999999994</v>
      </c>
      <c r="AJ12" s="90" t="str">
        <f t="shared" si="3"/>
        <v>NAOI</v>
      </c>
      <c r="AK12" s="97">
        <f t="shared" si="4"/>
        <v>94.821999999999989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13.5</v>
      </c>
      <c r="B13" s="99">
        <f t="shared" si="1"/>
        <v>94.441999999999993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0.38</v>
      </c>
      <c r="AB13" s="115"/>
      <c r="AC13" s="116" t="str">
        <f t="shared" si="11"/>
        <v/>
      </c>
      <c r="AD13" s="117">
        <f t="shared" si="13"/>
        <v>94.441999999999993</v>
      </c>
      <c r="AE13" s="118">
        <v>0.5</v>
      </c>
      <c r="AF13" s="117">
        <f t="shared" si="12"/>
        <v>13.5</v>
      </c>
      <c r="AG13" s="120"/>
      <c r="AH13" s="90">
        <f t="shared" si="2"/>
        <v>94.821999999999989</v>
      </c>
      <c r="AI13" s="90">
        <f t="shared" si="6"/>
        <v>99.581999999999994</v>
      </c>
      <c r="AJ13" s="90" t="str">
        <f t="shared" si="3"/>
        <v>NAOI</v>
      </c>
      <c r="AK13" s="97">
        <f t="shared" si="4"/>
        <v>94.821999999999989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14</v>
      </c>
      <c r="B14" s="99">
        <f t="shared" si="1"/>
        <v>94.431999999999988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0.39</v>
      </c>
      <c r="AB14" s="115"/>
      <c r="AC14" s="116" t="str">
        <f t="shared" si="11"/>
        <v/>
      </c>
      <c r="AD14" s="117">
        <f t="shared" si="13"/>
        <v>94.431999999999988</v>
      </c>
      <c r="AE14" s="118">
        <v>0.5</v>
      </c>
      <c r="AF14" s="117">
        <f t="shared" si="12"/>
        <v>14</v>
      </c>
      <c r="AG14" s="120"/>
      <c r="AH14" s="90">
        <f t="shared" si="2"/>
        <v>94.821999999999989</v>
      </c>
      <c r="AI14" s="90">
        <f t="shared" si="6"/>
        <v>99.581999999999994</v>
      </c>
      <c r="AJ14" s="90" t="str">
        <f t="shared" si="3"/>
        <v>NAOI</v>
      </c>
      <c r="AK14" s="97">
        <f>IF(AND(AJ14="NAOI",AJ13="NAOI"),AK13,AD14)</f>
        <v>94.821999999999989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14.5</v>
      </c>
      <c r="B15" s="99">
        <f t="shared" si="1"/>
        <v>94.321999999999989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0.5</v>
      </c>
      <c r="AB15" s="115"/>
      <c r="AC15" s="116" t="str">
        <f t="shared" si="11"/>
        <v/>
      </c>
      <c r="AD15" s="117">
        <f t="shared" si="13"/>
        <v>94.321999999999989</v>
      </c>
      <c r="AE15" s="118">
        <v>0.5</v>
      </c>
      <c r="AF15" s="117">
        <f t="shared" si="12"/>
        <v>14.5</v>
      </c>
      <c r="AG15" s="119"/>
      <c r="AH15" s="90">
        <f t="shared" si="2"/>
        <v>94.821999999999989</v>
      </c>
      <c r="AI15" s="90">
        <f t="shared" si="6"/>
        <v>99.581999999999994</v>
      </c>
      <c r="AJ15" s="90" t="str">
        <f t="shared" si="3"/>
        <v>NAOI</v>
      </c>
      <c r="AK15" s="97">
        <f>IF(AND(AJ15="NAOI",AJ14="NAOI"),AK14,AD15)</f>
        <v>94.821999999999989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15</v>
      </c>
      <c r="B16" s="99">
        <f t="shared" si="1"/>
        <v>94.261999999999986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0.56000000000000005</v>
      </c>
      <c r="AB16" s="115"/>
      <c r="AC16" s="116" t="str">
        <f t="shared" si="11"/>
        <v/>
      </c>
      <c r="AD16" s="117">
        <f t="shared" si="13"/>
        <v>94.261999999999986</v>
      </c>
      <c r="AE16" s="118">
        <v>0.5</v>
      </c>
      <c r="AF16" s="117">
        <f t="shared" si="12"/>
        <v>15</v>
      </c>
      <c r="AG16" s="122"/>
      <c r="AH16" s="90">
        <f t="shared" si="2"/>
        <v>94.821999999999989</v>
      </c>
      <c r="AI16" s="90">
        <f t="shared" si="6"/>
        <v>99.581999999999994</v>
      </c>
      <c r="AJ16" s="90" t="str">
        <f t="shared" si="3"/>
        <v>NAOI</v>
      </c>
      <c r="AK16" s="97">
        <f>IF(AND(AJ16="NAOI",AJ15="NAOI"),AK15,AD16)</f>
        <v>94.821999999999989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15.5</v>
      </c>
      <c r="B17" s="99">
        <f t="shared" si="1"/>
        <v>94.35199999999999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0.47</v>
      </c>
      <c r="AB17" s="115"/>
      <c r="AC17" s="116" t="str">
        <f t="shared" si="11"/>
        <v/>
      </c>
      <c r="AD17" s="117">
        <f t="shared" si="13"/>
        <v>94.35199999999999</v>
      </c>
      <c r="AE17" s="118">
        <v>0.5</v>
      </c>
      <c r="AF17" s="117">
        <f t="shared" si="12"/>
        <v>15.5</v>
      </c>
      <c r="AG17" s="122"/>
      <c r="AH17" s="90">
        <f t="shared" si="2"/>
        <v>94.821999999999989</v>
      </c>
      <c r="AI17" s="90">
        <f t="shared" si="6"/>
        <v>99.581999999999994</v>
      </c>
      <c r="AJ17" s="90" t="str">
        <f t="shared" si="3"/>
        <v>NAOI</v>
      </c>
      <c r="AK17" s="97">
        <f t="shared" ref="AK17:AK46" si="15">IF(AND(AJ17="NAOI",AJ16="NAOI"),AK16,AD17)</f>
        <v>94.821999999999989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16</v>
      </c>
      <c r="B18" s="99">
        <f t="shared" si="1"/>
        <v>94.331999999999994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0.49</v>
      </c>
      <c r="AB18" s="115"/>
      <c r="AC18" s="116" t="str">
        <f t="shared" si="11"/>
        <v/>
      </c>
      <c r="AD18" s="117">
        <f t="shared" si="13"/>
        <v>94.331999999999994</v>
      </c>
      <c r="AE18" s="118">
        <v>0.5</v>
      </c>
      <c r="AF18" s="117">
        <f t="shared" si="12"/>
        <v>16</v>
      </c>
      <c r="AG18" s="122"/>
      <c r="AH18" s="90">
        <f t="shared" si="2"/>
        <v>94.821999999999989</v>
      </c>
      <c r="AI18" s="90">
        <f t="shared" si="6"/>
        <v>99.581999999999994</v>
      </c>
      <c r="AJ18" s="90" t="str">
        <f t="shared" si="3"/>
        <v>NAOI</v>
      </c>
      <c r="AK18" s="97">
        <f t="shared" si="15"/>
        <v>94.821999999999989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16.5</v>
      </c>
      <c r="B19" s="99">
        <f t="shared" si="1"/>
        <v>94.261999999999986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0.56000000000000005</v>
      </c>
      <c r="AB19" s="115"/>
      <c r="AC19" s="116" t="str">
        <f t="shared" si="11"/>
        <v/>
      </c>
      <c r="AD19" s="117">
        <f t="shared" si="13"/>
        <v>94.261999999999986</v>
      </c>
      <c r="AE19" s="118">
        <v>0.5</v>
      </c>
      <c r="AF19" s="117">
        <f t="shared" si="12"/>
        <v>16.5</v>
      </c>
      <c r="AG19" s="122"/>
      <c r="AH19" s="90">
        <f t="shared" si="2"/>
        <v>94.821999999999989</v>
      </c>
      <c r="AI19" s="90">
        <f t="shared" si="6"/>
        <v>99.581999999999994</v>
      </c>
      <c r="AJ19" s="90" t="str">
        <f t="shared" si="3"/>
        <v>NAOI</v>
      </c>
      <c r="AK19" s="97">
        <f t="shared" si="15"/>
        <v>94.821999999999989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17</v>
      </c>
      <c r="B20" s="99">
        <f t="shared" si="1"/>
        <v>94.321999999999989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0.5</v>
      </c>
      <c r="AB20" s="115"/>
      <c r="AC20" s="116" t="str">
        <f t="shared" si="11"/>
        <v/>
      </c>
      <c r="AD20" s="117">
        <f t="shared" si="13"/>
        <v>94.321999999999989</v>
      </c>
      <c r="AE20" s="118">
        <v>0.5</v>
      </c>
      <c r="AF20" s="117">
        <f t="shared" si="12"/>
        <v>17</v>
      </c>
      <c r="AG20" s="122"/>
      <c r="AH20" s="90">
        <f t="shared" si="2"/>
        <v>94.821999999999989</v>
      </c>
      <c r="AI20" s="90">
        <f t="shared" si="6"/>
        <v>99.581999999999994</v>
      </c>
      <c r="AJ20" s="90" t="str">
        <f t="shared" si="3"/>
        <v>NAOI</v>
      </c>
      <c r="AK20" s="97">
        <f t="shared" si="15"/>
        <v>94.821999999999989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17.5</v>
      </c>
      <c r="B21" s="99">
        <f t="shared" si="1"/>
        <v>94.281999999999982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0.54</v>
      </c>
      <c r="AB21" s="115"/>
      <c r="AC21" s="116" t="str">
        <f t="shared" si="11"/>
        <v/>
      </c>
      <c r="AD21" s="117">
        <f t="shared" si="13"/>
        <v>94.281999999999982</v>
      </c>
      <c r="AE21" s="118">
        <v>0.5</v>
      </c>
      <c r="AF21" s="117">
        <f t="shared" si="12"/>
        <v>17.5</v>
      </c>
      <c r="AG21" s="122"/>
      <c r="AH21" s="90">
        <f t="shared" si="2"/>
        <v>94.821999999999989</v>
      </c>
      <c r="AI21" s="90">
        <f t="shared" si="6"/>
        <v>99.581999999999994</v>
      </c>
      <c r="AJ21" s="90" t="str">
        <f t="shared" si="3"/>
        <v>NAOI</v>
      </c>
      <c r="AK21" s="97">
        <f t="shared" si="15"/>
        <v>94.821999999999989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18</v>
      </c>
      <c r="B22" s="99">
        <f t="shared" si="1"/>
        <v>94.321999999999989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0.5</v>
      </c>
      <c r="AB22" s="115"/>
      <c r="AC22" s="116" t="str">
        <f t="shared" si="11"/>
        <v/>
      </c>
      <c r="AD22" s="117">
        <f t="shared" si="13"/>
        <v>94.321999999999989</v>
      </c>
      <c r="AE22" s="118">
        <v>0.5</v>
      </c>
      <c r="AF22" s="117">
        <f t="shared" si="12"/>
        <v>18</v>
      </c>
      <c r="AG22" s="122"/>
      <c r="AH22" s="90">
        <f t="shared" si="2"/>
        <v>94.821999999999989</v>
      </c>
      <c r="AI22" s="90">
        <f t="shared" si="6"/>
        <v>99.581999999999994</v>
      </c>
      <c r="AJ22" s="90" t="str">
        <f t="shared" si="3"/>
        <v>NAOI</v>
      </c>
      <c r="AK22" s="97">
        <f t="shared" si="15"/>
        <v>94.821999999999989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18.5</v>
      </c>
      <c r="B23" s="99">
        <f t="shared" si="1"/>
        <v>94.341999999999985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0.48</v>
      </c>
      <c r="AB23" s="115"/>
      <c r="AC23" s="116" t="str">
        <f t="shared" si="11"/>
        <v/>
      </c>
      <c r="AD23" s="117">
        <f t="shared" si="13"/>
        <v>94.341999999999985</v>
      </c>
      <c r="AE23" s="118">
        <v>0.5</v>
      </c>
      <c r="AF23" s="117">
        <f t="shared" si="12"/>
        <v>18.5</v>
      </c>
      <c r="AG23" s="122"/>
      <c r="AH23" s="90">
        <f t="shared" si="2"/>
        <v>94.821999999999989</v>
      </c>
      <c r="AI23" s="90">
        <f t="shared" si="6"/>
        <v>99.581999999999994</v>
      </c>
      <c r="AJ23" s="90" t="str">
        <f t="shared" si="3"/>
        <v>NAOI</v>
      </c>
      <c r="AK23" s="97">
        <f t="shared" si="15"/>
        <v>94.821999999999989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19</v>
      </c>
      <c r="B24" s="99">
        <f t="shared" si="1"/>
        <v>94.431999999999988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0.39</v>
      </c>
      <c r="AB24" s="115"/>
      <c r="AC24" s="116" t="str">
        <f t="shared" si="11"/>
        <v/>
      </c>
      <c r="AD24" s="117">
        <f t="shared" si="13"/>
        <v>94.431999999999988</v>
      </c>
      <c r="AE24" s="118">
        <v>0.5</v>
      </c>
      <c r="AF24" s="117">
        <f t="shared" si="12"/>
        <v>19</v>
      </c>
      <c r="AG24" s="122"/>
      <c r="AH24" s="90">
        <f t="shared" si="2"/>
        <v>94.821999999999989</v>
      </c>
      <c r="AI24" s="90">
        <f t="shared" si="6"/>
        <v>99.581999999999994</v>
      </c>
      <c r="AJ24" s="90" t="str">
        <f t="shared" si="3"/>
        <v>NAOI</v>
      </c>
      <c r="AK24" s="97">
        <f t="shared" si="15"/>
        <v>94.821999999999989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19.5</v>
      </c>
      <c r="B25" s="99">
        <f t="shared" si="1"/>
        <v>94.451999999999984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0.37</v>
      </c>
      <c r="AB25" s="115"/>
      <c r="AC25" s="116" t="str">
        <f t="shared" si="11"/>
        <v/>
      </c>
      <c r="AD25" s="117">
        <f t="shared" si="13"/>
        <v>94.451999999999984</v>
      </c>
      <c r="AE25" s="118">
        <v>0.5</v>
      </c>
      <c r="AF25" s="117">
        <f t="shared" si="12"/>
        <v>19.5</v>
      </c>
      <c r="AG25" s="122"/>
      <c r="AH25" s="90">
        <f t="shared" si="2"/>
        <v>94.821999999999989</v>
      </c>
      <c r="AI25" s="90">
        <f t="shared" si="6"/>
        <v>99.581999999999994</v>
      </c>
      <c r="AJ25" s="90" t="str">
        <f t="shared" si="3"/>
        <v>NAOI</v>
      </c>
      <c r="AK25" s="97">
        <f t="shared" si="15"/>
        <v>94.821999999999989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20</v>
      </c>
      <c r="B26" s="99">
        <f t="shared" si="1"/>
        <v>94.521999999999991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0.3</v>
      </c>
      <c r="AB26" s="115"/>
      <c r="AC26" s="116" t="str">
        <f t="shared" si="11"/>
        <v/>
      </c>
      <c r="AD26" s="117">
        <f t="shared" si="13"/>
        <v>94.521999999999991</v>
      </c>
      <c r="AE26" s="118">
        <v>0.5</v>
      </c>
      <c r="AF26" s="117">
        <f t="shared" si="12"/>
        <v>20</v>
      </c>
      <c r="AG26" s="122"/>
      <c r="AH26" s="90">
        <f t="shared" si="2"/>
        <v>94.821999999999989</v>
      </c>
      <c r="AI26" s="90">
        <f t="shared" si="6"/>
        <v>99.581999999999994</v>
      </c>
      <c r="AJ26" s="90" t="str">
        <f t="shared" si="3"/>
        <v>NAOI</v>
      </c>
      <c r="AK26" s="97">
        <f t="shared" si="15"/>
        <v>94.821999999999989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20.5</v>
      </c>
      <c r="B27" s="99">
        <f t="shared" si="1"/>
        <v>94.521999999999991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0.3</v>
      </c>
      <c r="AB27" s="115"/>
      <c r="AC27" s="116" t="str">
        <f t="shared" si="11"/>
        <v/>
      </c>
      <c r="AD27" s="117">
        <f t="shared" si="13"/>
        <v>94.521999999999991</v>
      </c>
      <c r="AE27" s="118">
        <v>0.5</v>
      </c>
      <c r="AF27" s="117">
        <f t="shared" si="12"/>
        <v>20.5</v>
      </c>
      <c r="AG27" s="122"/>
      <c r="AH27" s="90">
        <f t="shared" si="2"/>
        <v>94.821999999999989</v>
      </c>
      <c r="AI27" s="90">
        <f t="shared" si="6"/>
        <v>99.581999999999994</v>
      </c>
      <c r="AJ27" s="90" t="str">
        <f t="shared" si="3"/>
        <v>NAOI</v>
      </c>
      <c r="AK27" s="97">
        <f t="shared" si="15"/>
        <v>94.821999999999989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21</v>
      </c>
      <c r="B28" s="99">
        <f t="shared" si="1"/>
        <v>94.471999999999994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0.35</v>
      </c>
      <c r="AB28" s="115"/>
      <c r="AC28" s="116" t="str">
        <f t="shared" si="11"/>
        <v/>
      </c>
      <c r="AD28" s="117">
        <f t="shared" si="13"/>
        <v>94.471999999999994</v>
      </c>
      <c r="AE28" s="118">
        <v>0.5</v>
      </c>
      <c r="AF28" s="117">
        <f t="shared" si="12"/>
        <v>21</v>
      </c>
      <c r="AG28" s="122"/>
      <c r="AH28" s="90">
        <f t="shared" si="2"/>
        <v>94.821999999999989</v>
      </c>
      <c r="AI28" s="90">
        <f t="shared" si="6"/>
        <v>99.581999999999994</v>
      </c>
      <c r="AJ28" s="90" t="str">
        <f t="shared" si="3"/>
        <v>NAOI</v>
      </c>
      <c r="AK28" s="97">
        <f t="shared" si="15"/>
        <v>94.821999999999989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23</v>
      </c>
      <c r="B29" s="99">
        <f t="shared" si="1"/>
        <v>94.771999999999991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0.05</v>
      </c>
      <c r="AB29" s="115"/>
      <c r="AC29" s="116" t="str">
        <f t="shared" si="11"/>
        <v/>
      </c>
      <c r="AD29" s="117">
        <f t="shared" si="13"/>
        <v>94.771999999999991</v>
      </c>
      <c r="AE29" s="118">
        <v>2</v>
      </c>
      <c r="AF29" s="117">
        <f t="shared" si="12"/>
        <v>23</v>
      </c>
      <c r="AG29" s="122"/>
      <c r="AH29" s="90">
        <f t="shared" si="2"/>
        <v>99.581999999999994</v>
      </c>
      <c r="AI29" s="90">
        <f t="shared" si="6"/>
        <v>99.581999999999994</v>
      </c>
      <c r="AJ29" s="90" t="str">
        <f t="shared" si="3"/>
        <v>NAOI</v>
      </c>
      <c r="AK29" s="97">
        <f t="shared" si="15"/>
        <v>94.821999999999989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4"/>
        <v>0</v>
      </c>
    </row>
    <row r="30" spans="1:42" ht="15.75" x14ac:dyDescent="0.25">
      <c r="A30" s="98">
        <f t="shared" si="0"/>
        <v>23</v>
      </c>
      <c r="B30" s="99">
        <f t="shared" si="1"/>
        <v>94.801999999999992</v>
      </c>
      <c r="C30" s="100" t="str">
        <f t="shared" si="5"/>
        <v>NAOD</v>
      </c>
      <c r="D30" s="196"/>
      <c r="E30" s="121">
        <v>0.8</v>
      </c>
      <c r="X30" s="111"/>
      <c r="Y30" s="112"/>
      <c r="Z30" s="113"/>
      <c r="AA30" s="114">
        <v>4.78</v>
      </c>
      <c r="AB30" s="115"/>
      <c r="AC30" s="116" t="str">
        <f t="shared" si="11"/>
        <v/>
      </c>
      <c r="AD30" s="117">
        <f t="shared" si="13"/>
        <v>94.801999999999992</v>
      </c>
      <c r="AE30" s="118">
        <v>0</v>
      </c>
      <c r="AF30" s="117">
        <f t="shared" si="12"/>
        <v>23</v>
      </c>
      <c r="AG30" s="119" t="s">
        <v>10</v>
      </c>
      <c r="AH30" s="90">
        <f t="shared" si="2"/>
        <v>99.581999999999994</v>
      </c>
      <c r="AI30" s="90">
        <f t="shared" si="6"/>
        <v>99.581999999999994</v>
      </c>
      <c r="AJ30" s="90" t="str">
        <f t="shared" si="3"/>
        <v>NAOD</v>
      </c>
      <c r="AK30" s="97">
        <f t="shared" si="15"/>
        <v>94.801999999999992</v>
      </c>
      <c r="AL30" s="90" t="str">
        <f t="shared" si="7"/>
        <v/>
      </c>
      <c r="AM30" s="97" t="str">
        <f t="shared" si="8"/>
        <v/>
      </c>
      <c r="AN30" s="90">
        <f t="shared" si="9"/>
        <v>94.801999999999992</v>
      </c>
      <c r="AO30" s="90">
        <f t="shared" si="10"/>
        <v>23</v>
      </c>
      <c r="AP30" s="90">
        <f t="shared" si="14"/>
        <v>0</v>
      </c>
    </row>
    <row r="31" spans="1:42" ht="15.75" x14ac:dyDescent="0.25">
      <c r="A31" s="98">
        <f t="shared" si="0"/>
        <v>25</v>
      </c>
      <c r="B31" s="99">
        <f t="shared" si="1"/>
        <v>96.512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3.07</v>
      </c>
      <c r="AB31" s="115"/>
      <c r="AC31" s="116" t="str">
        <f t="shared" si="11"/>
        <v/>
      </c>
      <c r="AD31" s="117">
        <f t="shared" si="13"/>
        <v>96.512</v>
      </c>
      <c r="AE31" s="118">
        <v>2</v>
      </c>
      <c r="AF31" s="117">
        <f t="shared" si="12"/>
        <v>25</v>
      </c>
      <c r="AG31" s="122"/>
      <c r="AH31" s="90">
        <f t="shared" si="2"/>
        <v>99.581999999999994</v>
      </c>
      <c r="AI31" s="90">
        <f t="shared" si="6"/>
        <v>99.581999999999994</v>
      </c>
      <c r="AJ31" s="90" t="str">
        <f t="shared" si="3"/>
        <v>NAOD</v>
      </c>
      <c r="AK31" s="97">
        <f t="shared" si="15"/>
        <v>96.512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26</v>
      </c>
      <c r="B32" s="99">
        <f t="shared" si="1"/>
        <v>98.012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1.57</v>
      </c>
      <c r="AB32" s="115"/>
      <c r="AC32" s="116" t="str">
        <f t="shared" si="11"/>
        <v/>
      </c>
      <c r="AD32" s="117">
        <f t="shared" si="13"/>
        <v>98.012</v>
      </c>
      <c r="AE32" s="118">
        <v>1</v>
      </c>
      <c r="AF32" s="117">
        <f t="shared" si="12"/>
        <v>26</v>
      </c>
      <c r="AG32" s="122"/>
      <c r="AH32" s="90">
        <f t="shared" si="2"/>
        <v>99.581999999999994</v>
      </c>
      <c r="AI32" s="90">
        <f t="shared" si="6"/>
        <v>99.581999999999994</v>
      </c>
      <c r="AJ32" s="90" t="str">
        <f t="shared" si="3"/>
        <v>NAOD</v>
      </c>
      <c r="AK32" s="97">
        <f t="shared" si="15"/>
        <v>98.012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28</v>
      </c>
      <c r="B33" s="99">
        <f t="shared" si="1"/>
        <v>98.122</v>
      </c>
      <c r="C33" s="100" t="str">
        <f t="shared" si="5"/>
        <v/>
      </c>
      <c r="D33" s="196"/>
      <c r="X33" s="111" t="s">
        <v>50</v>
      </c>
      <c r="Y33" s="112"/>
      <c r="Z33" s="113">
        <v>0.497</v>
      </c>
      <c r="AA33" s="114"/>
      <c r="AB33" s="115">
        <v>1.46</v>
      </c>
      <c r="AC33" s="116">
        <f t="shared" si="11"/>
        <v>98.619</v>
      </c>
      <c r="AD33" s="117">
        <f t="shared" si="13"/>
        <v>98.122</v>
      </c>
      <c r="AE33" s="118">
        <v>2</v>
      </c>
      <c r="AF33" s="117">
        <f t="shared" si="12"/>
        <v>28</v>
      </c>
      <c r="AG33" s="122"/>
      <c r="AH33" s="90">
        <f t="shared" si="2"/>
        <v>98.619</v>
      </c>
      <c r="AI33" s="90">
        <f t="shared" si="6"/>
        <v>98.619</v>
      </c>
      <c r="AJ33" s="90" t="str">
        <f t="shared" si="3"/>
        <v>NAOD</v>
      </c>
      <c r="AK33" s="97">
        <f t="shared" si="15"/>
        <v>98.122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>
        <f t="shared" si="0"/>
        <v>30</v>
      </c>
      <c r="B34" s="99">
        <f t="shared" si="1"/>
        <v>98.221000000000004</v>
      </c>
      <c r="C34" s="100" t="str">
        <f t="shared" si="5"/>
        <v>PRD</v>
      </c>
      <c r="D34" s="196"/>
      <c r="X34" s="111" t="s">
        <v>51</v>
      </c>
      <c r="Y34" s="112"/>
      <c r="Z34" s="113">
        <v>1.91</v>
      </c>
      <c r="AA34" s="114"/>
      <c r="AB34" s="115">
        <v>0.39800000000000002</v>
      </c>
      <c r="AC34" s="116">
        <f t="shared" si="11"/>
        <v>100.131</v>
      </c>
      <c r="AD34" s="117">
        <f t="shared" si="13"/>
        <v>98.221000000000004</v>
      </c>
      <c r="AE34" s="118">
        <v>2</v>
      </c>
      <c r="AF34" s="117">
        <f t="shared" si="12"/>
        <v>30</v>
      </c>
      <c r="AG34" s="119" t="s">
        <v>5</v>
      </c>
      <c r="AH34" s="90">
        <f t="shared" si="2"/>
        <v>100.131</v>
      </c>
      <c r="AI34" s="90">
        <f t="shared" si="6"/>
        <v>100.131</v>
      </c>
      <c r="AJ34" s="90" t="str">
        <f t="shared" si="3"/>
        <v>PRD</v>
      </c>
      <c r="AK34" s="97">
        <f t="shared" si="15"/>
        <v>98.221000000000004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32</v>
      </c>
      <c r="B35" s="99">
        <f t="shared" si="1"/>
        <v>98.694000000000003</v>
      </c>
      <c r="C35" s="100" t="str">
        <f t="shared" si="5"/>
        <v>S/BM</v>
      </c>
      <c r="D35" s="196"/>
      <c r="X35" s="111"/>
      <c r="Y35" s="112"/>
      <c r="Z35" s="113"/>
      <c r="AA35" s="114">
        <v>1.4370000000000001</v>
      </c>
      <c r="AB35" s="115"/>
      <c r="AC35" s="116" t="str">
        <f t="shared" si="11"/>
        <v/>
      </c>
      <c r="AD35" s="117">
        <f t="shared" si="13"/>
        <v>98.694000000000003</v>
      </c>
      <c r="AE35" s="118">
        <v>2</v>
      </c>
      <c r="AF35" s="117">
        <f t="shared" si="12"/>
        <v>32</v>
      </c>
      <c r="AG35" s="120" t="s">
        <v>19</v>
      </c>
      <c r="AH35" s="90">
        <f t="shared" si="2"/>
        <v>100.131</v>
      </c>
      <c r="AI35" s="90">
        <f t="shared" si="6"/>
        <v>100.131</v>
      </c>
      <c r="AJ35" s="90" t="str">
        <f t="shared" si="3"/>
        <v>S/BM</v>
      </c>
      <c r="AK35" s="97">
        <f t="shared" si="15"/>
        <v>98.694000000000003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>
        <f t="shared" si="0"/>
        <v>33.5</v>
      </c>
      <c r="B36" s="99">
        <f t="shared" si="1"/>
        <v>98.694000000000003</v>
      </c>
      <c r="C36" s="100" t="str">
        <f t="shared" si="5"/>
        <v/>
      </c>
      <c r="D36" s="196"/>
      <c r="X36" s="111"/>
      <c r="Y36" s="112"/>
      <c r="Z36" s="113"/>
      <c r="AA36" s="114"/>
      <c r="AB36" s="115"/>
      <c r="AC36" s="116">
        <f t="shared" si="11"/>
        <v>98.694000000000003</v>
      </c>
      <c r="AD36" s="117">
        <f t="shared" si="13"/>
        <v>98.694000000000003</v>
      </c>
      <c r="AE36" s="118">
        <v>1.5</v>
      </c>
      <c r="AF36" s="117">
        <f t="shared" si="12"/>
        <v>33.5</v>
      </c>
      <c r="AG36" s="119"/>
      <c r="AH36" s="90">
        <f t="shared" si="2"/>
        <v>98.694000000000003</v>
      </c>
      <c r="AI36" s="90">
        <f t="shared" si="6"/>
        <v>98.694000000000003</v>
      </c>
      <c r="AJ36" s="90" t="str">
        <f t="shared" si="3"/>
        <v>S/BM</v>
      </c>
      <c r="AK36" s="97">
        <f t="shared" si="15"/>
        <v>98.694000000000003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1</v>
      </c>
    </row>
    <row r="37" spans="1:42" ht="15.75" x14ac:dyDescent="0.25">
      <c r="A37" s="98">
        <f t="shared" si="0"/>
        <v>33.5</v>
      </c>
      <c r="B37" s="99">
        <f t="shared" si="1"/>
        <v>98.694000000000003</v>
      </c>
      <c r="C37" s="100" t="str">
        <f t="shared" si="5"/>
        <v/>
      </c>
      <c r="D37" s="196"/>
      <c r="X37" s="111"/>
      <c r="Y37" s="112"/>
      <c r="Z37" s="113"/>
      <c r="AA37" s="114"/>
      <c r="AB37" s="115"/>
      <c r="AC37" s="116">
        <f t="shared" si="11"/>
        <v>98.694000000000003</v>
      </c>
      <c r="AD37" s="117">
        <f t="shared" si="13"/>
        <v>98.694000000000003</v>
      </c>
      <c r="AE37" s="118">
        <v>0</v>
      </c>
      <c r="AF37" s="117">
        <f t="shared" si="12"/>
        <v>33.5</v>
      </c>
      <c r="AG37" s="119"/>
      <c r="AH37" s="90">
        <f t="shared" si="2"/>
        <v>98.694000000000003</v>
      </c>
      <c r="AI37" s="90">
        <f t="shared" si="6"/>
        <v>98.694000000000003</v>
      </c>
      <c r="AJ37" s="90" t="str">
        <f t="shared" si="3"/>
        <v>S/BM</v>
      </c>
      <c r="AK37" s="97">
        <f t="shared" si="15"/>
        <v>98.694000000000003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1</v>
      </c>
    </row>
    <row r="38" spans="1:42" ht="15.75" x14ac:dyDescent="0.25">
      <c r="A38" s="98">
        <f t="shared" si="0"/>
        <v>35.5</v>
      </c>
      <c r="B38" s="99">
        <f t="shared" si="1"/>
        <v>98.694000000000003</v>
      </c>
      <c r="C38" s="100" t="str">
        <f t="shared" si="5"/>
        <v/>
      </c>
      <c r="D38" s="196"/>
      <c r="X38" s="111"/>
      <c r="Y38" s="112"/>
      <c r="Z38" s="113"/>
      <c r="AA38" s="114"/>
      <c r="AB38" s="115"/>
      <c r="AC38" s="116">
        <f t="shared" si="11"/>
        <v>98.694000000000003</v>
      </c>
      <c r="AD38" s="117">
        <f t="shared" si="13"/>
        <v>98.694000000000003</v>
      </c>
      <c r="AE38" s="118">
        <v>2</v>
      </c>
      <c r="AF38" s="117">
        <f t="shared" si="12"/>
        <v>35.5</v>
      </c>
      <c r="AG38" s="120"/>
      <c r="AH38" s="90">
        <f t="shared" si="2"/>
        <v>98.694000000000003</v>
      </c>
      <c r="AI38" s="90">
        <f t="shared" si="6"/>
        <v>98.694000000000003</v>
      </c>
      <c r="AJ38" s="90" t="str">
        <f t="shared" si="3"/>
        <v>S/BM</v>
      </c>
      <c r="AK38" s="97">
        <f t="shared" si="15"/>
        <v>98.694000000000003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1</v>
      </c>
    </row>
    <row r="39" spans="1:42" ht="15.75" x14ac:dyDescent="0.25">
      <c r="A39" s="98">
        <f t="shared" si="0"/>
        <v>37.200000000000003</v>
      </c>
      <c r="B39" s="99">
        <f t="shared" si="1"/>
        <v>98.694000000000003</v>
      </c>
      <c r="C39" s="100" t="str">
        <f t="shared" si="5"/>
        <v/>
      </c>
      <c r="D39" s="196"/>
      <c r="X39" s="111"/>
      <c r="Y39" s="112"/>
      <c r="Z39" s="113"/>
      <c r="AA39" s="114"/>
      <c r="AB39" s="115"/>
      <c r="AC39" s="116">
        <f t="shared" si="11"/>
        <v>98.694000000000003</v>
      </c>
      <c r="AD39" s="117">
        <f t="shared" si="13"/>
        <v>98.694000000000003</v>
      </c>
      <c r="AE39" s="118">
        <v>1.7</v>
      </c>
      <c r="AF39" s="117">
        <f t="shared" si="12"/>
        <v>37.200000000000003</v>
      </c>
      <c r="AG39" s="120"/>
      <c r="AH39" s="90">
        <f t="shared" si="2"/>
        <v>98.694000000000003</v>
      </c>
      <c r="AI39" s="90">
        <f t="shared" si="6"/>
        <v>98.694000000000003</v>
      </c>
      <c r="AJ39" s="90" t="str">
        <f t="shared" si="3"/>
        <v>S/BM</v>
      </c>
      <c r="AK39" s="97">
        <f t="shared" si="15"/>
        <v>98.694000000000003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1</v>
      </c>
    </row>
    <row r="40" spans="1:42" ht="15.75" x14ac:dyDescent="0.25">
      <c r="A40" s="98">
        <f t="shared" si="0"/>
        <v>37.200000000000003</v>
      </c>
      <c r="B40" s="99">
        <f t="shared" si="1"/>
        <v>98.694000000000003</v>
      </c>
      <c r="C40" s="100" t="str">
        <f t="shared" si="5"/>
        <v/>
      </c>
      <c r="D40" s="196"/>
      <c r="X40" s="111"/>
      <c r="Y40" s="112"/>
      <c r="Z40" s="113"/>
      <c r="AA40" s="114"/>
      <c r="AB40" s="115"/>
      <c r="AC40" s="116">
        <f t="shared" si="11"/>
        <v>98.694000000000003</v>
      </c>
      <c r="AD40" s="117">
        <f t="shared" si="13"/>
        <v>98.694000000000003</v>
      </c>
      <c r="AE40" s="118">
        <v>0</v>
      </c>
      <c r="AF40" s="117">
        <f t="shared" si="12"/>
        <v>37.200000000000003</v>
      </c>
      <c r="AG40" s="120"/>
      <c r="AH40" s="90">
        <f t="shared" si="2"/>
        <v>98.694000000000003</v>
      </c>
      <c r="AI40" s="90">
        <f t="shared" si="6"/>
        <v>98.694000000000003</v>
      </c>
      <c r="AJ40" s="90" t="str">
        <f t="shared" si="3"/>
        <v>S/BM</v>
      </c>
      <c r="AK40" s="97">
        <f t="shared" si="15"/>
        <v>98.694000000000003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1</v>
      </c>
    </row>
    <row r="41" spans="1:42" ht="15.75" x14ac:dyDescent="0.25">
      <c r="A41" s="98">
        <f t="shared" si="0"/>
        <v>37.200000000000003</v>
      </c>
      <c r="B41" s="99">
        <f t="shared" si="1"/>
        <v>98.694000000000003</v>
      </c>
      <c r="C41" s="100" t="str">
        <f>IF(AG41="","",AG41)</f>
        <v/>
      </c>
      <c r="D41" s="196"/>
      <c r="X41" s="111"/>
      <c r="Y41" s="112"/>
      <c r="Z41" s="113"/>
      <c r="AA41" s="114"/>
      <c r="AB41" s="115"/>
      <c r="AC41" s="116">
        <f t="shared" si="11"/>
        <v>98.694000000000003</v>
      </c>
      <c r="AD41" s="117">
        <f t="shared" si="13"/>
        <v>98.694000000000003</v>
      </c>
      <c r="AE41" s="118">
        <v>0</v>
      </c>
      <c r="AF41" s="117">
        <f t="shared" si="12"/>
        <v>37.200000000000003</v>
      </c>
      <c r="AG41" s="120"/>
      <c r="AH41" s="90">
        <f t="shared" si="2"/>
        <v>98.694000000000003</v>
      </c>
      <c r="AI41" s="90">
        <f t="shared" si="6"/>
        <v>98.694000000000003</v>
      </c>
      <c r="AJ41" s="90" t="str">
        <f>IF(AG41="",AJ40,AG41)</f>
        <v>S/BM</v>
      </c>
      <c r="AK41" s="97">
        <f t="shared" si="15"/>
        <v>98.694000000000003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1</v>
      </c>
    </row>
    <row r="42" spans="1:42" ht="15.75" x14ac:dyDescent="0.25">
      <c r="A42" s="98">
        <f t="shared" si="0"/>
        <v>42.2</v>
      </c>
      <c r="B42" s="99">
        <f t="shared" si="1"/>
        <v>98.694000000000003</v>
      </c>
      <c r="C42" s="100" t="str">
        <f>IF(AG42="","",AG42)</f>
        <v/>
      </c>
      <c r="D42" s="196"/>
      <c r="X42" s="111"/>
      <c r="Y42" s="112"/>
      <c r="Z42" s="113"/>
      <c r="AA42" s="114"/>
      <c r="AB42" s="115"/>
      <c r="AC42" s="116">
        <f t="shared" si="11"/>
        <v>98.694000000000003</v>
      </c>
      <c r="AD42" s="117">
        <f t="shared" si="13"/>
        <v>98.694000000000003</v>
      </c>
      <c r="AE42" s="118">
        <v>5</v>
      </c>
      <c r="AF42" s="117">
        <f t="shared" si="12"/>
        <v>42.2</v>
      </c>
      <c r="AG42" s="120"/>
      <c r="AH42" s="90">
        <f t="shared" si="2"/>
        <v>98.694000000000003</v>
      </c>
      <c r="AI42" s="90">
        <f t="shared" si="6"/>
        <v>98.694000000000003</v>
      </c>
      <c r="AJ42" s="90" t="str">
        <f>IF(AG42="",AJ41,AG42)</f>
        <v>S/BM</v>
      </c>
      <c r="AK42" s="97">
        <f t="shared" si="15"/>
        <v>98.694000000000003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1</v>
      </c>
    </row>
    <row r="43" spans="1:42" ht="15.75" x14ac:dyDescent="0.25">
      <c r="A43" s="98">
        <f t="shared" si="0"/>
        <v>52.2</v>
      </c>
      <c r="B43" s="99">
        <f t="shared" si="1"/>
        <v>98.694000000000003</v>
      </c>
      <c r="C43" s="100" t="str">
        <f t="shared" si="5"/>
        <v/>
      </c>
      <c r="D43" s="196"/>
      <c r="X43" s="111"/>
      <c r="Y43" s="112"/>
      <c r="Z43" s="113"/>
      <c r="AA43" s="114"/>
      <c r="AB43" s="115"/>
      <c r="AC43" s="116">
        <f t="shared" si="11"/>
        <v>98.694000000000003</v>
      </c>
      <c r="AD43" s="117">
        <f t="shared" si="13"/>
        <v>98.694000000000003</v>
      </c>
      <c r="AE43" s="118">
        <v>10</v>
      </c>
      <c r="AF43" s="117">
        <f t="shared" si="12"/>
        <v>52.2</v>
      </c>
      <c r="AG43" s="120"/>
      <c r="AH43" s="90">
        <f t="shared" si="2"/>
        <v>98.694000000000003</v>
      </c>
      <c r="AI43" s="90">
        <f t="shared" si="6"/>
        <v>98.694000000000003</v>
      </c>
      <c r="AJ43" s="90" t="str">
        <f t="shared" si="3"/>
        <v>S/BM</v>
      </c>
      <c r="AK43" s="97">
        <f t="shared" si="15"/>
        <v>98.694000000000003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1</v>
      </c>
    </row>
    <row r="44" spans="1:42" ht="15.75" x14ac:dyDescent="0.25">
      <c r="A44" s="98">
        <f t="shared" si="0"/>
        <v>56.1</v>
      </c>
      <c r="B44" s="99">
        <f t="shared" si="1"/>
        <v>98.694000000000003</v>
      </c>
      <c r="C44" s="100" t="str">
        <f t="shared" si="5"/>
        <v/>
      </c>
      <c r="D44" s="196"/>
      <c r="X44" s="111"/>
      <c r="Y44" s="112"/>
      <c r="Z44" s="113"/>
      <c r="AA44" s="114"/>
      <c r="AB44" s="115"/>
      <c r="AC44" s="116">
        <f t="shared" si="11"/>
        <v>98.694000000000003</v>
      </c>
      <c r="AD44" s="117">
        <f t="shared" si="13"/>
        <v>98.694000000000003</v>
      </c>
      <c r="AE44" s="118">
        <v>3.9</v>
      </c>
      <c r="AF44" s="117">
        <f t="shared" si="12"/>
        <v>56.1</v>
      </c>
      <c r="AG44" s="119"/>
      <c r="AH44" s="90">
        <f t="shared" si="2"/>
        <v>98.694000000000003</v>
      </c>
      <c r="AI44" s="90">
        <f t="shared" si="6"/>
        <v>98.694000000000003</v>
      </c>
      <c r="AJ44" s="90" t="str">
        <f t="shared" si="3"/>
        <v>S/BM</v>
      </c>
      <c r="AK44" s="97">
        <f t="shared" si="15"/>
        <v>98.694000000000003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1</v>
      </c>
    </row>
    <row r="45" spans="1:42" ht="15.75" x14ac:dyDescent="0.25">
      <c r="A45" s="98">
        <f t="shared" si="0"/>
        <v>56.1</v>
      </c>
      <c r="B45" s="99">
        <f t="shared" si="1"/>
        <v>98.694000000000003</v>
      </c>
      <c r="C45" s="100" t="str">
        <f>IF(AG45="","",AG45)</f>
        <v/>
      </c>
      <c r="D45" s="196"/>
      <c r="X45" s="111"/>
      <c r="Y45" s="112"/>
      <c r="Z45" s="113"/>
      <c r="AA45" s="123"/>
      <c r="AB45" s="124"/>
      <c r="AC45" s="116">
        <f t="shared" si="11"/>
        <v>98.694000000000003</v>
      </c>
      <c r="AD45" s="117">
        <f t="shared" si="13"/>
        <v>98.694000000000003</v>
      </c>
      <c r="AE45" s="125">
        <v>0</v>
      </c>
      <c r="AF45" s="117">
        <f t="shared" si="12"/>
        <v>56.1</v>
      </c>
      <c r="AG45" s="119"/>
      <c r="AH45" s="90">
        <f t="shared" si="2"/>
        <v>98.694000000000003</v>
      </c>
      <c r="AI45" s="90">
        <f t="shared" si="6"/>
        <v>98.694000000000003</v>
      </c>
      <c r="AJ45" s="90" t="str">
        <f t="shared" si="3"/>
        <v>S/BM</v>
      </c>
      <c r="AK45" s="97">
        <f t="shared" si="15"/>
        <v>98.694000000000003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1</v>
      </c>
    </row>
    <row r="46" spans="1:42" ht="15.75" x14ac:dyDescent="0.25">
      <c r="A46" s="98">
        <f t="shared" si="0"/>
        <v>56.1</v>
      </c>
      <c r="B46" s="99">
        <f t="shared" si="1"/>
        <v>98.694000000000003</v>
      </c>
      <c r="C46" s="100" t="str">
        <f>IF(AG46="","",AG46)</f>
        <v/>
      </c>
      <c r="D46" s="196"/>
      <c r="X46" s="111"/>
      <c r="Y46" s="112"/>
      <c r="Z46" s="113"/>
      <c r="AA46" s="123"/>
      <c r="AB46" s="124"/>
      <c r="AC46" s="116">
        <f t="shared" si="11"/>
        <v>98.694000000000003</v>
      </c>
      <c r="AD46" s="117">
        <f t="shared" si="13"/>
        <v>98.694000000000003</v>
      </c>
      <c r="AE46" s="125">
        <v>0</v>
      </c>
      <c r="AF46" s="117">
        <f t="shared" si="12"/>
        <v>56.1</v>
      </c>
      <c r="AG46" s="120"/>
      <c r="AH46" s="90">
        <f t="shared" si="2"/>
        <v>98.694000000000003</v>
      </c>
      <c r="AI46" s="90">
        <f t="shared" si="6"/>
        <v>98.694000000000003</v>
      </c>
      <c r="AJ46" s="90" t="str">
        <f t="shared" si="3"/>
        <v>S/BM</v>
      </c>
      <c r="AK46" s="97">
        <f t="shared" si="15"/>
        <v>98.694000000000003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1</v>
      </c>
    </row>
    <row r="47" spans="1:42" ht="15.75" x14ac:dyDescent="0.25">
      <c r="A47" s="98">
        <f t="shared" si="0"/>
        <v>56.1</v>
      </c>
      <c r="B47" s="99">
        <f t="shared" si="1"/>
        <v>98.694000000000003</v>
      </c>
      <c r="C47" s="100" t="str">
        <f t="shared" ref="C47:C51" si="16">IF(AG47="","",AG47)</f>
        <v/>
      </c>
      <c r="D47" s="196"/>
      <c r="X47" s="111"/>
      <c r="Y47" s="112"/>
      <c r="Z47" s="113"/>
      <c r="AA47" s="123"/>
      <c r="AB47" s="124"/>
      <c r="AC47" s="116">
        <f>IF(AA47="",AD47+Z47,"")</f>
        <v>98.694000000000003</v>
      </c>
      <c r="AD47" s="117">
        <f t="shared" si="13"/>
        <v>98.694000000000003</v>
      </c>
      <c r="AE47" s="125"/>
      <c r="AF47" s="117">
        <f>+AF46+AE47</f>
        <v>56.1</v>
      </c>
      <c r="AG47" s="120"/>
      <c r="AH47" s="90">
        <f>IF(AND(AJ47="NAOI",AJ47=AJ48),AK47,AI47)</f>
        <v>98.694000000000003</v>
      </c>
      <c r="AI47" s="90">
        <f>IF(AA47="",AC47,AI46)</f>
        <v>98.694000000000003</v>
      </c>
      <c r="AJ47" s="90" t="str">
        <f t="shared" si="3"/>
        <v>S/BM</v>
      </c>
      <c r="AK47" s="97">
        <f>IF(AND(AJ47="NAOI",AJ46="NAOI"),AK46,AD47)</f>
        <v>98.694000000000003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1</v>
      </c>
    </row>
    <row r="48" spans="1:42" ht="15.75" x14ac:dyDescent="0.25">
      <c r="A48" s="98">
        <f t="shared" si="0"/>
        <v>56.1</v>
      </c>
      <c r="B48" s="99">
        <f t="shared" si="1"/>
        <v>98.694000000000003</v>
      </c>
      <c r="C48" s="100" t="str">
        <f t="shared" si="16"/>
        <v/>
      </c>
      <c r="D48" s="196"/>
      <c r="X48" s="111"/>
      <c r="Y48" s="112"/>
      <c r="Z48" s="113"/>
      <c r="AA48" s="123"/>
      <c r="AB48" s="124"/>
      <c r="AC48" s="116">
        <f t="shared" ref="AC48:AC51" si="17">IF(AA48="",AD48+Z48,"")</f>
        <v>98.694000000000003</v>
      </c>
      <c r="AD48" s="117">
        <f t="shared" si="13"/>
        <v>98.694000000000003</v>
      </c>
      <c r="AE48" s="125"/>
      <c r="AF48" s="117">
        <f t="shared" ref="AF48:AF51" si="18">+AF47+AE48</f>
        <v>56.1</v>
      </c>
      <c r="AG48" s="120"/>
      <c r="AH48" s="90">
        <f>IF(AND(AJ48="NAOI",AJ48=AJ49),AK48,AI48)</f>
        <v>98.694000000000003</v>
      </c>
      <c r="AI48" s="90">
        <f>IF(AA48="",AC48,AI47)</f>
        <v>98.694000000000003</v>
      </c>
      <c r="AJ48" s="90" t="str">
        <f t="shared" si="3"/>
        <v>S/BM</v>
      </c>
      <c r="AK48" s="97">
        <f>IF(AND(AJ48="NAOI",AJ47="NAOI"),AK47,AD48)</f>
        <v>98.694000000000003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1</v>
      </c>
    </row>
    <row r="49" spans="1:42" ht="15.75" x14ac:dyDescent="0.25">
      <c r="A49" s="98">
        <f t="shared" si="0"/>
        <v>56.1</v>
      </c>
      <c r="B49" s="99">
        <f t="shared" si="1"/>
        <v>98.694000000000003</v>
      </c>
      <c r="C49" s="100" t="str">
        <f t="shared" si="16"/>
        <v/>
      </c>
      <c r="D49" s="196"/>
      <c r="X49" s="111"/>
      <c r="Y49" s="112"/>
      <c r="Z49" s="113"/>
      <c r="AA49" s="123"/>
      <c r="AB49" s="124"/>
      <c r="AC49" s="116">
        <f t="shared" si="17"/>
        <v>98.694000000000003</v>
      </c>
      <c r="AD49" s="117">
        <f t="shared" si="13"/>
        <v>98.694000000000003</v>
      </c>
      <c r="AE49" s="125"/>
      <c r="AF49" s="117">
        <f t="shared" si="18"/>
        <v>56.1</v>
      </c>
      <c r="AG49" s="120"/>
      <c r="AH49" s="90">
        <f>IF(AND(AJ49="NAOI",AJ49=AJ50),AK49,AI49)</f>
        <v>98.694000000000003</v>
      </c>
      <c r="AI49" s="90">
        <f>IF(AA49="",AC49,AI48)</f>
        <v>98.694000000000003</v>
      </c>
      <c r="AJ49" s="90" t="str">
        <f t="shared" si="3"/>
        <v>S/BM</v>
      </c>
      <c r="AK49" s="97">
        <f>IF(AND(AJ49="NAOI",AJ48="NAOI"),AK48,AD49)</f>
        <v>98.694000000000003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1</v>
      </c>
    </row>
    <row r="50" spans="1:42" ht="15.75" x14ac:dyDescent="0.25">
      <c r="A50" s="98">
        <f t="shared" si="0"/>
        <v>56.1</v>
      </c>
      <c r="B50" s="99">
        <f t="shared" si="1"/>
        <v>98.694000000000003</v>
      </c>
      <c r="C50" s="100" t="str">
        <f t="shared" si="16"/>
        <v/>
      </c>
      <c r="D50" s="196"/>
      <c r="X50" s="111"/>
      <c r="Y50" s="112"/>
      <c r="Z50" s="113"/>
      <c r="AA50" s="123"/>
      <c r="AB50" s="124"/>
      <c r="AC50" s="116">
        <f t="shared" si="17"/>
        <v>98.694000000000003</v>
      </c>
      <c r="AD50" s="117">
        <f t="shared" si="13"/>
        <v>98.694000000000003</v>
      </c>
      <c r="AE50" s="125"/>
      <c r="AF50" s="117">
        <f t="shared" si="18"/>
        <v>56.1</v>
      </c>
      <c r="AG50" s="120"/>
      <c r="AH50" s="90">
        <f>IF(AND(AJ50="NAOI",AJ50=AJ51),AK50,AI50)</f>
        <v>98.694000000000003</v>
      </c>
      <c r="AI50" s="90">
        <f>IF(AA50="",AC50,AI49)</f>
        <v>98.694000000000003</v>
      </c>
      <c r="AJ50" s="90" t="str">
        <f t="shared" si="3"/>
        <v>S/BM</v>
      </c>
      <c r="AK50" s="97">
        <f>IF(AND(AJ50="NAOI",AJ49="NAOI"),AK49,AD50)</f>
        <v>98.694000000000003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1</v>
      </c>
    </row>
    <row r="51" spans="1:42" ht="16.5" thickBot="1" x14ac:dyDescent="0.3">
      <c r="A51" s="126">
        <f t="shared" si="0"/>
        <v>56.1</v>
      </c>
      <c r="B51" s="127">
        <f t="shared" si="1"/>
        <v>98.694000000000003</v>
      </c>
      <c r="C51" s="100" t="str">
        <f t="shared" si="16"/>
        <v/>
      </c>
      <c r="D51" s="196"/>
      <c r="X51" s="128"/>
      <c r="Y51" s="129"/>
      <c r="Z51" s="130"/>
      <c r="AA51" s="131"/>
      <c r="AB51" s="132"/>
      <c r="AC51" s="133">
        <f t="shared" si="17"/>
        <v>98.694000000000003</v>
      </c>
      <c r="AD51" s="134">
        <f t="shared" si="13"/>
        <v>98.694000000000003</v>
      </c>
      <c r="AE51" s="135"/>
      <c r="AF51" s="134">
        <f t="shared" si="18"/>
        <v>56.1</v>
      </c>
      <c r="AG51" s="136"/>
      <c r="AH51" s="90">
        <f>IF(AND(AJ51="NAOI",AJ51=AJ52),AK51,AI51)</f>
        <v>98.694000000000003</v>
      </c>
      <c r="AI51" s="90">
        <f>IF(AA51="",AC51,AI50)</f>
        <v>98.694000000000003</v>
      </c>
      <c r="AJ51" s="90" t="str">
        <f t="shared" si="3"/>
        <v>S/BM</v>
      </c>
      <c r="AK51" s="97">
        <f>IF(AND(AJ51="NAOI",AJ50="NAOI"),AK50,AD51)</f>
        <v>98.694000000000003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1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10.5</v>
      </c>
      <c r="B53" s="140">
        <f>AL4</f>
        <v>94.821999999999989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23</v>
      </c>
      <c r="B54" s="140">
        <f>AN4</f>
        <v>94.801999999999992</v>
      </c>
      <c r="C54" s="143" t="s">
        <v>10</v>
      </c>
      <c r="D54" s="184"/>
    </row>
    <row r="55" spans="1:42" ht="20.100000000000001" customHeight="1" x14ac:dyDescent="0.2">
      <c r="A55" s="144">
        <v>23</v>
      </c>
      <c r="B55" s="145">
        <v>93.302999999999997</v>
      </c>
      <c r="C55" s="146" t="s">
        <v>8</v>
      </c>
      <c r="D55" s="184"/>
    </row>
    <row r="56" spans="1:42" ht="20.100000000000001" customHeight="1" x14ac:dyDescent="0.2">
      <c r="A56" s="144">
        <v>23</v>
      </c>
      <c r="B56" s="147">
        <f>B55+4</f>
        <v>97.302999999999997</v>
      </c>
      <c r="C56" s="146" t="s">
        <v>8</v>
      </c>
      <c r="D56" s="184"/>
    </row>
    <row r="57" spans="1:42" ht="20.100000000000001" customHeight="1" x14ac:dyDescent="0.2">
      <c r="A57" s="63">
        <v>23.5</v>
      </c>
      <c r="B57" s="147">
        <v>96.317999999999998</v>
      </c>
      <c r="C57" s="148" t="s">
        <v>2</v>
      </c>
      <c r="D57" s="184"/>
    </row>
    <row r="58" spans="1:42" ht="20.100000000000001" customHeight="1" thickBot="1" x14ac:dyDescent="0.25">
      <c r="A58" s="144">
        <f>A57</f>
        <v>23.5</v>
      </c>
      <c r="B58" s="147">
        <f>B57+1.5</f>
        <v>97.817999999999998</v>
      </c>
      <c r="C58" s="149" t="s">
        <v>2</v>
      </c>
      <c r="D58" s="184"/>
    </row>
    <row r="59" spans="1:42" ht="13.5" thickBot="1" x14ac:dyDescent="0.25">
      <c r="A59" s="150"/>
      <c r="B59" s="151"/>
      <c r="C59" s="152" t="s">
        <v>7</v>
      </c>
      <c r="D59" s="153"/>
    </row>
    <row r="60" spans="1:42" ht="13.5" thickBot="1" x14ac:dyDescent="0.25">
      <c r="A60" s="154"/>
      <c r="B60" s="151"/>
      <c r="C60" s="152" t="s">
        <v>7</v>
      </c>
      <c r="D60" s="153"/>
    </row>
    <row r="61" spans="1:42" ht="18" x14ac:dyDescent="0.25">
      <c r="A61" s="155" t="s">
        <v>52</v>
      </c>
      <c r="B61" s="156"/>
      <c r="C61" s="157"/>
      <c r="D61" s="153"/>
    </row>
    <row r="62" spans="1:42" ht="18" x14ac:dyDescent="0.25">
      <c r="A62" s="155" t="s">
        <v>53</v>
      </c>
      <c r="B62" s="156"/>
      <c r="C62" s="158">
        <f>B55</f>
        <v>93.302999999999997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62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59</v>
      </c>
      <c r="C69" s="181"/>
    </row>
    <row r="70" spans="1:4" ht="14.25" x14ac:dyDescent="0.2">
      <c r="A70" s="161" t="s">
        <v>60</v>
      </c>
      <c r="B70" s="181" t="s">
        <v>61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42765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953" priority="84" stopIfTrue="1">
      <formula>$AP$47=1</formula>
    </cfRule>
  </conditionalFormatting>
  <conditionalFormatting sqref="AC46:AF46">
    <cfRule type="expression" dxfId="952" priority="83" stopIfTrue="1">
      <formula>$AP$46</formula>
    </cfRule>
  </conditionalFormatting>
  <conditionalFormatting sqref="AC50:AF50">
    <cfRule type="expression" dxfId="951" priority="82" stopIfTrue="1">
      <formula>$AP$50=1</formula>
    </cfRule>
  </conditionalFormatting>
  <conditionalFormatting sqref="AC51:AF51">
    <cfRule type="expression" dxfId="950" priority="81" stopIfTrue="1">
      <formula>$AP$51=1</formula>
    </cfRule>
  </conditionalFormatting>
  <conditionalFormatting sqref="AC49:AF49">
    <cfRule type="expression" dxfId="949" priority="80" stopIfTrue="1">
      <formula>$AP$49=1</formula>
    </cfRule>
  </conditionalFormatting>
  <conditionalFormatting sqref="AC48:AF48">
    <cfRule type="expression" dxfId="948" priority="79" stopIfTrue="1">
      <formula>$AP$48=1</formula>
    </cfRule>
  </conditionalFormatting>
  <conditionalFormatting sqref="AC45:AF45">
    <cfRule type="expression" dxfId="947" priority="78" stopIfTrue="1">
      <formula>$AP$45=1</formula>
    </cfRule>
  </conditionalFormatting>
  <conditionalFormatting sqref="AC44:AF44">
    <cfRule type="expression" dxfId="946" priority="77" stopIfTrue="1">
      <formula>$AP$44=1</formula>
    </cfRule>
  </conditionalFormatting>
  <conditionalFormatting sqref="AC43:AF43">
    <cfRule type="expression" dxfId="945" priority="76" stopIfTrue="1">
      <formula>$AP$43=1</formula>
    </cfRule>
  </conditionalFormatting>
  <conditionalFormatting sqref="AC42:AF42">
    <cfRule type="expression" dxfId="944" priority="75" stopIfTrue="1">
      <formula>$AP$42=1</formula>
    </cfRule>
  </conditionalFormatting>
  <conditionalFormatting sqref="AC41:AF41">
    <cfRule type="expression" dxfId="943" priority="74" stopIfTrue="1">
      <formula>$AP$41=1</formula>
    </cfRule>
  </conditionalFormatting>
  <conditionalFormatting sqref="AC40:AF40">
    <cfRule type="expression" dxfId="942" priority="73" stopIfTrue="1">
      <formula>$AP$40=1</formula>
    </cfRule>
  </conditionalFormatting>
  <conditionalFormatting sqref="AC39:AF39">
    <cfRule type="expression" dxfId="941" priority="72" stopIfTrue="1">
      <formula>$AP$39=1</formula>
    </cfRule>
  </conditionalFormatting>
  <conditionalFormatting sqref="AC38:AF38">
    <cfRule type="expression" dxfId="940" priority="71" stopIfTrue="1">
      <formula>$AP$38=1</formula>
    </cfRule>
  </conditionalFormatting>
  <conditionalFormatting sqref="AC37:AF37">
    <cfRule type="expression" dxfId="939" priority="70" stopIfTrue="1">
      <formula>$AP$37=1</formula>
    </cfRule>
  </conditionalFormatting>
  <conditionalFormatting sqref="AC36:AF36">
    <cfRule type="expression" dxfId="938" priority="69" stopIfTrue="1">
      <formula>$AP$36=1</formula>
    </cfRule>
  </conditionalFormatting>
  <conditionalFormatting sqref="AC35:AF35">
    <cfRule type="expression" dxfId="937" priority="67" stopIfTrue="1">
      <formula>$AP$35=1</formula>
    </cfRule>
    <cfRule type="expression" dxfId="936" priority="68" stopIfTrue="1">
      <formula>$AP$35=1</formula>
    </cfRule>
  </conditionalFormatting>
  <conditionalFormatting sqref="AC34:AF34">
    <cfRule type="expression" dxfId="935" priority="66" stopIfTrue="1">
      <formula>$AP$34=1</formula>
    </cfRule>
  </conditionalFormatting>
  <conditionalFormatting sqref="AC33:AF33">
    <cfRule type="expression" dxfId="934" priority="65" stopIfTrue="1">
      <formula>$AP$33=1</formula>
    </cfRule>
  </conditionalFormatting>
  <conditionalFormatting sqref="AC32:AF32">
    <cfRule type="expression" dxfId="933" priority="64" stopIfTrue="1">
      <formula>$AP$32=1</formula>
    </cfRule>
  </conditionalFormatting>
  <conditionalFormatting sqref="AC31:AF31">
    <cfRule type="expression" dxfId="932" priority="63" stopIfTrue="1">
      <formula>$AP$31=1</formula>
    </cfRule>
  </conditionalFormatting>
  <conditionalFormatting sqref="AC30:AF30">
    <cfRule type="expression" dxfId="931" priority="62" stopIfTrue="1">
      <formula>$AP$30</formula>
    </cfRule>
  </conditionalFormatting>
  <conditionalFormatting sqref="AC29:AD29 AF29">
    <cfRule type="expression" dxfId="930" priority="61" stopIfTrue="1">
      <formula>$AP$29=1</formula>
    </cfRule>
  </conditionalFormatting>
  <conditionalFormatting sqref="AC28:AD28 AF28">
    <cfRule type="expression" dxfId="929" priority="60" stopIfTrue="1">
      <formula>$AP$28=1</formula>
    </cfRule>
  </conditionalFormatting>
  <conditionalFormatting sqref="AC27:AD27 AF27">
    <cfRule type="expression" dxfId="928" priority="59" stopIfTrue="1">
      <formula>$AP$27=1</formula>
    </cfRule>
  </conditionalFormatting>
  <conditionalFormatting sqref="AC26:AD26 AF26">
    <cfRule type="expression" dxfId="927" priority="58" stopIfTrue="1">
      <formula>$AP$26=1</formula>
    </cfRule>
  </conditionalFormatting>
  <conditionalFormatting sqref="AC25:AD25 AF25">
    <cfRule type="expression" dxfId="926" priority="57" stopIfTrue="1">
      <formula>$AP$25=1</formula>
    </cfRule>
  </conditionalFormatting>
  <conditionalFormatting sqref="AC24:AD24 AF24">
    <cfRule type="expression" dxfId="925" priority="56" stopIfTrue="1">
      <formula>$AP$24=1</formula>
    </cfRule>
  </conditionalFormatting>
  <conditionalFormatting sqref="AC23:AD23 AF23">
    <cfRule type="expression" dxfId="924" priority="55" stopIfTrue="1">
      <formula>$AP$23=1</formula>
    </cfRule>
  </conditionalFormatting>
  <conditionalFormatting sqref="AC22:AD22 AF22">
    <cfRule type="expression" dxfId="923" priority="54" stopIfTrue="1">
      <formula>$AP$22=1</formula>
    </cfRule>
  </conditionalFormatting>
  <conditionalFormatting sqref="AC21:AD21 AF21">
    <cfRule type="expression" dxfId="922" priority="53" stopIfTrue="1">
      <formula>$AP$21=1</formula>
    </cfRule>
  </conditionalFormatting>
  <conditionalFormatting sqref="AC20:AD20 AF20">
    <cfRule type="expression" dxfId="921" priority="52" stopIfTrue="1">
      <formula>$AP$20=1</formula>
    </cfRule>
  </conditionalFormatting>
  <conditionalFormatting sqref="AC19:AD19 AF19">
    <cfRule type="expression" dxfId="920" priority="51" stopIfTrue="1">
      <formula>$AP$19=1</formula>
    </cfRule>
  </conditionalFormatting>
  <conditionalFormatting sqref="AC18:AD18 AF18">
    <cfRule type="expression" dxfId="919" priority="50" stopIfTrue="1">
      <formula>$AP$18=1</formula>
    </cfRule>
  </conditionalFormatting>
  <conditionalFormatting sqref="AC17:AD17 AF17">
    <cfRule type="expression" dxfId="918" priority="49" stopIfTrue="1">
      <formula>$AP$17=1</formula>
    </cfRule>
  </conditionalFormatting>
  <conditionalFormatting sqref="AC16:AD16 AF16">
    <cfRule type="expression" dxfId="917" priority="48" stopIfTrue="1">
      <formula>$AP$16=1</formula>
    </cfRule>
  </conditionalFormatting>
  <conditionalFormatting sqref="AC15:AD15 AF15">
    <cfRule type="expression" dxfId="916" priority="47" stopIfTrue="1">
      <formula>$AP$15=1</formula>
    </cfRule>
  </conditionalFormatting>
  <conditionalFormatting sqref="AC14:AD14 AF14">
    <cfRule type="expression" dxfId="915" priority="46" stopIfTrue="1">
      <formula>$AP$14=1</formula>
    </cfRule>
  </conditionalFormatting>
  <conditionalFormatting sqref="AC13:AD13 AF13">
    <cfRule type="expression" dxfId="914" priority="45" stopIfTrue="1">
      <formula>$AP$13=1</formula>
    </cfRule>
  </conditionalFormatting>
  <conditionalFormatting sqref="AC12:AF12 AE13:AE29">
    <cfRule type="expression" dxfId="913" priority="44" stopIfTrue="1">
      <formula>$AP$12=1</formula>
    </cfRule>
  </conditionalFormatting>
  <conditionalFormatting sqref="AC11:AF11">
    <cfRule type="expression" dxfId="912" priority="43" stopIfTrue="1">
      <formula>$AP$11=1</formula>
    </cfRule>
  </conditionalFormatting>
  <conditionalFormatting sqref="A51:B51">
    <cfRule type="expression" dxfId="911" priority="42" stopIfTrue="1">
      <formula>$AP$51=1</formula>
    </cfRule>
  </conditionalFormatting>
  <conditionalFormatting sqref="A50:B50">
    <cfRule type="expression" dxfId="910" priority="41" stopIfTrue="1">
      <formula>$AP$50=1</formula>
    </cfRule>
  </conditionalFormatting>
  <conditionalFormatting sqref="A49:B49">
    <cfRule type="expression" dxfId="909" priority="40" stopIfTrue="1">
      <formula>$AP$49=1</formula>
    </cfRule>
  </conditionalFormatting>
  <conditionalFormatting sqref="A48:B48">
    <cfRule type="expression" dxfId="908" priority="39" stopIfTrue="1">
      <formula>$AP$48=1</formula>
    </cfRule>
  </conditionalFormatting>
  <conditionalFormatting sqref="A47:B47">
    <cfRule type="expression" dxfId="907" priority="38" stopIfTrue="1">
      <formula>$AP$47=1</formula>
    </cfRule>
  </conditionalFormatting>
  <conditionalFormatting sqref="A46:B46">
    <cfRule type="expression" dxfId="906" priority="37" stopIfTrue="1">
      <formula>$AP$46=1</formula>
    </cfRule>
  </conditionalFormatting>
  <conditionalFormatting sqref="A45:B45">
    <cfRule type="expression" dxfId="905" priority="36" stopIfTrue="1">
      <formula>$AP$45=1</formula>
    </cfRule>
  </conditionalFormatting>
  <conditionalFormatting sqref="A44:B44">
    <cfRule type="expression" dxfId="904" priority="35" stopIfTrue="1">
      <formula>$AP$44=1</formula>
    </cfRule>
  </conditionalFormatting>
  <conditionalFormatting sqref="A43:B43">
    <cfRule type="expression" dxfId="903" priority="34" stopIfTrue="1">
      <formula>$AP$43=1</formula>
    </cfRule>
  </conditionalFormatting>
  <conditionalFormatting sqref="A42:B42">
    <cfRule type="expression" dxfId="902" priority="33" stopIfTrue="1">
      <formula>$AP$42=1</formula>
    </cfRule>
  </conditionalFormatting>
  <conditionalFormatting sqref="A41:B41">
    <cfRule type="expression" dxfId="901" priority="32" stopIfTrue="1">
      <formula>$AP$41=1</formula>
    </cfRule>
  </conditionalFormatting>
  <conditionalFormatting sqref="A40:B40">
    <cfRule type="expression" dxfId="900" priority="31" stopIfTrue="1">
      <formula>$AP$40=1</formula>
    </cfRule>
  </conditionalFormatting>
  <conditionalFormatting sqref="A39:B39">
    <cfRule type="expression" dxfId="899" priority="30" stopIfTrue="1">
      <formula>$AP$39=1</formula>
    </cfRule>
  </conditionalFormatting>
  <conditionalFormatting sqref="A38:B38">
    <cfRule type="expression" dxfId="898" priority="29" stopIfTrue="1">
      <formula>$AP$38=1</formula>
    </cfRule>
  </conditionalFormatting>
  <conditionalFormatting sqref="A37:B37">
    <cfRule type="expression" dxfId="897" priority="28" stopIfTrue="1">
      <formula>$AP$37=1</formula>
    </cfRule>
  </conditionalFormatting>
  <conditionalFormatting sqref="A36:B36">
    <cfRule type="expression" dxfId="896" priority="27" stopIfTrue="1">
      <formula>$AP$36=1</formula>
    </cfRule>
  </conditionalFormatting>
  <conditionalFormatting sqref="A35:B35">
    <cfRule type="expression" dxfId="895" priority="26" stopIfTrue="1">
      <formula>$AP$35=1</formula>
    </cfRule>
  </conditionalFormatting>
  <conditionalFormatting sqref="A34:B34">
    <cfRule type="expression" dxfId="894" priority="25" stopIfTrue="1">
      <formula>$AP$34=1</formula>
    </cfRule>
  </conditionalFormatting>
  <conditionalFormatting sqref="A33:B33">
    <cfRule type="expression" dxfId="893" priority="24" stopIfTrue="1">
      <formula>$AP$33=1</formula>
    </cfRule>
  </conditionalFormatting>
  <conditionalFormatting sqref="A32:B32">
    <cfRule type="expression" dxfId="892" priority="23" stopIfTrue="1">
      <formula>$AP$32=1</formula>
    </cfRule>
  </conditionalFormatting>
  <conditionalFormatting sqref="A31:B31">
    <cfRule type="expression" dxfId="891" priority="22" stopIfTrue="1">
      <formula>$AP$31=1</formula>
    </cfRule>
  </conditionalFormatting>
  <conditionalFormatting sqref="A30:B30">
    <cfRule type="expression" dxfId="890" priority="21" stopIfTrue="1">
      <formula>$AP$30=1</formula>
    </cfRule>
  </conditionalFormatting>
  <conditionalFormatting sqref="A29:B29">
    <cfRule type="expression" dxfId="889" priority="20" stopIfTrue="1">
      <formula>$AP$29=1</formula>
    </cfRule>
  </conditionalFormatting>
  <conditionalFormatting sqref="A28:B28">
    <cfRule type="expression" dxfId="888" priority="19" stopIfTrue="1">
      <formula>$AP$28=1</formula>
    </cfRule>
  </conditionalFormatting>
  <conditionalFormatting sqref="A27:B27">
    <cfRule type="expression" dxfId="887" priority="18" stopIfTrue="1">
      <formula>$AP$27=1</formula>
    </cfRule>
  </conditionalFormatting>
  <conditionalFormatting sqref="A26:B26">
    <cfRule type="expression" dxfId="886" priority="17" stopIfTrue="1">
      <formula>$AP$26=1</formula>
    </cfRule>
  </conditionalFormatting>
  <conditionalFormatting sqref="A25:B25">
    <cfRule type="expression" dxfId="885" priority="16" stopIfTrue="1">
      <formula>$AP$25=1</formula>
    </cfRule>
  </conditionalFormatting>
  <conditionalFormatting sqref="A24:B24">
    <cfRule type="expression" dxfId="884" priority="15" stopIfTrue="1">
      <formula>$AP$24=1</formula>
    </cfRule>
  </conditionalFormatting>
  <conditionalFormatting sqref="A23:B23">
    <cfRule type="expression" dxfId="883" priority="14" stopIfTrue="1">
      <formula>$AP$23=1</formula>
    </cfRule>
  </conditionalFormatting>
  <conditionalFormatting sqref="A22:B22">
    <cfRule type="expression" dxfId="882" priority="13" stopIfTrue="1">
      <formula>$AP$22=1</formula>
    </cfRule>
  </conditionalFormatting>
  <conditionalFormatting sqref="A21:B21">
    <cfRule type="expression" dxfId="881" priority="12" stopIfTrue="1">
      <formula>$AP$21=1</formula>
    </cfRule>
  </conditionalFormatting>
  <conditionalFormatting sqref="A20:B20">
    <cfRule type="expression" dxfId="880" priority="11" stopIfTrue="1">
      <formula>$AP$20=1</formula>
    </cfRule>
  </conditionalFormatting>
  <conditionalFormatting sqref="A19:B19">
    <cfRule type="expression" dxfId="879" priority="10" stopIfTrue="1">
      <formula>$AP$19=1</formula>
    </cfRule>
  </conditionalFormatting>
  <conditionalFormatting sqref="A18:B18">
    <cfRule type="expression" dxfId="878" priority="9" stopIfTrue="1">
      <formula>$AP$18=1</formula>
    </cfRule>
  </conditionalFormatting>
  <conditionalFormatting sqref="A17:B17">
    <cfRule type="expression" dxfId="877" priority="8" stopIfTrue="1">
      <formula>$AP$17=1</formula>
    </cfRule>
  </conditionalFormatting>
  <conditionalFormatting sqref="A16:B16">
    <cfRule type="expression" dxfId="876" priority="7" stopIfTrue="1">
      <formula>$AP$16=1</formula>
    </cfRule>
  </conditionalFormatting>
  <conditionalFormatting sqref="A15:B15">
    <cfRule type="expression" dxfId="875" priority="6" stopIfTrue="1">
      <formula>$AP$15=1</formula>
    </cfRule>
  </conditionalFormatting>
  <conditionalFormatting sqref="A14:B14">
    <cfRule type="expression" dxfId="874" priority="5" stopIfTrue="1">
      <formula>$AP$14=1</formula>
    </cfRule>
  </conditionalFormatting>
  <conditionalFormatting sqref="A13:B13">
    <cfRule type="expression" dxfId="873" priority="4" stopIfTrue="1">
      <formula>$AP$13=1</formula>
    </cfRule>
  </conditionalFormatting>
  <conditionalFormatting sqref="A12:B12">
    <cfRule type="expression" dxfId="872" priority="3" stopIfTrue="1">
      <formula>$AP$12=1</formula>
    </cfRule>
  </conditionalFormatting>
  <conditionalFormatting sqref="A11:B11">
    <cfRule type="expression" dxfId="871" priority="2" stopIfTrue="1">
      <formula>$AP$11=1</formula>
    </cfRule>
  </conditionalFormatting>
  <conditionalFormatting sqref="A10:B10">
    <cfRule type="expression" dxfId="870" priority="1" stopIfTrue="1">
      <formula>$AP$10=1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P75"/>
  <sheetViews>
    <sheetView topLeftCell="A10" zoomScale="70" zoomScaleNormal="70" workbookViewId="0">
      <selection activeCell="AD5" sqref="AD5"/>
    </sheetView>
  </sheetViews>
  <sheetFormatPr baseColWidth="10" defaultColWidth="11.42578125" defaultRowHeight="12.75" x14ac:dyDescent="0.2"/>
  <cols>
    <col min="1" max="1" width="9.7109375" style="88" customWidth="1"/>
    <col min="2" max="2" width="8.570312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70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269.33999999999997</v>
      </c>
      <c r="AI4" s="96">
        <f>AH4</f>
        <v>269.33999999999997</v>
      </c>
      <c r="AJ4" s="90"/>
      <c r="AK4" s="90"/>
      <c r="AL4" s="97">
        <f>SUM(AL5:AL46)</f>
        <v>264.88599999999997</v>
      </c>
      <c r="AM4" s="97">
        <f>SUM(AM5:AM46)</f>
        <v>4</v>
      </c>
      <c r="AN4" s="97">
        <f>SUM(AN5:AN46)</f>
        <v>264.88600000000002</v>
      </c>
      <c r="AO4" s="97">
        <f>SUM(AO5:AO46)</f>
        <v>32.879999999999995</v>
      </c>
      <c r="AP4" s="90"/>
    </row>
    <row r="5" spans="1:42" ht="15.75" x14ac:dyDescent="0.25">
      <c r="A5" s="98">
        <f t="shared" ref="A5:A51" si="0">AF5</f>
        <v>0</v>
      </c>
      <c r="B5" s="99">
        <f t="shared" ref="B5:B51" si="1">AD5</f>
        <v>269.33999999999997</v>
      </c>
      <c r="C5" s="100" t="str">
        <f>IF(AG5="","",AG5)</f>
        <v xml:space="preserve">S/BM </v>
      </c>
      <c r="D5" s="196"/>
      <c r="X5" s="101"/>
      <c r="Y5" s="102"/>
      <c r="Z5" s="103">
        <v>0.95599999999999996</v>
      </c>
      <c r="AA5" s="104"/>
      <c r="AB5" s="105"/>
      <c r="AC5" s="106">
        <f>IF(AA5="",AD5+Z5,"")</f>
        <v>270.29599999999999</v>
      </c>
      <c r="AD5" s="107">
        <v>269.33999999999997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270.29599999999999</v>
      </c>
      <c r="AI5" s="90">
        <f>IF(AA5="",AC5,AI4)</f>
        <v>270.29599999999999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269.33999999999997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278.29599999999999</v>
      </c>
      <c r="C6" s="100" t="str">
        <f t="shared" ref="C6:C44" si="5">IF(AG6="","",AG6)</f>
        <v>PRI</v>
      </c>
      <c r="D6" s="196"/>
      <c r="X6" s="111"/>
      <c r="Y6" s="112"/>
      <c r="Z6" s="113"/>
      <c r="AA6" s="114">
        <v>-8</v>
      </c>
      <c r="AB6" s="115"/>
      <c r="AC6" s="116" t="str">
        <f>IF(AA6="",AD6+Z6,"")</f>
        <v/>
      </c>
      <c r="AD6" s="117">
        <f>IF(AA6="",AH5-AB6,AH5-AA6)</f>
        <v>278.29599999999999</v>
      </c>
      <c r="AE6" s="118">
        <v>0</v>
      </c>
      <c r="AF6" s="117">
        <f>AE6</f>
        <v>0</v>
      </c>
      <c r="AG6" s="119" t="s">
        <v>4</v>
      </c>
      <c r="AH6" s="90">
        <f t="shared" si="2"/>
        <v>270.29599999999999</v>
      </c>
      <c r="AI6" s="90">
        <f t="shared" ref="AI6:AI46" si="6">IF(AA6="",AC6,AI5)</f>
        <v>270.29599999999999</v>
      </c>
      <c r="AJ6" s="90" t="str">
        <f t="shared" si="3"/>
        <v>PRI</v>
      </c>
      <c r="AK6" s="97">
        <f t="shared" si="4"/>
        <v>278.29599999999999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0</v>
      </c>
      <c r="B7" s="99">
        <f t="shared" si="1"/>
        <v>269.30199999999996</v>
      </c>
      <c r="C7" s="100" t="str">
        <f t="shared" si="5"/>
        <v/>
      </c>
      <c r="D7" s="196"/>
      <c r="X7" s="111"/>
      <c r="Y7" s="112"/>
      <c r="Z7" s="113"/>
      <c r="AA7" s="114">
        <v>0.99399999999999999</v>
      </c>
      <c r="AB7" s="115"/>
      <c r="AC7" s="116" t="str">
        <f t="shared" ref="AC7:AC46" si="11">IF(AA7="",AD7+Z7,"")</f>
        <v/>
      </c>
      <c r="AD7" s="117">
        <f>IF(AA7="",AH6-AB7,AH6-AA7)</f>
        <v>269.30199999999996</v>
      </c>
      <c r="AE7" s="118">
        <v>0</v>
      </c>
      <c r="AF7" s="117">
        <f t="shared" ref="AF7:AF46" si="12">+AF6+AE7</f>
        <v>0</v>
      </c>
      <c r="AG7" s="120"/>
      <c r="AH7" s="90">
        <f t="shared" si="2"/>
        <v>270.29599999999999</v>
      </c>
      <c r="AI7" s="90">
        <f t="shared" si="6"/>
        <v>270.29599999999999</v>
      </c>
      <c r="AJ7" s="90" t="str">
        <f t="shared" si="3"/>
        <v>PRI</v>
      </c>
      <c r="AK7" s="97">
        <f t="shared" si="4"/>
        <v>269.30199999999996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0</v>
      </c>
      <c r="B8" s="99">
        <f t="shared" si="1"/>
        <v>269.23899999999998</v>
      </c>
      <c r="C8" s="100" t="str">
        <f t="shared" si="5"/>
        <v/>
      </c>
      <c r="D8" s="196"/>
      <c r="X8" s="111"/>
      <c r="Y8" s="112"/>
      <c r="Z8" s="113"/>
      <c r="AA8" s="114">
        <v>1.0569999999999999</v>
      </c>
      <c r="AB8" s="115"/>
      <c r="AC8" s="116" t="str">
        <f t="shared" si="11"/>
        <v/>
      </c>
      <c r="AD8" s="117">
        <f>IF(AA8="",AH7-AB8,AH7-AA8)</f>
        <v>269.23899999999998</v>
      </c>
      <c r="AE8" s="118">
        <v>0</v>
      </c>
      <c r="AF8" s="117">
        <f t="shared" si="12"/>
        <v>0</v>
      </c>
      <c r="AG8" s="120"/>
      <c r="AH8" s="90">
        <f t="shared" si="2"/>
        <v>270.29599999999999</v>
      </c>
      <c r="AI8" s="90">
        <f t="shared" si="6"/>
        <v>270.29599999999999</v>
      </c>
      <c r="AJ8" s="90" t="str">
        <f t="shared" si="3"/>
        <v>PRI</v>
      </c>
      <c r="AK8" s="97">
        <f t="shared" si="4"/>
        <v>269.23899999999998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3.5</v>
      </c>
      <c r="B9" s="99">
        <f t="shared" si="1"/>
        <v>268.31599999999997</v>
      </c>
      <c r="C9" s="100" t="str">
        <f t="shared" si="5"/>
        <v/>
      </c>
      <c r="D9" s="196"/>
      <c r="X9" s="111"/>
      <c r="Y9" s="112"/>
      <c r="Z9" s="113"/>
      <c r="AA9" s="114">
        <v>1.98</v>
      </c>
      <c r="AB9" s="115"/>
      <c r="AC9" s="116" t="str">
        <f t="shared" si="11"/>
        <v/>
      </c>
      <c r="AD9" s="117">
        <f>IF(AA9="",AH8-AB9,AH8-AA9)</f>
        <v>268.31599999999997</v>
      </c>
      <c r="AE9" s="118">
        <v>3.5</v>
      </c>
      <c r="AF9" s="117">
        <f t="shared" si="12"/>
        <v>3.5</v>
      </c>
      <c r="AG9" s="119"/>
      <c r="AH9" s="90">
        <f t="shared" si="2"/>
        <v>270.29599999999999</v>
      </c>
      <c r="AI9" s="90">
        <f t="shared" si="6"/>
        <v>270.29599999999999</v>
      </c>
      <c r="AJ9" s="90" t="str">
        <f t="shared" si="3"/>
        <v>PRI</v>
      </c>
      <c r="AK9" s="97">
        <f t="shared" si="4"/>
        <v>268.31599999999997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4</v>
      </c>
      <c r="B10" s="99">
        <f t="shared" si="1"/>
        <v>268.286</v>
      </c>
      <c r="C10" s="100" t="str">
        <f t="shared" si="5"/>
        <v/>
      </c>
      <c r="D10" s="196"/>
      <c r="E10" s="88">
        <f>(B12+B35)/2</f>
        <v>265.27</v>
      </c>
      <c r="X10" s="111"/>
      <c r="Y10" s="112"/>
      <c r="Z10" s="113"/>
      <c r="AA10" s="114">
        <v>2.0099999999999998</v>
      </c>
      <c r="AB10" s="115"/>
      <c r="AC10" s="116" t="str">
        <f t="shared" si="11"/>
        <v/>
      </c>
      <c r="AD10" s="117">
        <f t="shared" ref="AD10:AD51" si="13">IF(AJ9="S/BM",AD9,IF(AA10="",AH9-AB10,AH9-AA10))</f>
        <v>268.286</v>
      </c>
      <c r="AE10" s="118">
        <v>0.5</v>
      </c>
      <c r="AF10" s="117">
        <f t="shared" si="12"/>
        <v>4</v>
      </c>
      <c r="AG10" s="120"/>
      <c r="AH10" s="90">
        <f t="shared" si="2"/>
        <v>270.29599999999999</v>
      </c>
      <c r="AI10" s="90">
        <f t="shared" si="6"/>
        <v>270.29599999999999</v>
      </c>
      <c r="AJ10" s="90" t="str">
        <f t="shared" si="3"/>
        <v>PRI</v>
      </c>
      <c r="AK10" s="97">
        <f t="shared" si="4"/>
        <v>268.286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4</v>
      </c>
      <c r="B11" s="99">
        <f t="shared" si="1"/>
        <v>265.52999999999997</v>
      </c>
      <c r="C11" s="100" t="str">
        <f t="shared" si="5"/>
        <v/>
      </c>
      <c r="D11" s="196"/>
      <c r="E11" s="121">
        <v>0.33</v>
      </c>
      <c r="X11" s="111" t="s">
        <v>50</v>
      </c>
      <c r="Y11" s="112"/>
      <c r="Z11" s="113">
        <v>4.2910000000000004</v>
      </c>
      <c r="AA11" s="114"/>
      <c r="AB11" s="115">
        <v>4.766</v>
      </c>
      <c r="AC11" s="116">
        <f t="shared" si="11"/>
        <v>269.82099999999997</v>
      </c>
      <c r="AD11" s="117">
        <f t="shared" si="13"/>
        <v>265.52999999999997</v>
      </c>
      <c r="AE11" s="118">
        <v>0</v>
      </c>
      <c r="AF11" s="117">
        <f t="shared" si="12"/>
        <v>4</v>
      </c>
      <c r="AG11" s="120"/>
      <c r="AH11" s="90">
        <f t="shared" si="2"/>
        <v>269.82099999999997</v>
      </c>
      <c r="AI11" s="90">
        <f t="shared" si="6"/>
        <v>269.82099999999997</v>
      </c>
      <c r="AJ11" s="90" t="str">
        <f t="shared" si="3"/>
        <v>PRI</v>
      </c>
      <c r="AK11" s="97">
        <f t="shared" si="4"/>
        <v>265.52999999999997</v>
      </c>
      <c r="AL11" s="90" t="str">
        <f t="shared" si="7"/>
        <v/>
      </c>
      <c r="AM11" s="97" t="str">
        <f t="shared" si="8"/>
        <v/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4</v>
      </c>
      <c r="B12" s="99">
        <f t="shared" si="1"/>
        <v>264.88599999999997</v>
      </c>
      <c r="C12" s="100" t="str">
        <f t="shared" si="5"/>
        <v>NAOI</v>
      </c>
      <c r="D12" s="196"/>
      <c r="E12" s="121">
        <v>0.3</v>
      </c>
      <c r="X12" s="111"/>
      <c r="Y12" s="112"/>
      <c r="Z12" s="113"/>
      <c r="AA12" s="114">
        <v>4.9349999999999996</v>
      </c>
      <c r="AB12" s="115"/>
      <c r="AC12" s="116" t="str">
        <f>IF(AA12="",AD12+Z12,"")</f>
        <v/>
      </c>
      <c r="AD12" s="117">
        <f t="shared" si="13"/>
        <v>264.88599999999997</v>
      </c>
      <c r="AE12" s="118">
        <v>0</v>
      </c>
      <c r="AF12" s="117">
        <f t="shared" si="12"/>
        <v>4</v>
      </c>
      <c r="AG12" s="119" t="s">
        <v>9</v>
      </c>
      <c r="AH12" s="90">
        <f t="shared" si="2"/>
        <v>264.88599999999997</v>
      </c>
      <c r="AI12" s="90">
        <f t="shared" si="6"/>
        <v>269.82099999999997</v>
      </c>
      <c r="AJ12" s="90" t="str">
        <f t="shared" si="3"/>
        <v>NAOI</v>
      </c>
      <c r="AK12" s="97">
        <f t="shared" si="4"/>
        <v>264.88599999999997</v>
      </c>
      <c r="AL12" s="90">
        <f t="shared" si="7"/>
        <v>264.88599999999997</v>
      </c>
      <c r="AM12" s="97">
        <f t="shared" si="8"/>
        <v>4</v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4</v>
      </c>
      <c r="B13" s="99">
        <f t="shared" si="1"/>
        <v>261.87599999999998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3.01</v>
      </c>
      <c r="AB13" s="115"/>
      <c r="AC13" s="116" t="str">
        <f t="shared" si="11"/>
        <v/>
      </c>
      <c r="AD13" s="117">
        <f>IF(AJ12="S/BM",AD12,IF(AA13="",AH12-AB13,AH12-AA13))</f>
        <v>261.87599999999998</v>
      </c>
      <c r="AE13" s="118">
        <v>0</v>
      </c>
      <c r="AF13" s="117">
        <f t="shared" si="12"/>
        <v>4</v>
      </c>
      <c r="AG13" s="120"/>
      <c r="AH13" s="90">
        <f t="shared" si="2"/>
        <v>264.88599999999997</v>
      </c>
      <c r="AI13" s="90">
        <f t="shared" si="6"/>
        <v>269.82099999999997</v>
      </c>
      <c r="AJ13" s="90" t="str">
        <f t="shared" si="3"/>
        <v>NAOI</v>
      </c>
      <c r="AK13" s="97">
        <f t="shared" si="4"/>
        <v>264.88599999999997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6.02</v>
      </c>
      <c r="B14" s="99">
        <f t="shared" si="1"/>
        <v>261.88599999999997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3</v>
      </c>
      <c r="AB14" s="115"/>
      <c r="AC14" s="116" t="str">
        <f t="shared" si="11"/>
        <v/>
      </c>
      <c r="AD14" s="117">
        <f t="shared" si="13"/>
        <v>261.88599999999997</v>
      </c>
      <c r="AE14" s="118">
        <v>2.02</v>
      </c>
      <c r="AF14" s="117">
        <f t="shared" si="12"/>
        <v>6.02</v>
      </c>
      <c r="AG14" s="120"/>
      <c r="AH14" s="90">
        <f t="shared" si="2"/>
        <v>264.88599999999997</v>
      </c>
      <c r="AI14" s="90">
        <f t="shared" si="6"/>
        <v>269.82099999999997</v>
      </c>
      <c r="AJ14" s="90" t="str">
        <f t="shared" si="3"/>
        <v>NAOI</v>
      </c>
      <c r="AK14" s="97">
        <f>IF(AND(AJ14="NAOI",AJ13="NAOI"),AK13,AD14)</f>
        <v>264.88599999999997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7.4499999999999993</v>
      </c>
      <c r="B15" s="99">
        <f t="shared" si="1"/>
        <v>261.69599999999997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3.19</v>
      </c>
      <c r="AB15" s="115"/>
      <c r="AC15" s="116" t="str">
        <f t="shared" si="11"/>
        <v/>
      </c>
      <c r="AD15" s="117">
        <f t="shared" si="13"/>
        <v>261.69599999999997</v>
      </c>
      <c r="AE15" s="118">
        <v>1.43</v>
      </c>
      <c r="AF15" s="117">
        <f t="shared" si="12"/>
        <v>7.4499999999999993</v>
      </c>
      <c r="AG15" s="119"/>
      <c r="AH15" s="90">
        <f t="shared" si="2"/>
        <v>264.88599999999997</v>
      </c>
      <c r="AI15" s="90">
        <f t="shared" si="6"/>
        <v>269.82099999999997</v>
      </c>
      <c r="AJ15" s="90" t="str">
        <f t="shared" si="3"/>
        <v>NAOI</v>
      </c>
      <c r="AK15" s="97">
        <f>IF(AND(AJ15="NAOI",AJ14="NAOI"),AK14,AD15)</f>
        <v>264.88599999999997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8.82</v>
      </c>
      <c r="B16" s="99">
        <f t="shared" si="1"/>
        <v>261.81599999999997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3.07</v>
      </c>
      <c r="AB16" s="115"/>
      <c r="AC16" s="116" t="str">
        <f t="shared" si="11"/>
        <v/>
      </c>
      <c r="AD16" s="117">
        <f>IF(AJ15="S/BM",AD15,IF(AA16="",AH15-AB16,AH15-AA16))</f>
        <v>261.81599999999997</v>
      </c>
      <c r="AE16" s="118">
        <v>1.37</v>
      </c>
      <c r="AF16" s="117">
        <f t="shared" si="12"/>
        <v>8.82</v>
      </c>
      <c r="AG16" s="122"/>
      <c r="AH16" s="90">
        <f t="shared" si="2"/>
        <v>264.88599999999997</v>
      </c>
      <c r="AI16" s="90">
        <f t="shared" si="6"/>
        <v>269.82099999999997</v>
      </c>
      <c r="AJ16" s="90" t="str">
        <f t="shared" si="3"/>
        <v>NAOI</v>
      </c>
      <c r="AK16" s="97">
        <f>IF(AND(AJ16="NAOI",AJ15="NAOI"),AK15,AD16)</f>
        <v>264.88599999999997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10.210000000000001</v>
      </c>
      <c r="B17" s="99">
        <f t="shared" si="1"/>
        <v>261.83599999999996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3.05</v>
      </c>
      <c r="AB17" s="115"/>
      <c r="AC17" s="116" t="str">
        <f t="shared" si="11"/>
        <v/>
      </c>
      <c r="AD17" s="117">
        <f t="shared" si="13"/>
        <v>261.83599999999996</v>
      </c>
      <c r="AE17" s="118">
        <v>1.39</v>
      </c>
      <c r="AF17" s="117">
        <f t="shared" si="12"/>
        <v>10.210000000000001</v>
      </c>
      <c r="AG17" s="122"/>
      <c r="AH17" s="90">
        <f t="shared" si="2"/>
        <v>264.88599999999997</v>
      </c>
      <c r="AI17" s="90">
        <f t="shared" si="6"/>
        <v>269.82099999999997</v>
      </c>
      <c r="AJ17" s="90" t="str">
        <f t="shared" si="3"/>
        <v>NAOI</v>
      </c>
      <c r="AK17" s="97">
        <f t="shared" ref="AK17:AK46" si="15">IF(AND(AJ17="NAOI",AJ16="NAOI"),AK16,AD17)</f>
        <v>264.88599999999997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11.790000000000001</v>
      </c>
      <c r="B18" s="99">
        <f t="shared" si="1"/>
        <v>261.80599999999998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3.08</v>
      </c>
      <c r="AB18" s="115"/>
      <c r="AC18" s="116" t="str">
        <f t="shared" si="11"/>
        <v/>
      </c>
      <c r="AD18" s="117">
        <f t="shared" si="13"/>
        <v>261.80599999999998</v>
      </c>
      <c r="AE18" s="118">
        <v>1.58</v>
      </c>
      <c r="AF18" s="117">
        <f t="shared" si="12"/>
        <v>11.790000000000001</v>
      </c>
      <c r="AG18" s="122"/>
      <c r="AH18" s="90">
        <f t="shared" si="2"/>
        <v>264.88599999999997</v>
      </c>
      <c r="AI18" s="90">
        <f t="shared" si="6"/>
        <v>269.82099999999997</v>
      </c>
      <c r="AJ18" s="90" t="str">
        <f t="shared" si="3"/>
        <v>NAOI</v>
      </c>
      <c r="AK18" s="97">
        <f t="shared" si="15"/>
        <v>264.88599999999997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13.120000000000001</v>
      </c>
      <c r="B19" s="99">
        <f t="shared" si="1"/>
        <v>261.87599999999998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3.01</v>
      </c>
      <c r="AB19" s="115"/>
      <c r="AC19" s="116" t="str">
        <f t="shared" si="11"/>
        <v/>
      </c>
      <c r="AD19" s="117">
        <f t="shared" si="13"/>
        <v>261.87599999999998</v>
      </c>
      <c r="AE19" s="118">
        <v>1.33</v>
      </c>
      <c r="AF19" s="117">
        <f t="shared" si="12"/>
        <v>13.120000000000001</v>
      </c>
      <c r="AG19" s="122"/>
      <c r="AH19" s="90">
        <f t="shared" si="2"/>
        <v>264.88599999999997</v>
      </c>
      <c r="AI19" s="90">
        <f t="shared" si="6"/>
        <v>269.82099999999997</v>
      </c>
      <c r="AJ19" s="90" t="str">
        <f t="shared" si="3"/>
        <v>NAOI</v>
      </c>
      <c r="AK19" s="97">
        <f t="shared" si="15"/>
        <v>264.88599999999997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14.490000000000002</v>
      </c>
      <c r="B20" s="99">
        <f t="shared" si="1"/>
        <v>262.02599999999995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2.86</v>
      </c>
      <c r="AB20" s="115"/>
      <c r="AC20" s="116" t="str">
        <f t="shared" si="11"/>
        <v/>
      </c>
      <c r="AD20" s="117">
        <f t="shared" si="13"/>
        <v>262.02599999999995</v>
      </c>
      <c r="AE20" s="118">
        <v>1.37</v>
      </c>
      <c r="AF20" s="117">
        <f t="shared" si="12"/>
        <v>14.490000000000002</v>
      </c>
      <c r="AG20" s="122"/>
      <c r="AH20" s="90">
        <f t="shared" si="2"/>
        <v>264.88599999999997</v>
      </c>
      <c r="AI20" s="90">
        <f t="shared" si="6"/>
        <v>269.82099999999997</v>
      </c>
      <c r="AJ20" s="90" t="str">
        <f t="shared" si="3"/>
        <v>NAOI</v>
      </c>
      <c r="AK20" s="97">
        <f t="shared" si="15"/>
        <v>264.88599999999997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15.810000000000002</v>
      </c>
      <c r="B21" s="99">
        <f t="shared" si="1"/>
        <v>262.12599999999998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2.76</v>
      </c>
      <c r="AB21" s="115"/>
      <c r="AC21" s="116" t="str">
        <f t="shared" si="11"/>
        <v/>
      </c>
      <c r="AD21" s="117">
        <f t="shared" si="13"/>
        <v>262.12599999999998</v>
      </c>
      <c r="AE21" s="118">
        <v>1.32</v>
      </c>
      <c r="AF21" s="117">
        <f t="shared" si="12"/>
        <v>15.810000000000002</v>
      </c>
      <c r="AG21" s="122"/>
      <c r="AH21" s="90">
        <f t="shared" si="2"/>
        <v>264.88599999999997</v>
      </c>
      <c r="AI21" s="90">
        <f t="shared" si="6"/>
        <v>269.82099999999997</v>
      </c>
      <c r="AJ21" s="90" t="str">
        <f t="shared" si="3"/>
        <v>NAOI</v>
      </c>
      <c r="AK21" s="97">
        <f t="shared" si="15"/>
        <v>264.88599999999997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17.28</v>
      </c>
      <c r="B22" s="99">
        <f t="shared" si="1"/>
        <v>262.23599999999999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2.65</v>
      </c>
      <c r="AB22" s="115"/>
      <c r="AC22" s="116" t="str">
        <f t="shared" si="11"/>
        <v/>
      </c>
      <c r="AD22" s="117">
        <f t="shared" si="13"/>
        <v>262.23599999999999</v>
      </c>
      <c r="AE22" s="118">
        <v>1.47</v>
      </c>
      <c r="AF22" s="117">
        <f t="shared" si="12"/>
        <v>17.28</v>
      </c>
      <c r="AG22" s="122"/>
      <c r="AH22" s="90">
        <f t="shared" si="2"/>
        <v>264.88599999999997</v>
      </c>
      <c r="AI22" s="90">
        <f t="shared" si="6"/>
        <v>269.82099999999997</v>
      </c>
      <c r="AJ22" s="90" t="str">
        <f t="shared" si="3"/>
        <v>NAOI</v>
      </c>
      <c r="AK22" s="97">
        <f t="shared" si="15"/>
        <v>264.88599999999997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18.700000000000003</v>
      </c>
      <c r="B23" s="99">
        <f t="shared" si="1"/>
        <v>262.47599999999994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2.41</v>
      </c>
      <c r="AB23" s="115"/>
      <c r="AC23" s="116" t="str">
        <f t="shared" si="11"/>
        <v/>
      </c>
      <c r="AD23" s="117">
        <f t="shared" si="13"/>
        <v>262.47599999999994</v>
      </c>
      <c r="AE23" s="118">
        <v>1.42</v>
      </c>
      <c r="AF23" s="117">
        <f t="shared" si="12"/>
        <v>18.700000000000003</v>
      </c>
      <c r="AG23" s="122"/>
      <c r="AH23" s="90">
        <f t="shared" si="2"/>
        <v>264.88599999999997</v>
      </c>
      <c r="AI23" s="90">
        <f t="shared" si="6"/>
        <v>269.82099999999997</v>
      </c>
      <c r="AJ23" s="90" t="str">
        <f t="shared" si="3"/>
        <v>NAOI</v>
      </c>
      <c r="AK23" s="97">
        <f t="shared" si="15"/>
        <v>264.88599999999997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20.130000000000003</v>
      </c>
      <c r="B24" s="99">
        <f t="shared" si="1"/>
        <v>262.67599999999999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2.21</v>
      </c>
      <c r="AB24" s="115"/>
      <c r="AC24" s="116" t="str">
        <f t="shared" si="11"/>
        <v/>
      </c>
      <c r="AD24" s="117">
        <f t="shared" si="13"/>
        <v>262.67599999999999</v>
      </c>
      <c r="AE24" s="118">
        <v>1.43</v>
      </c>
      <c r="AF24" s="117">
        <f t="shared" si="12"/>
        <v>20.130000000000003</v>
      </c>
      <c r="AG24" s="122"/>
      <c r="AH24" s="90">
        <f t="shared" si="2"/>
        <v>264.88599999999997</v>
      </c>
      <c r="AI24" s="90">
        <f t="shared" si="6"/>
        <v>269.82099999999997</v>
      </c>
      <c r="AJ24" s="90" t="str">
        <f t="shared" si="3"/>
        <v>NAOI</v>
      </c>
      <c r="AK24" s="97">
        <f t="shared" si="15"/>
        <v>264.88599999999997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21.480000000000004</v>
      </c>
      <c r="B25" s="99">
        <f t="shared" si="1"/>
        <v>262.73599999999999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2.15</v>
      </c>
      <c r="AB25" s="115"/>
      <c r="AC25" s="116" t="str">
        <f t="shared" si="11"/>
        <v/>
      </c>
      <c r="AD25" s="117">
        <f t="shared" si="13"/>
        <v>262.73599999999999</v>
      </c>
      <c r="AE25" s="118">
        <v>1.35</v>
      </c>
      <c r="AF25" s="117">
        <f t="shared" si="12"/>
        <v>21.480000000000004</v>
      </c>
      <c r="AG25" s="122"/>
      <c r="AH25" s="90">
        <f t="shared" si="2"/>
        <v>264.88599999999997</v>
      </c>
      <c r="AI25" s="90">
        <f t="shared" si="6"/>
        <v>269.82099999999997</v>
      </c>
      <c r="AJ25" s="90" t="str">
        <f t="shared" si="3"/>
        <v>NAOI</v>
      </c>
      <c r="AK25" s="97">
        <f t="shared" si="15"/>
        <v>264.88599999999997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22.810000000000002</v>
      </c>
      <c r="B26" s="99">
        <f t="shared" si="1"/>
        <v>262.88599999999997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2</v>
      </c>
      <c r="AB26" s="115"/>
      <c r="AC26" s="116" t="str">
        <f t="shared" si="11"/>
        <v/>
      </c>
      <c r="AD26" s="117">
        <f t="shared" si="13"/>
        <v>262.88599999999997</v>
      </c>
      <c r="AE26" s="118">
        <v>1.33</v>
      </c>
      <c r="AF26" s="117">
        <f t="shared" si="12"/>
        <v>22.810000000000002</v>
      </c>
      <c r="AG26" s="122"/>
      <c r="AH26" s="90">
        <f t="shared" si="2"/>
        <v>264.88599999999997</v>
      </c>
      <c r="AI26" s="90">
        <f t="shared" si="6"/>
        <v>269.82099999999997</v>
      </c>
      <c r="AJ26" s="90" t="str">
        <f t="shared" si="3"/>
        <v>NAOI</v>
      </c>
      <c r="AK26" s="97">
        <f t="shared" si="15"/>
        <v>264.88599999999997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24.150000000000002</v>
      </c>
      <c r="B27" s="99">
        <f t="shared" si="1"/>
        <v>262.98599999999999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1.9</v>
      </c>
      <c r="AB27" s="115"/>
      <c r="AC27" s="116" t="str">
        <f t="shared" si="11"/>
        <v/>
      </c>
      <c r="AD27" s="117">
        <f t="shared" si="13"/>
        <v>262.98599999999999</v>
      </c>
      <c r="AE27" s="118">
        <v>1.34</v>
      </c>
      <c r="AF27" s="117">
        <f t="shared" si="12"/>
        <v>24.150000000000002</v>
      </c>
      <c r="AG27" s="122"/>
      <c r="AH27" s="90">
        <f t="shared" si="2"/>
        <v>264.88599999999997</v>
      </c>
      <c r="AI27" s="90">
        <f t="shared" si="6"/>
        <v>269.82099999999997</v>
      </c>
      <c r="AJ27" s="90" t="str">
        <f t="shared" si="3"/>
        <v>NAOI</v>
      </c>
      <c r="AK27" s="97">
        <f t="shared" si="15"/>
        <v>264.88599999999997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25.51</v>
      </c>
      <c r="B28" s="99">
        <f t="shared" si="1"/>
        <v>263.07599999999996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1.81</v>
      </c>
      <c r="AB28" s="115"/>
      <c r="AC28" s="116" t="str">
        <f t="shared" si="11"/>
        <v/>
      </c>
      <c r="AD28" s="117">
        <f t="shared" si="13"/>
        <v>263.07599999999996</v>
      </c>
      <c r="AE28" s="118">
        <v>1.36</v>
      </c>
      <c r="AF28" s="117">
        <f t="shared" si="12"/>
        <v>25.51</v>
      </c>
      <c r="AG28" s="122"/>
      <c r="AH28" s="90">
        <f t="shared" si="2"/>
        <v>264.88599999999997</v>
      </c>
      <c r="AI28" s="90">
        <f t="shared" si="6"/>
        <v>269.82099999999997</v>
      </c>
      <c r="AJ28" s="90" t="str">
        <f t="shared" si="3"/>
        <v>NAOI</v>
      </c>
      <c r="AK28" s="97">
        <f t="shared" si="15"/>
        <v>264.88599999999997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26.98</v>
      </c>
      <c r="B29" s="99">
        <f t="shared" si="1"/>
        <v>263.13599999999997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1.75</v>
      </c>
      <c r="AB29" s="115"/>
      <c r="AC29" s="116" t="str">
        <f t="shared" si="11"/>
        <v/>
      </c>
      <c r="AD29" s="117">
        <f t="shared" si="13"/>
        <v>263.13599999999997</v>
      </c>
      <c r="AE29" s="118">
        <v>1.47</v>
      </c>
      <c r="AF29" s="117">
        <f t="shared" si="12"/>
        <v>26.98</v>
      </c>
      <c r="AG29" s="122"/>
      <c r="AH29" s="90">
        <f t="shared" si="2"/>
        <v>264.88599999999997</v>
      </c>
      <c r="AI29" s="90">
        <f t="shared" si="6"/>
        <v>269.82099999999997</v>
      </c>
      <c r="AJ29" s="90" t="str">
        <f t="shared" si="3"/>
        <v>NAOI</v>
      </c>
      <c r="AK29" s="97">
        <f t="shared" si="15"/>
        <v>264.88599999999997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4"/>
        <v>0</v>
      </c>
    </row>
    <row r="30" spans="1:42" ht="15.75" x14ac:dyDescent="0.25">
      <c r="A30" s="98">
        <f t="shared" si="0"/>
        <v>28.4</v>
      </c>
      <c r="B30" s="99">
        <f t="shared" si="1"/>
        <v>263.14599999999996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1.74</v>
      </c>
      <c r="AB30" s="115"/>
      <c r="AC30" s="116" t="str">
        <f t="shared" si="11"/>
        <v/>
      </c>
      <c r="AD30" s="117">
        <f t="shared" si="13"/>
        <v>263.14599999999996</v>
      </c>
      <c r="AE30" s="118">
        <v>1.42</v>
      </c>
      <c r="AF30" s="117">
        <f t="shared" si="12"/>
        <v>28.4</v>
      </c>
      <c r="AG30" s="119"/>
      <c r="AH30" s="90">
        <f t="shared" si="2"/>
        <v>264.88599999999997</v>
      </c>
      <c r="AI30" s="90">
        <f t="shared" si="6"/>
        <v>269.82099999999997</v>
      </c>
      <c r="AJ30" s="90" t="str">
        <f t="shared" si="3"/>
        <v>NAOI</v>
      </c>
      <c r="AK30" s="97">
        <f t="shared" si="15"/>
        <v>264.88599999999997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30.099999999999998</v>
      </c>
      <c r="B31" s="99">
        <f t="shared" si="1"/>
        <v>263.39599999999996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1.49</v>
      </c>
      <c r="AB31" s="115"/>
      <c r="AC31" s="116" t="str">
        <f t="shared" si="11"/>
        <v/>
      </c>
      <c r="AD31" s="117">
        <f t="shared" si="13"/>
        <v>263.39599999999996</v>
      </c>
      <c r="AE31" s="118">
        <v>1.7</v>
      </c>
      <c r="AF31" s="117">
        <f t="shared" si="12"/>
        <v>30.099999999999998</v>
      </c>
      <c r="AG31" s="122"/>
      <c r="AH31" s="90">
        <f t="shared" si="2"/>
        <v>264.88599999999997</v>
      </c>
      <c r="AI31" s="90">
        <f t="shared" si="6"/>
        <v>269.82099999999997</v>
      </c>
      <c r="AJ31" s="90" t="str">
        <f t="shared" si="3"/>
        <v>NAOI</v>
      </c>
      <c r="AK31" s="97">
        <f t="shared" si="15"/>
        <v>264.88599999999997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32.879999999999995</v>
      </c>
      <c r="B32" s="99">
        <f t="shared" si="1"/>
        <v>264.17599999999999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0.71</v>
      </c>
      <c r="AB32" s="115"/>
      <c r="AC32" s="116" t="str">
        <f t="shared" si="11"/>
        <v/>
      </c>
      <c r="AD32" s="117">
        <f t="shared" si="13"/>
        <v>264.17599999999999</v>
      </c>
      <c r="AE32" s="118">
        <v>2.78</v>
      </c>
      <c r="AF32" s="117">
        <f t="shared" si="12"/>
        <v>32.879999999999995</v>
      </c>
      <c r="AG32" s="122"/>
      <c r="AH32" s="90">
        <f t="shared" si="2"/>
        <v>269.82099999999997</v>
      </c>
      <c r="AI32" s="90">
        <f t="shared" si="6"/>
        <v>269.82099999999997</v>
      </c>
      <c r="AJ32" s="90" t="str">
        <f t="shared" si="3"/>
        <v>NAOI</v>
      </c>
      <c r="AK32" s="97">
        <f t="shared" si="15"/>
        <v>264.88599999999997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32.879999999999995</v>
      </c>
      <c r="B33" s="99">
        <f t="shared" si="1"/>
        <v>264.88600000000002</v>
      </c>
      <c r="C33" s="100" t="str">
        <f t="shared" si="5"/>
        <v>NAOD</v>
      </c>
      <c r="D33" s="196"/>
      <c r="X33" s="111"/>
      <c r="Y33" s="112"/>
      <c r="Z33" s="113"/>
      <c r="AA33" s="114">
        <v>4.9349999999999996</v>
      </c>
      <c r="AB33" s="115"/>
      <c r="AC33" s="116" t="str">
        <f t="shared" si="11"/>
        <v/>
      </c>
      <c r="AD33" s="117">
        <v>264.88600000000002</v>
      </c>
      <c r="AE33" s="118">
        <v>0</v>
      </c>
      <c r="AF33" s="117">
        <f t="shared" si="12"/>
        <v>32.879999999999995</v>
      </c>
      <c r="AG33" s="119" t="s">
        <v>10</v>
      </c>
      <c r="AH33" s="90">
        <f t="shared" si="2"/>
        <v>269.82099999999997</v>
      </c>
      <c r="AI33" s="90">
        <f t="shared" si="6"/>
        <v>269.82099999999997</v>
      </c>
      <c r="AJ33" s="90" t="str">
        <f t="shared" si="3"/>
        <v>NAOD</v>
      </c>
      <c r="AK33" s="97">
        <f t="shared" si="15"/>
        <v>264.88600000000002</v>
      </c>
      <c r="AL33" s="90" t="str">
        <f t="shared" si="7"/>
        <v/>
      </c>
      <c r="AM33" s="97" t="str">
        <f t="shared" si="8"/>
        <v/>
      </c>
      <c r="AN33" s="90">
        <f t="shared" si="9"/>
        <v>264.88600000000002</v>
      </c>
      <c r="AO33" s="90">
        <f t="shared" si="10"/>
        <v>32.879999999999995</v>
      </c>
      <c r="AP33" s="90">
        <f t="shared" si="14"/>
        <v>0</v>
      </c>
    </row>
    <row r="34" spans="1:42" ht="15.75" x14ac:dyDescent="0.25">
      <c r="A34" s="98">
        <f t="shared" si="0"/>
        <v>32.879999999999995</v>
      </c>
      <c r="B34" s="99">
        <f t="shared" si="1"/>
        <v>265.541</v>
      </c>
      <c r="C34" s="100" t="str">
        <f t="shared" si="5"/>
        <v/>
      </c>
      <c r="D34" s="196"/>
      <c r="X34" s="111"/>
      <c r="Y34" s="112"/>
      <c r="Z34" s="113"/>
      <c r="AA34" s="114">
        <v>4.28</v>
      </c>
      <c r="AB34" s="115"/>
      <c r="AC34" s="116" t="str">
        <f t="shared" si="11"/>
        <v/>
      </c>
      <c r="AD34" s="117">
        <f t="shared" si="13"/>
        <v>265.541</v>
      </c>
      <c r="AE34" s="118">
        <v>0</v>
      </c>
      <c r="AF34" s="117">
        <f t="shared" si="12"/>
        <v>32.879999999999995</v>
      </c>
      <c r="AG34" s="119"/>
      <c r="AH34" s="90">
        <f t="shared" si="2"/>
        <v>269.82099999999997</v>
      </c>
      <c r="AI34" s="90">
        <f t="shared" si="6"/>
        <v>269.82099999999997</v>
      </c>
      <c r="AJ34" s="90" t="str">
        <f t="shared" si="3"/>
        <v>NAOD</v>
      </c>
      <c r="AK34" s="97">
        <f t="shared" si="15"/>
        <v>265.541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33.799999999999997</v>
      </c>
      <c r="B35" s="99">
        <f t="shared" si="1"/>
        <v>265.654</v>
      </c>
      <c r="C35" s="100" t="str">
        <f t="shared" si="5"/>
        <v/>
      </c>
      <c r="D35" s="196"/>
      <c r="X35" s="111"/>
      <c r="Y35" s="112"/>
      <c r="Z35" s="113"/>
      <c r="AA35" s="114">
        <v>4.1669999999999998</v>
      </c>
      <c r="AB35" s="115"/>
      <c r="AC35" s="116" t="str">
        <f t="shared" si="11"/>
        <v/>
      </c>
      <c r="AD35" s="117">
        <f t="shared" si="13"/>
        <v>265.654</v>
      </c>
      <c r="AE35" s="118">
        <v>0.92</v>
      </c>
      <c r="AF35" s="117">
        <f t="shared" si="12"/>
        <v>33.799999999999997</v>
      </c>
      <c r="AG35" s="120"/>
      <c r="AH35" s="90">
        <f t="shared" si="2"/>
        <v>269.82099999999997</v>
      </c>
      <c r="AI35" s="90">
        <f t="shared" si="6"/>
        <v>269.82099999999997</v>
      </c>
      <c r="AJ35" s="90" t="str">
        <f t="shared" si="3"/>
        <v>NAOD</v>
      </c>
      <c r="AK35" s="97">
        <f t="shared" si="15"/>
        <v>265.654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>
        <f t="shared" si="0"/>
        <v>33.799999999999997</v>
      </c>
      <c r="B36" s="99">
        <f t="shared" si="1"/>
        <v>277.041</v>
      </c>
      <c r="C36" s="100" t="str">
        <f t="shared" si="5"/>
        <v>PRD</v>
      </c>
      <c r="D36" s="196"/>
      <c r="X36" s="111"/>
      <c r="Y36" s="112"/>
      <c r="Z36" s="113"/>
      <c r="AA36" s="114">
        <v>-7.22</v>
      </c>
      <c r="AB36" s="115"/>
      <c r="AC36" s="116" t="str">
        <f t="shared" si="11"/>
        <v/>
      </c>
      <c r="AD36" s="117">
        <f t="shared" si="13"/>
        <v>277.041</v>
      </c>
      <c r="AE36" s="118">
        <v>0</v>
      </c>
      <c r="AF36" s="117">
        <f t="shared" si="12"/>
        <v>33.799999999999997</v>
      </c>
      <c r="AG36" s="119" t="s">
        <v>5</v>
      </c>
      <c r="AH36" s="90">
        <f t="shared" si="2"/>
        <v>269.82099999999997</v>
      </c>
      <c r="AI36" s="90">
        <f t="shared" si="6"/>
        <v>269.82099999999997</v>
      </c>
      <c r="AJ36" s="90" t="str">
        <f t="shared" si="3"/>
        <v>PRD</v>
      </c>
      <c r="AK36" s="97">
        <f t="shared" si="15"/>
        <v>277.041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>
        <f t="shared" si="0"/>
        <v>33.799999999999997</v>
      </c>
      <c r="B37" s="99">
        <f t="shared" si="1"/>
        <v>269.34099999999995</v>
      </c>
      <c r="C37" s="100" t="str">
        <f t="shared" si="5"/>
        <v>S/BM</v>
      </c>
      <c r="D37" s="196"/>
      <c r="X37" s="111"/>
      <c r="Y37" s="112"/>
      <c r="Z37" s="113"/>
      <c r="AA37" s="114">
        <v>0.48</v>
      </c>
      <c r="AB37" s="115"/>
      <c r="AC37" s="116"/>
      <c r="AD37" s="117">
        <f t="shared" si="13"/>
        <v>269.34099999999995</v>
      </c>
      <c r="AE37" s="118">
        <v>0</v>
      </c>
      <c r="AF37" s="117">
        <f t="shared" si="12"/>
        <v>33.799999999999997</v>
      </c>
      <c r="AG37" s="120" t="s">
        <v>19</v>
      </c>
      <c r="AH37" s="90">
        <f t="shared" si="2"/>
        <v>269.82099999999997</v>
      </c>
      <c r="AI37" s="90">
        <f t="shared" si="6"/>
        <v>269.82099999999997</v>
      </c>
      <c r="AJ37" s="90" t="str">
        <f t="shared" si="3"/>
        <v>S/BM</v>
      </c>
      <c r="AK37" s="97">
        <f t="shared" si="15"/>
        <v>269.34099999999995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>
        <f t="shared" si="0"/>
        <v>35.799999999999997</v>
      </c>
      <c r="B38" s="99">
        <f t="shared" si="1"/>
        <v>269.34099999999995</v>
      </c>
      <c r="C38" s="100" t="str">
        <f t="shared" si="5"/>
        <v/>
      </c>
      <c r="D38" s="196"/>
      <c r="X38" s="111"/>
      <c r="Y38" s="112"/>
      <c r="Z38" s="113"/>
      <c r="AA38" s="114"/>
      <c r="AB38" s="115"/>
      <c r="AC38" s="116">
        <f t="shared" si="11"/>
        <v>269.34099999999995</v>
      </c>
      <c r="AD38" s="117">
        <f t="shared" si="13"/>
        <v>269.34099999999995</v>
      </c>
      <c r="AE38" s="118">
        <v>2</v>
      </c>
      <c r="AF38" s="117">
        <f t="shared" si="12"/>
        <v>35.799999999999997</v>
      </c>
      <c r="AG38" s="120"/>
      <c r="AH38" s="90">
        <f t="shared" si="2"/>
        <v>269.34099999999995</v>
      </c>
      <c r="AI38" s="90">
        <f t="shared" si="6"/>
        <v>269.34099999999995</v>
      </c>
      <c r="AJ38" s="90" t="str">
        <f t="shared" si="3"/>
        <v>S/BM</v>
      </c>
      <c r="AK38" s="97">
        <f t="shared" si="15"/>
        <v>269.34099999999995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1</v>
      </c>
    </row>
    <row r="39" spans="1:42" ht="15.75" x14ac:dyDescent="0.25">
      <c r="A39" s="98">
        <f t="shared" si="0"/>
        <v>37.5</v>
      </c>
      <c r="B39" s="99">
        <f t="shared" si="1"/>
        <v>269.34099999999995</v>
      </c>
      <c r="C39" s="100" t="str">
        <f t="shared" si="5"/>
        <v/>
      </c>
      <c r="D39" s="196"/>
      <c r="X39" s="111"/>
      <c r="Y39" s="112"/>
      <c r="Z39" s="113"/>
      <c r="AA39" s="114"/>
      <c r="AB39" s="115"/>
      <c r="AC39" s="116">
        <f t="shared" si="11"/>
        <v>269.34099999999995</v>
      </c>
      <c r="AD39" s="117">
        <f t="shared" si="13"/>
        <v>269.34099999999995</v>
      </c>
      <c r="AE39" s="118">
        <v>1.7</v>
      </c>
      <c r="AF39" s="117">
        <f t="shared" si="12"/>
        <v>37.5</v>
      </c>
      <c r="AG39" s="120"/>
      <c r="AH39" s="90">
        <f t="shared" si="2"/>
        <v>269.34099999999995</v>
      </c>
      <c r="AI39" s="90">
        <f t="shared" si="6"/>
        <v>269.34099999999995</v>
      </c>
      <c r="AJ39" s="90" t="str">
        <f t="shared" si="3"/>
        <v>S/BM</v>
      </c>
      <c r="AK39" s="97">
        <f t="shared" si="15"/>
        <v>269.34099999999995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1</v>
      </c>
    </row>
    <row r="40" spans="1:42" ht="15.75" x14ac:dyDescent="0.25">
      <c r="A40" s="98">
        <f t="shared" si="0"/>
        <v>37.5</v>
      </c>
      <c r="B40" s="99">
        <f t="shared" si="1"/>
        <v>269.34099999999995</v>
      </c>
      <c r="C40" s="100" t="str">
        <f t="shared" si="5"/>
        <v/>
      </c>
      <c r="D40" s="196"/>
      <c r="X40" s="111"/>
      <c r="Y40" s="112"/>
      <c r="Z40" s="113"/>
      <c r="AA40" s="114"/>
      <c r="AB40" s="115"/>
      <c r="AC40" s="116">
        <f t="shared" si="11"/>
        <v>269.34099999999995</v>
      </c>
      <c r="AD40" s="117">
        <f t="shared" si="13"/>
        <v>269.34099999999995</v>
      </c>
      <c r="AE40" s="118">
        <v>0</v>
      </c>
      <c r="AF40" s="117">
        <f t="shared" si="12"/>
        <v>37.5</v>
      </c>
      <c r="AG40" s="120"/>
      <c r="AH40" s="90">
        <f t="shared" si="2"/>
        <v>269.34099999999995</v>
      </c>
      <c r="AI40" s="90">
        <f t="shared" si="6"/>
        <v>269.34099999999995</v>
      </c>
      <c r="AJ40" s="90" t="str">
        <f t="shared" si="3"/>
        <v>S/BM</v>
      </c>
      <c r="AK40" s="97">
        <f t="shared" si="15"/>
        <v>269.34099999999995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1</v>
      </c>
    </row>
    <row r="41" spans="1:42" ht="15.75" x14ac:dyDescent="0.25">
      <c r="A41" s="98">
        <f t="shared" si="0"/>
        <v>37.5</v>
      </c>
      <c r="B41" s="99">
        <f t="shared" si="1"/>
        <v>269.34099999999995</v>
      </c>
      <c r="C41" s="100" t="str">
        <f>IF(AG41="","",AG41)</f>
        <v/>
      </c>
      <c r="D41" s="196"/>
      <c r="X41" s="111"/>
      <c r="Y41" s="112"/>
      <c r="Z41" s="113"/>
      <c r="AA41" s="114"/>
      <c r="AB41" s="115"/>
      <c r="AC41" s="116">
        <f t="shared" si="11"/>
        <v>269.34099999999995</v>
      </c>
      <c r="AD41" s="117">
        <f t="shared" si="13"/>
        <v>269.34099999999995</v>
      </c>
      <c r="AE41" s="118">
        <v>0</v>
      </c>
      <c r="AF41" s="117">
        <f t="shared" si="12"/>
        <v>37.5</v>
      </c>
      <c r="AG41" s="120"/>
      <c r="AH41" s="90">
        <f t="shared" si="2"/>
        <v>269.34099999999995</v>
      </c>
      <c r="AI41" s="90">
        <f t="shared" si="6"/>
        <v>269.34099999999995</v>
      </c>
      <c r="AJ41" s="90" t="str">
        <f>IF(AG41="",AJ40,AG41)</f>
        <v>S/BM</v>
      </c>
      <c r="AK41" s="97">
        <f t="shared" si="15"/>
        <v>269.34099999999995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1</v>
      </c>
    </row>
    <row r="42" spans="1:42" ht="15.75" x14ac:dyDescent="0.25">
      <c r="A42" s="98">
        <f t="shared" si="0"/>
        <v>42.5</v>
      </c>
      <c r="B42" s="99">
        <f t="shared" si="1"/>
        <v>269.34099999999995</v>
      </c>
      <c r="C42" s="100" t="str">
        <f>IF(AG42="","",AG42)</f>
        <v/>
      </c>
      <c r="D42" s="196"/>
      <c r="X42" s="111"/>
      <c r="Y42" s="112"/>
      <c r="Z42" s="113"/>
      <c r="AA42" s="114"/>
      <c r="AB42" s="115"/>
      <c r="AC42" s="116">
        <f t="shared" si="11"/>
        <v>269.34099999999995</v>
      </c>
      <c r="AD42" s="117">
        <f t="shared" si="13"/>
        <v>269.34099999999995</v>
      </c>
      <c r="AE42" s="118">
        <v>5</v>
      </c>
      <c r="AF42" s="117">
        <f t="shared" si="12"/>
        <v>42.5</v>
      </c>
      <c r="AG42" s="120"/>
      <c r="AH42" s="90">
        <f t="shared" si="2"/>
        <v>269.34099999999995</v>
      </c>
      <c r="AI42" s="90">
        <f t="shared" si="6"/>
        <v>269.34099999999995</v>
      </c>
      <c r="AJ42" s="90" t="str">
        <f>IF(AG42="",AJ41,AG42)</f>
        <v>S/BM</v>
      </c>
      <c r="AK42" s="97">
        <f t="shared" si="15"/>
        <v>269.34099999999995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1</v>
      </c>
    </row>
    <row r="43" spans="1:42" ht="15.75" x14ac:dyDescent="0.25">
      <c r="A43" s="98">
        <f t="shared" si="0"/>
        <v>52.5</v>
      </c>
      <c r="B43" s="99">
        <f t="shared" si="1"/>
        <v>269.34099999999995</v>
      </c>
      <c r="C43" s="100" t="str">
        <f t="shared" si="5"/>
        <v/>
      </c>
      <c r="D43" s="196"/>
      <c r="X43" s="111"/>
      <c r="Y43" s="112"/>
      <c r="Z43" s="113"/>
      <c r="AA43" s="114"/>
      <c r="AB43" s="115"/>
      <c r="AC43" s="116">
        <f t="shared" si="11"/>
        <v>269.34099999999995</v>
      </c>
      <c r="AD43" s="117">
        <f t="shared" si="13"/>
        <v>269.34099999999995</v>
      </c>
      <c r="AE43" s="118">
        <v>10</v>
      </c>
      <c r="AF43" s="117">
        <f t="shared" si="12"/>
        <v>52.5</v>
      </c>
      <c r="AG43" s="120"/>
      <c r="AH43" s="90">
        <f t="shared" si="2"/>
        <v>269.34099999999995</v>
      </c>
      <c r="AI43" s="90">
        <f t="shared" si="6"/>
        <v>269.34099999999995</v>
      </c>
      <c r="AJ43" s="90" t="str">
        <f t="shared" si="3"/>
        <v>S/BM</v>
      </c>
      <c r="AK43" s="97">
        <f t="shared" si="15"/>
        <v>269.34099999999995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1</v>
      </c>
    </row>
    <row r="44" spans="1:42" ht="15.75" x14ac:dyDescent="0.25">
      <c r="A44" s="98">
        <f t="shared" si="0"/>
        <v>56.4</v>
      </c>
      <c r="B44" s="99">
        <f t="shared" si="1"/>
        <v>269.34099999999995</v>
      </c>
      <c r="C44" s="100" t="str">
        <f t="shared" si="5"/>
        <v/>
      </c>
      <c r="D44" s="196"/>
      <c r="X44" s="111"/>
      <c r="Y44" s="112"/>
      <c r="Z44" s="113"/>
      <c r="AA44" s="114"/>
      <c r="AB44" s="115"/>
      <c r="AC44" s="116">
        <f t="shared" si="11"/>
        <v>269.34099999999995</v>
      </c>
      <c r="AD44" s="117">
        <f t="shared" si="13"/>
        <v>269.34099999999995</v>
      </c>
      <c r="AE44" s="118">
        <v>3.9</v>
      </c>
      <c r="AF44" s="117">
        <f t="shared" si="12"/>
        <v>56.4</v>
      </c>
      <c r="AG44" s="119"/>
      <c r="AH44" s="90">
        <f t="shared" si="2"/>
        <v>269.34099999999995</v>
      </c>
      <c r="AI44" s="90">
        <f t="shared" si="6"/>
        <v>269.34099999999995</v>
      </c>
      <c r="AJ44" s="90" t="str">
        <f t="shared" si="3"/>
        <v>S/BM</v>
      </c>
      <c r="AK44" s="97">
        <f t="shared" si="15"/>
        <v>269.34099999999995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1</v>
      </c>
    </row>
    <row r="45" spans="1:42" ht="15.75" x14ac:dyDescent="0.25">
      <c r="A45" s="98">
        <f t="shared" si="0"/>
        <v>56.4</v>
      </c>
      <c r="B45" s="99">
        <f t="shared" si="1"/>
        <v>269.34099999999995</v>
      </c>
      <c r="C45" s="100" t="str">
        <f>IF(AG45="","",AG45)</f>
        <v/>
      </c>
      <c r="D45" s="196"/>
      <c r="X45" s="111"/>
      <c r="Y45" s="112"/>
      <c r="Z45" s="113"/>
      <c r="AA45" s="123"/>
      <c r="AB45" s="124"/>
      <c r="AC45" s="116">
        <f t="shared" si="11"/>
        <v>269.34099999999995</v>
      </c>
      <c r="AD45" s="117">
        <f t="shared" si="13"/>
        <v>269.34099999999995</v>
      </c>
      <c r="AE45" s="125">
        <v>0</v>
      </c>
      <c r="AF45" s="117">
        <f t="shared" si="12"/>
        <v>56.4</v>
      </c>
      <c r="AG45" s="119"/>
      <c r="AH45" s="90">
        <f t="shared" si="2"/>
        <v>269.34099999999995</v>
      </c>
      <c r="AI45" s="90">
        <f t="shared" si="6"/>
        <v>269.34099999999995</v>
      </c>
      <c r="AJ45" s="90" t="str">
        <f t="shared" si="3"/>
        <v>S/BM</v>
      </c>
      <c r="AK45" s="97">
        <f t="shared" si="15"/>
        <v>269.34099999999995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1</v>
      </c>
    </row>
    <row r="46" spans="1:42" ht="15.75" x14ac:dyDescent="0.25">
      <c r="A46" s="98">
        <f t="shared" si="0"/>
        <v>56.4</v>
      </c>
      <c r="B46" s="99">
        <f t="shared" si="1"/>
        <v>269.34099999999995</v>
      </c>
      <c r="C46" s="100" t="str">
        <f>IF(AG46="","",AG46)</f>
        <v/>
      </c>
      <c r="D46" s="196"/>
      <c r="X46" s="111"/>
      <c r="Y46" s="112"/>
      <c r="Z46" s="113"/>
      <c r="AA46" s="123"/>
      <c r="AB46" s="124"/>
      <c r="AC46" s="116">
        <f t="shared" si="11"/>
        <v>269.34099999999995</v>
      </c>
      <c r="AD46" s="117">
        <f t="shared" si="13"/>
        <v>269.34099999999995</v>
      </c>
      <c r="AE46" s="125">
        <v>0</v>
      </c>
      <c r="AF46" s="117">
        <f t="shared" si="12"/>
        <v>56.4</v>
      </c>
      <c r="AG46" s="120"/>
      <c r="AH46" s="90">
        <f t="shared" si="2"/>
        <v>269.34099999999995</v>
      </c>
      <c r="AI46" s="90">
        <f t="shared" si="6"/>
        <v>269.34099999999995</v>
      </c>
      <c r="AJ46" s="90" t="str">
        <f t="shared" si="3"/>
        <v>S/BM</v>
      </c>
      <c r="AK46" s="97">
        <f t="shared" si="15"/>
        <v>269.34099999999995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1</v>
      </c>
    </row>
    <row r="47" spans="1:42" ht="15.75" x14ac:dyDescent="0.25">
      <c r="A47" s="98">
        <f t="shared" si="0"/>
        <v>56.4</v>
      </c>
      <c r="B47" s="99">
        <f t="shared" si="1"/>
        <v>269.34099999999995</v>
      </c>
      <c r="C47" s="100" t="str">
        <f t="shared" ref="C47:C51" si="16">IF(AG47="","",AG47)</f>
        <v/>
      </c>
      <c r="D47" s="196"/>
      <c r="X47" s="111"/>
      <c r="Y47" s="112"/>
      <c r="Z47" s="113"/>
      <c r="AA47" s="123"/>
      <c r="AB47" s="124"/>
      <c r="AC47" s="116">
        <f>IF(AA47="",AD47+Z47,"")</f>
        <v>269.34099999999995</v>
      </c>
      <c r="AD47" s="117">
        <f t="shared" si="13"/>
        <v>269.34099999999995</v>
      </c>
      <c r="AE47" s="125"/>
      <c r="AF47" s="117">
        <f>+AF46+AE47</f>
        <v>56.4</v>
      </c>
      <c r="AG47" s="120"/>
      <c r="AH47" s="90">
        <f>IF(AND(AJ47="NAOI",AJ47=AJ48),AK47,AI47)</f>
        <v>269.34099999999995</v>
      </c>
      <c r="AI47" s="90">
        <f>IF(AA47="",AC47,AI46)</f>
        <v>269.34099999999995</v>
      </c>
      <c r="AJ47" s="90" t="str">
        <f t="shared" si="3"/>
        <v>S/BM</v>
      </c>
      <c r="AK47" s="97">
        <f>IF(AND(AJ47="NAOI",AJ46="NAOI"),AK46,AD47)</f>
        <v>269.34099999999995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1</v>
      </c>
    </row>
    <row r="48" spans="1:42" ht="15.75" x14ac:dyDescent="0.25">
      <c r="A48" s="98">
        <f t="shared" si="0"/>
        <v>56.4</v>
      </c>
      <c r="B48" s="99">
        <f t="shared" si="1"/>
        <v>269.34099999999995</v>
      </c>
      <c r="C48" s="100" t="str">
        <f t="shared" si="16"/>
        <v/>
      </c>
      <c r="D48" s="196"/>
      <c r="X48" s="111"/>
      <c r="Y48" s="112"/>
      <c r="Z48" s="113"/>
      <c r="AA48" s="123"/>
      <c r="AB48" s="124"/>
      <c r="AC48" s="116">
        <f t="shared" ref="AC48:AC51" si="17">IF(AA48="",AD48+Z48,"")</f>
        <v>269.34099999999995</v>
      </c>
      <c r="AD48" s="117">
        <f t="shared" si="13"/>
        <v>269.34099999999995</v>
      </c>
      <c r="AE48" s="125"/>
      <c r="AF48" s="117">
        <f t="shared" ref="AF48:AF51" si="18">+AF47+AE48</f>
        <v>56.4</v>
      </c>
      <c r="AG48" s="120"/>
      <c r="AH48" s="90">
        <f>IF(AND(AJ48="NAOI",AJ48=AJ49),AK48,AI48)</f>
        <v>269.34099999999995</v>
      </c>
      <c r="AI48" s="90">
        <f>IF(AA48="",AC48,AI47)</f>
        <v>269.34099999999995</v>
      </c>
      <c r="AJ48" s="90" t="str">
        <f t="shared" si="3"/>
        <v>S/BM</v>
      </c>
      <c r="AK48" s="97">
        <f>IF(AND(AJ48="NAOI",AJ47="NAOI"),AK47,AD48)</f>
        <v>269.34099999999995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1</v>
      </c>
    </row>
    <row r="49" spans="1:42" ht="15.75" x14ac:dyDescent="0.25">
      <c r="A49" s="98">
        <f t="shared" si="0"/>
        <v>56.4</v>
      </c>
      <c r="B49" s="99">
        <f t="shared" si="1"/>
        <v>269.34099999999995</v>
      </c>
      <c r="C49" s="100" t="str">
        <f t="shared" si="16"/>
        <v/>
      </c>
      <c r="D49" s="196"/>
      <c r="X49" s="111"/>
      <c r="Y49" s="112"/>
      <c r="Z49" s="113"/>
      <c r="AA49" s="123"/>
      <c r="AB49" s="124"/>
      <c r="AC49" s="116">
        <f t="shared" si="17"/>
        <v>269.34099999999995</v>
      </c>
      <c r="AD49" s="117">
        <f t="shared" si="13"/>
        <v>269.34099999999995</v>
      </c>
      <c r="AE49" s="125"/>
      <c r="AF49" s="117">
        <f t="shared" si="18"/>
        <v>56.4</v>
      </c>
      <c r="AG49" s="120"/>
      <c r="AH49" s="90">
        <f>IF(AND(AJ49="NAOI",AJ49=AJ50),AK49,AI49)</f>
        <v>269.34099999999995</v>
      </c>
      <c r="AI49" s="90">
        <f>IF(AA49="",AC49,AI48)</f>
        <v>269.34099999999995</v>
      </c>
      <c r="AJ49" s="90" t="str">
        <f t="shared" si="3"/>
        <v>S/BM</v>
      </c>
      <c r="AK49" s="97">
        <f>IF(AND(AJ49="NAOI",AJ48="NAOI"),AK48,AD49)</f>
        <v>269.34099999999995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1</v>
      </c>
    </row>
    <row r="50" spans="1:42" ht="15.75" x14ac:dyDescent="0.25">
      <c r="A50" s="98">
        <f t="shared" si="0"/>
        <v>56.4</v>
      </c>
      <c r="B50" s="99">
        <f t="shared" si="1"/>
        <v>269.34099999999995</v>
      </c>
      <c r="C50" s="100" t="str">
        <f t="shared" si="16"/>
        <v/>
      </c>
      <c r="D50" s="196"/>
      <c r="X50" s="111"/>
      <c r="Y50" s="112"/>
      <c r="Z50" s="113"/>
      <c r="AA50" s="123"/>
      <c r="AB50" s="124"/>
      <c r="AC50" s="116">
        <f t="shared" si="17"/>
        <v>269.34099999999995</v>
      </c>
      <c r="AD50" s="117">
        <f t="shared" si="13"/>
        <v>269.34099999999995</v>
      </c>
      <c r="AE50" s="125"/>
      <c r="AF50" s="117">
        <f t="shared" si="18"/>
        <v>56.4</v>
      </c>
      <c r="AG50" s="120"/>
      <c r="AH50" s="90">
        <f>IF(AND(AJ50="NAOI",AJ50=AJ51),AK50,AI50)</f>
        <v>269.34099999999995</v>
      </c>
      <c r="AI50" s="90">
        <f>IF(AA50="",AC50,AI49)</f>
        <v>269.34099999999995</v>
      </c>
      <c r="AJ50" s="90" t="str">
        <f t="shared" si="3"/>
        <v>S/BM</v>
      </c>
      <c r="AK50" s="97">
        <f>IF(AND(AJ50="NAOI",AJ49="NAOI"),AK49,AD50)</f>
        <v>269.34099999999995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1</v>
      </c>
    </row>
    <row r="51" spans="1:42" ht="16.5" thickBot="1" x14ac:dyDescent="0.3">
      <c r="A51" s="126">
        <f t="shared" si="0"/>
        <v>56.4</v>
      </c>
      <c r="B51" s="127">
        <f t="shared" si="1"/>
        <v>269.34099999999995</v>
      </c>
      <c r="C51" s="100" t="str">
        <f t="shared" si="16"/>
        <v/>
      </c>
      <c r="D51" s="196"/>
      <c r="X51" s="128"/>
      <c r="Y51" s="129"/>
      <c r="Z51" s="130"/>
      <c r="AA51" s="131"/>
      <c r="AB51" s="132"/>
      <c r="AC51" s="133">
        <f t="shared" si="17"/>
        <v>269.34099999999995</v>
      </c>
      <c r="AD51" s="134">
        <f t="shared" si="13"/>
        <v>269.34099999999995</v>
      </c>
      <c r="AE51" s="135"/>
      <c r="AF51" s="134">
        <f t="shared" si="18"/>
        <v>56.4</v>
      </c>
      <c r="AG51" s="136"/>
      <c r="AH51" s="90">
        <f>IF(AND(AJ51="NAOI",AJ51=AJ52),AK51,AI51)</f>
        <v>269.34099999999995</v>
      </c>
      <c r="AI51" s="90">
        <f>IF(AA51="",AC51,AI50)</f>
        <v>269.34099999999995</v>
      </c>
      <c r="AJ51" s="90" t="str">
        <f t="shared" si="3"/>
        <v>S/BM</v>
      </c>
      <c r="AK51" s="97">
        <f>IF(AND(AJ51="NAOI",AJ50="NAOI"),AK50,AD51)</f>
        <v>269.34099999999995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1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</v>
      </c>
      <c r="B53" s="140">
        <f>AL4</f>
        <v>264.88599999999997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32.879999999999995</v>
      </c>
      <c r="B54" s="140">
        <f>AN4</f>
        <v>264.88600000000002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263.76100000000002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f>B55+4</f>
        <v>267.76100000000002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266.91699999999997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268.41699999999997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278.29599999999999</v>
      </c>
      <c r="C59" s="152" t="s">
        <v>7</v>
      </c>
      <c r="D59" s="153"/>
    </row>
    <row r="60" spans="1:42" ht="13.5" thickBot="1" x14ac:dyDescent="0.25">
      <c r="A60" s="154">
        <v>33.799999999999997</v>
      </c>
      <c r="B60" s="151">
        <v>277.041</v>
      </c>
      <c r="C60" s="152" t="s">
        <v>7</v>
      </c>
      <c r="D60" s="153"/>
    </row>
    <row r="61" spans="1:42" ht="18" x14ac:dyDescent="0.25">
      <c r="A61" s="155" t="s">
        <v>75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263.76100000000002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64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69</v>
      </c>
      <c r="C69" s="181"/>
    </row>
    <row r="70" spans="1:4" ht="14.25" x14ac:dyDescent="0.2">
      <c r="A70" s="161" t="s">
        <v>60</v>
      </c>
      <c r="B70" s="181" t="s">
        <v>69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42815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869" priority="84" stopIfTrue="1">
      <formula>$AP$47=1</formula>
    </cfRule>
  </conditionalFormatting>
  <conditionalFormatting sqref="AC46:AF46">
    <cfRule type="expression" dxfId="868" priority="83" stopIfTrue="1">
      <formula>$AP$46</formula>
    </cfRule>
  </conditionalFormatting>
  <conditionalFormatting sqref="AC50:AF50">
    <cfRule type="expression" dxfId="867" priority="82" stopIfTrue="1">
      <formula>$AP$50=1</formula>
    </cfRule>
  </conditionalFormatting>
  <conditionalFormatting sqref="AC51:AF51">
    <cfRule type="expression" dxfId="866" priority="81" stopIfTrue="1">
      <formula>$AP$51=1</formula>
    </cfRule>
  </conditionalFormatting>
  <conditionalFormatting sqref="AC49:AF49">
    <cfRule type="expression" dxfId="865" priority="80" stopIfTrue="1">
      <formula>$AP$49=1</formula>
    </cfRule>
  </conditionalFormatting>
  <conditionalFormatting sqref="AC48:AF48">
    <cfRule type="expression" dxfId="864" priority="79" stopIfTrue="1">
      <formula>$AP$48=1</formula>
    </cfRule>
  </conditionalFormatting>
  <conditionalFormatting sqref="AC45:AF45">
    <cfRule type="expression" dxfId="863" priority="78" stopIfTrue="1">
      <formula>$AP$45=1</formula>
    </cfRule>
  </conditionalFormatting>
  <conditionalFormatting sqref="AC44:AF44">
    <cfRule type="expression" dxfId="862" priority="77" stopIfTrue="1">
      <formula>$AP$44=1</formula>
    </cfRule>
  </conditionalFormatting>
  <conditionalFormatting sqref="AC43:AF43">
    <cfRule type="expression" dxfId="861" priority="76" stopIfTrue="1">
      <formula>$AP$43=1</formula>
    </cfRule>
  </conditionalFormatting>
  <conditionalFormatting sqref="AC42:AF42">
    <cfRule type="expression" dxfId="860" priority="75" stopIfTrue="1">
      <formula>$AP$42=1</formula>
    </cfRule>
  </conditionalFormatting>
  <conditionalFormatting sqref="AC41:AF41">
    <cfRule type="expression" dxfId="859" priority="74" stopIfTrue="1">
      <formula>$AP$41=1</formula>
    </cfRule>
  </conditionalFormatting>
  <conditionalFormatting sqref="AC40:AF40">
    <cfRule type="expression" dxfId="858" priority="73" stopIfTrue="1">
      <formula>$AP$40=1</formula>
    </cfRule>
  </conditionalFormatting>
  <conditionalFormatting sqref="AC39:AF39">
    <cfRule type="expression" dxfId="857" priority="72" stopIfTrue="1">
      <formula>$AP$39=1</formula>
    </cfRule>
  </conditionalFormatting>
  <conditionalFormatting sqref="AC38:AF38">
    <cfRule type="expression" dxfId="856" priority="71" stopIfTrue="1">
      <formula>$AP$38=1</formula>
    </cfRule>
  </conditionalFormatting>
  <conditionalFormatting sqref="AC37:AF37">
    <cfRule type="expression" dxfId="855" priority="70" stopIfTrue="1">
      <formula>$AP$37=1</formula>
    </cfRule>
  </conditionalFormatting>
  <conditionalFormatting sqref="AC36:AF36">
    <cfRule type="expression" dxfId="854" priority="69" stopIfTrue="1">
      <formula>$AP$36=1</formula>
    </cfRule>
  </conditionalFormatting>
  <conditionalFormatting sqref="AC35:AF35">
    <cfRule type="expression" dxfId="853" priority="67" stopIfTrue="1">
      <formula>$AP$35=1</formula>
    </cfRule>
    <cfRule type="expression" dxfId="852" priority="68" stopIfTrue="1">
      <formula>$AP$35=1</formula>
    </cfRule>
  </conditionalFormatting>
  <conditionalFormatting sqref="AC34:AF34">
    <cfRule type="expression" dxfId="851" priority="66" stopIfTrue="1">
      <formula>$AP$34=1</formula>
    </cfRule>
  </conditionalFormatting>
  <conditionalFormatting sqref="AC33:AF33">
    <cfRule type="expression" dxfId="850" priority="65" stopIfTrue="1">
      <formula>$AP$33=1</formula>
    </cfRule>
  </conditionalFormatting>
  <conditionalFormatting sqref="AC32:AF32">
    <cfRule type="expression" dxfId="849" priority="64" stopIfTrue="1">
      <formula>$AP$32=1</formula>
    </cfRule>
  </conditionalFormatting>
  <conditionalFormatting sqref="AC31:AF31">
    <cfRule type="expression" dxfId="848" priority="63" stopIfTrue="1">
      <formula>$AP$31=1</formula>
    </cfRule>
  </conditionalFormatting>
  <conditionalFormatting sqref="AC30:AF30">
    <cfRule type="expression" dxfId="847" priority="62" stopIfTrue="1">
      <formula>$AP$30</formula>
    </cfRule>
  </conditionalFormatting>
  <conditionalFormatting sqref="AC29:AD29 AF29">
    <cfRule type="expression" dxfId="846" priority="61" stopIfTrue="1">
      <formula>$AP$29=1</formula>
    </cfRule>
  </conditionalFormatting>
  <conditionalFormatting sqref="AC28:AD28 AF28">
    <cfRule type="expression" dxfId="845" priority="60" stopIfTrue="1">
      <formula>$AP$28=1</formula>
    </cfRule>
  </conditionalFormatting>
  <conditionalFormatting sqref="AC27:AD27 AF27">
    <cfRule type="expression" dxfId="844" priority="59" stopIfTrue="1">
      <formula>$AP$27=1</formula>
    </cfRule>
  </conditionalFormatting>
  <conditionalFormatting sqref="AC26:AD26 AF26">
    <cfRule type="expression" dxfId="843" priority="58" stopIfTrue="1">
      <formula>$AP$26=1</formula>
    </cfRule>
  </conditionalFormatting>
  <conditionalFormatting sqref="AC25:AD25 AF25">
    <cfRule type="expression" dxfId="842" priority="57" stopIfTrue="1">
      <formula>$AP$25=1</formula>
    </cfRule>
  </conditionalFormatting>
  <conditionalFormatting sqref="AC24:AD24 AF24">
    <cfRule type="expression" dxfId="841" priority="56" stopIfTrue="1">
      <formula>$AP$24=1</formula>
    </cfRule>
  </conditionalFormatting>
  <conditionalFormatting sqref="AC23:AD23 AF23">
    <cfRule type="expression" dxfId="840" priority="55" stopIfTrue="1">
      <formula>$AP$23=1</formula>
    </cfRule>
  </conditionalFormatting>
  <conditionalFormatting sqref="AC22:AD22 AF22">
    <cfRule type="expression" dxfId="839" priority="54" stopIfTrue="1">
      <formula>$AP$22=1</formula>
    </cfRule>
  </conditionalFormatting>
  <conditionalFormatting sqref="AC21:AD21 AF21">
    <cfRule type="expression" dxfId="838" priority="53" stopIfTrue="1">
      <formula>$AP$21=1</formula>
    </cfRule>
  </conditionalFormatting>
  <conditionalFormatting sqref="AC20:AD20 AF20">
    <cfRule type="expression" dxfId="837" priority="52" stopIfTrue="1">
      <formula>$AP$20=1</formula>
    </cfRule>
  </conditionalFormatting>
  <conditionalFormatting sqref="AC19:AD19 AF19">
    <cfRule type="expression" dxfId="836" priority="51" stopIfTrue="1">
      <formula>$AP$19=1</formula>
    </cfRule>
  </conditionalFormatting>
  <conditionalFormatting sqref="AC18:AD18 AF18">
    <cfRule type="expression" dxfId="835" priority="50" stopIfTrue="1">
      <formula>$AP$18=1</formula>
    </cfRule>
  </conditionalFormatting>
  <conditionalFormatting sqref="AC17:AD17 AF17">
    <cfRule type="expression" dxfId="834" priority="49" stopIfTrue="1">
      <formula>$AP$17=1</formula>
    </cfRule>
  </conditionalFormatting>
  <conditionalFormatting sqref="AC16:AD16 AF16">
    <cfRule type="expression" dxfId="833" priority="48" stopIfTrue="1">
      <formula>$AP$16=1</formula>
    </cfRule>
  </conditionalFormatting>
  <conditionalFormatting sqref="AC15:AD15 AF15">
    <cfRule type="expression" dxfId="832" priority="47" stopIfTrue="1">
      <formula>$AP$15=1</formula>
    </cfRule>
  </conditionalFormatting>
  <conditionalFormatting sqref="AC14:AD14 AF14">
    <cfRule type="expression" dxfId="831" priority="46" stopIfTrue="1">
      <formula>$AP$14=1</formula>
    </cfRule>
  </conditionalFormatting>
  <conditionalFormatting sqref="AC13:AD13 AF13">
    <cfRule type="expression" dxfId="830" priority="45" stopIfTrue="1">
      <formula>$AP$13=1</formula>
    </cfRule>
  </conditionalFormatting>
  <conditionalFormatting sqref="AC12:AF12 AE13:AE29">
    <cfRule type="expression" dxfId="829" priority="44" stopIfTrue="1">
      <formula>$AP$12=1</formula>
    </cfRule>
  </conditionalFormatting>
  <conditionalFormatting sqref="AC11:AF11">
    <cfRule type="expression" dxfId="828" priority="43" stopIfTrue="1">
      <formula>$AP$11=1</formula>
    </cfRule>
  </conditionalFormatting>
  <conditionalFormatting sqref="A51:B51">
    <cfRule type="expression" dxfId="827" priority="42" stopIfTrue="1">
      <formula>$AP$51=1</formula>
    </cfRule>
  </conditionalFormatting>
  <conditionalFormatting sqref="A50:B50">
    <cfRule type="expression" dxfId="826" priority="41" stopIfTrue="1">
      <formula>$AP$50=1</formula>
    </cfRule>
  </conditionalFormatting>
  <conditionalFormatting sqref="A49:B49">
    <cfRule type="expression" dxfId="825" priority="40" stopIfTrue="1">
      <formula>$AP$49=1</formula>
    </cfRule>
  </conditionalFormatting>
  <conditionalFormatting sqref="A48:B48">
    <cfRule type="expression" dxfId="824" priority="39" stopIfTrue="1">
      <formula>$AP$48=1</formula>
    </cfRule>
  </conditionalFormatting>
  <conditionalFormatting sqref="A47:B47">
    <cfRule type="expression" dxfId="823" priority="38" stopIfTrue="1">
      <formula>$AP$47=1</formula>
    </cfRule>
  </conditionalFormatting>
  <conditionalFormatting sqref="A46:B46">
    <cfRule type="expression" dxfId="822" priority="37" stopIfTrue="1">
      <formula>$AP$46=1</formula>
    </cfRule>
  </conditionalFormatting>
  <conditionalFormatting sqref="A45:B45">
    <cfRule type="expression" dxfId="821" priority="36" stopIfTrue="1">
      <formula>$AP$45=1</formula>
    </cfRule>
  </conditionalFormatting>
  <conditionalFormatting sqref="A44:B44">
    <cfRule type="expression" dxfId="820" priority="35" stopIfTrue="1">
      <formula>$AP$44=1</formula>
    </cfRule>
  </conditionalFormatting>
  <conditionalFormatting sqref="A43:B43">
    <cfRule type="expression" dxfId="819" priority="34" stopIfTrue="1">
      <formula>$AP$43=1</formula>
    </cfRule>
  </conditionalFormatting>
  <conditionalFormatting sqref="A42:B42">
    <cfRule type="expression" dxfId="818" priority="33" stopIfTrue="1">
      <formula>$AP$42=1</formula>
    </cfRule>
  </conditionalFormatting>
  <conditionalFormatting sqref="A41:B41">
    <cfRule type="expression" dxfId="817" priority="32" stopIfTrue="1">
      <formula>$AP$41=1</formula>
    </cfRule>
  </conditionalFormatting>
  <conditionalFormatting sqref="A40:B40">
    <cfRule type="expression" dxfId="816" priority="31" stopIfTrue="1">
      <formula>$AP$40=1</formula>
    </cfRule>
  </conditionalFormatting>
  <conditionalFormatting sqref="A39:B39">
    <cfRule type="expression" dxfId="815" priority="30" stopIfTrue="1">
      <formula>$AP$39=1</formula>
    </cfRule>
  </conditionalFormatting>
  <conditionalFormatting sqref="A38:B38">
    <cfRule type="expression" dxfId="814" priority="29" stopIfTrue="1">
      <formula>$AP$38=1</formula>
    </cfRule>
  </conditionalFormatting>
  <conditionalFormatting sqref="A37:B37">
    <cfRule type="expression" dxfId="813" priority="28" stopIfTrue="1">
      <formula>$AP$37=1</formula>
    </cfRule>
  </conditionalFormatting>
  <conditionalFormatting sqref="A36:B36">
    <cfRule type="expression" dxfId="812" priority="27" stopIfTrue="1">
      <formula>$AP$36=1</formula>
    </cfRule>
  </conditionalFormatting>
  <conditionalFormatting sqref="A35:B35">
    <cfRule type="expression" dxfId="811" priority="26" stopIfTrue="1">
      <formula>$AP$35=1</formula>
    </cfRule>
  </conditionalFormatting>
  <conditionalFormatting sqref="A34:B34">
    <cfRule type="expression" dxfId="810" priority="25" stopIfTrue="1">
      <formula>$AP$34=1</formula>
    </cfRule>
  </conditionalFormatting>
  <conditionalFormatting sqref="A33:B33">
    <cfRule type="expression" dxfId="809" priority="24" stopIfTrue="1">
      <formula>$AP$33=1</formula>
    </cfRule>
  </conditionalFormatting>
  <conditionalFormatting sqref="A32:B32">
    <cfRule type="expression" dxfId="808" priority="23" stopIfTrue="1">
      <formula>$AP$32=1</formula>
    </cfRule>
  </conditionalFormatting>
  <conditionalFormatting sqref="A31:B31">
    <cfRule type="expression" dxfId="807" priority="22" stopIfTrue="1">
      <formula>$AP$31=1</formula>
    </cfRule>
  </conditionalFormatting>
  <conditionalFormatting sqref="A30:B30">
    <cfRule type="expression" dxfId="806" priority="21" stopIfTrue="1">
      <formula>$AP$30=1</formula>
    </cfRule>
  </conditionalFormatting>
  <conditionalFormatting sqref="A29:B29">
    <cfRule type="expression" dxfId="805" priority="20" stopIfTrue="1">
      <formula>$AP$29=1</formula>
    </cfRule>
  </conditionalFormatting>
  <conditionalFormatting sqref="A28:B28">
    <cfRule type="expression" dxfId="804" priority="19" stopIfTrue="1">
      <formula>$AP$28=1</formula>
    </cfRule>
  </conditionalFormatting>
  <conditionalFormatting sqref="A27:B27">
    <cfRule type="expression" dxfId="803" priority="18" stopIfTrue="1">
      <formula>$AP$27=1</formula>
    </cfRule>
  </conditionalFormatting>
  <conditionalFormatting sqref="A26:B26">
    <cfRule type="expression" dxfId="802" priority="17" stopIfTrue="1">
      <formula>$AP$26=1</formula>
    </cfRule>
  </conditionalFormatting>
  <conditionalFormatting sqref="A25:B25">
    <cfRule type="expression" dxfId="801" priority="16" stopIfTrue="1">
      <formula>$AP$25=1</formula>
    </cfRule>
  </conditionalFormatting>
  <conditionalFormatting sqref="A24:B24">
    <cfRule type="expression" dxfId="800" priority="15" stopIfTrue="1">
      <formula>$AP$24=1</formula>
    </cfRule>
  </conditionalFormatting>
  <conditionalFormatting sqref="A23:B23">
    <cfRule type="expression" dxfId="799" priority="14" stopIfTrue="1">
      <formula>$AP$23=1</formula>
    </cfRule>
  </conditionalFormatting>
  <conditionalFormatting sqref="A22:B22">
    <cfRule type="expression" dxfId="798" priority="13" stopIfTrue="1">
      <formula>$AP$22=1</formula>
    </cfRule>
  </conditionalFormatting>
  <conditionalFormatting sqref="A21:B21">
    <cfRule type="expression" dxfId="797" priority="12" stopIfTrue="1">
      <formula>$AP$21=1</formula>
    </cfRule>
  </conditionalFormatting>
  <conditionalFormatting sqref="A20:B20">
    <cfRule type="expression" dxfId="796" priority="11" stopIfTrue="1">
      <formula>$AP$20=1</formula>
    </cfRule>
  </conditionalFormatting>
  <conditionalFormatting sqref="A19:B19">
    <cfRule type="expression" dxfId="795" priority="10" stopIfTrue="1">
      <formula>$AP$19=1</formula>
    </cfRule>
  </conditionalFormatting>
  <conditionalFormatting sqref="A18:B18">
    <cfRule type="expression" dxfId="794" priority="9" stopIfTrue="1">
      <formula>$AP$18=1</formula>
    </cfRule>
  </conditionalFormatting>
  <conditionalFormatting sqref="A17:B17">
    <cfRule type="expression" dxfId="793" priority="8" stopIfTrue="1">
      <formula>$AP$17=1</formula>
    </cfRule>
  </conditionalFormatting>
  <conditionalFormatting sqref="A16:B16">
    <cfRule type="expression" dxfId="792" priority="7" stopIfTrue="1">
      <formula>$AP$16=1</formula>
    </cfRule>
  </conditionalFormatting>
  <conditionalFormatting sqref="A15:B15">
    <cfRule type="expression" dxfId="791" priority="6" stopIfTrue="1">
      <formula>$AP$15=1</formula>
    </cfRule>
  </conditionalFormatting>
  <conditionalFormatting sqref="A14:B14">
    <cfRule type="expression" dxfId="790" priority="5" stopIfTrue="1">
      <formula>$AP$14=1</formula>
    </cfRule>
  </conditionalFormatting>
  <conditionalFormatting sqref="A13:B13">
    <cfRule type="expression" dxfId="789" priority="4" stopIfTrue="1">
      <formula>$AP$13=1</formula>
    </cfRule>
  </conditionalFormatting>
  <conditionalFormatting sqref="A12:B12">
    <cfRule type="expression" dxfId="788" priority="3" stopIfTrue="1">
      <formula>$AP$12=1</formula>
    </cfRule>
  </conditionalFormatting>
  <conditionalFormatting sqref="A11:B11">
    <cfRule type="expression" dxfId="787" priority="2" stopIfTrue="1">
      <formula>$AP$11=1</formula>
    </cfRule>
  </conditionalFormatting>
  <conditionalFormatting sqref="A10:B10">
    <cfRule type="expression" dxfId="786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P75"/>
  <sheetViews>
    <sheetView topLeftCell="A13" zoomScale="70" zoomScaleNormal="70" workbookViewId="0">
      <selection activeCell="Y56" sqref="Y56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72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264.82000000000005</v>
      </c>
      <c r="AM4" s="97">
        <f>SUM(AM5:AM46)</f>
        <v>4.5</v>
      </c>
      <c r="AN4" s="97">
        <f>SUM(AN5:AN46)</f>
        <v>264.88600000000002</v>
      </c>
      <c r="AO4" s="97">
        <f>SUM(AO5:AO46)</f>
        <v>34.4</v>
      </c>
      <c r="AP4" s="90"/>
    </row>
    <row r="5" spans="1:42" ht="15.75" x14ac:dyDescent="0.25">
      <c r="A5" s="98">
        <f t="shared" ref="A5:A38" si="0">AF5</f>
        <v>0</v>
      </c>
      <c r="B5" s="99">
        <f t="shared" ref="B5:B38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0.98399999999999999</v>
      </c>
      <c r="AA5" s="104"/>
      <c r="AB5" s="105"/>
      <c r="AC5" s="106">
        <f>IF(AA5="",AD5+Z5,"")</f>
        <v>270.334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270.334</v>
      </c>
      <c r="AI5" s="90">
        <f>IF(AA5="",AC5,AI4)</f>
        <v>270.334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278.19299999999998</v>
      </c>
      <c r="C6" s="100" t="str">
        <f t="shared" ref="C6:C44" si="5">IF(AG6="","",AG6)</f>
        <v>PRI</v>
      </c>
      <c r="D6" s="196"/>
      <c r="X6" s="111"/>
      <c r="Y6" s="112"/>
      <c r="Z6" s="113"/>
      <c r="AA6" s="114">
        <v>-7.859</v>
      </c>
      <c r="AB6" s="115"/>
      <c r="AC6" s="116" t="str">
        <f>IF(AA6="",AD6+Z6,"")</f>
        <v/>
      </c>
      <c r="AD6" s="117">
        <f>IF(AA6="",AH5-AB6,AH5-AA6)</f>
        <v>278.19299999999998</v>
      </c>
      <c r="AE6" s="118">
        <v>0</v>
      </c>
      <c r="AF6" s="117">
        <f>AE6</f>
        <v>0</v>
      </c>
      <c r="AG6" s="119" t="s">
        <v>4</v>
      </c>
      <c r="AH6" s="90">
        <f t="shared" si="2"/>
        <v>270.334</v>
      </c>
      <c r="AI6" s="90">
        <f t="shared" ref="AI6:AI46" si="6">IF(AA6="",AC6,AI5)</f>
        <v>270.334</v>
      </c>
      <c r="AJ6" s="90" t="str">
        <f t="shared" si="3"/>
        <v>PRI</v>
      </c>
      <c r="AK6" s="97">
        <f t="shared" si="4"/>
        <v>278.19299999999998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0</v>
      </c>
      <c r="B7" s="99">
        <f t="shared" si="1"/>
        <v>270.19299999999998</v>
      </c>
      <c r="C7" s="100" t="str">
        <f t="shared" si="5"/>
        <v/>
      </c>
      <c r="D7" s="196"/>
      <c r="X7" s="111"/>
      <c r="Y7" s="112"/>
      <c r="Z7" s="113"/>
      <c r="AA7" s="114">
        <v>0.14099999999999999</v>
      </c>
      <c r="AB7" s="115"/>
      <c r="AC7" s="116" t="str">
        <f t="shared" ref="AC7:AC38" si="11">IF(AA7="",AD7+Z7,"")</f>
        <v/>
      </c>
      <c r="AD7" s="117">
        <f>IF(AA7="",AH6-AB7,AH6-AA7)</f>
        <v>270.19299999999998</v>
      </c>
      <c r="AE7" s="118">
        <v>0</v>
      </c>
      <c r="AF7" s="117">
        <f t="shared" ref="AF7:AF38" si="12">+AF6+AE7</f>
        <v>0</v>
      </c>
      <c r="AG7" s="120"/>
      <c r="AH7" s="90">
        <f t="shared" si="2"/>
        <v>270.334</v>
      </c>
      <c r="AI7" s="90">
        <f t="shared" si="6"/>
        <v>270.334</v>
      </c>
      <c r="AJ7" s="90" t="str">
        <f t="shared" si="3"/>
        <v>PRI</v>
      </c>
      <c r="AK7" s="97">
        <f t="shared" si="4"/>
        <v>270.19299999999998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3.5</v>
      </c>
      <c r="B8" s="99">
        <f t="shared" si="1"/>
        <v>270.17900000000003</v>
      </c>
      <c r="C8" s="100" t="str">
        <f t="shared" si="5"/>
        <v/>
      </c>
      <c r="D8" s="196"/>
      <c r="X8" s="111"/>
      <c r="Y8" s="112"/>
      <c r="Z8" s="113"/>
      <c r="AA8" s="114">
        <v>0.155</v>
      </c>
      <c r="AB8" s="115"/>
      <c r="AC8" s="116" t="str">
        <f t="shared" si="11"/>
        <v/>
      </c>
      <c r="AD8" s="117">
        <f>IF(AA8="",AH7-AB8,AH7-AA8)</f>
        <v>270.17900000000003</v>
      </c>
      <c r="AE8" s="118">
        <v>3.5</v>
      </c>
      <c r="AF8" s="117">
        <f t="shared" si="12"/>
        <v>3.5</v>
      </c>
      <c r="AG8" s="120"/>
      <c r="AH8" s="90">
        <f t="shared" si="2"/>
        <v>270.334</v>
      </c>
      <c r="AI8" s="90">
        <f t="shared" si="6"/>
        <v>270.334</v>
      </c>
      <c r="AJ8" s="90" t="str">
        <f t="shared" si="3"/>
        <v>PRI</v>
      </c>
      <c r="AK8" s="97">
        <f t="shared" si="4"/>
        <v>270.17900000000003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3.5</v>
      </c>
      <c r="B9" s="99">
        <f t="shared" si="1"/>
        <v>269.14800000000002</v>
      </c>
      <c r="C9" s="100" t="str">
        <f t="shared" si="5"/>
        <v/>
      </c>
      <c r="D9" s="196"/>
      <c r="X9" s="111"/>
      <c r="Y9" s="112"/>
      <c r="Z9" s="113"/>
      <c r="AA9" s="114">
        <v>1.1859999999999999</v>
      </c>
      <c r="AB9" s="115"/>
      <c r="AC9" s="116" t="str">
        <f t="shared" si="11"/>
        <v/>
      </c>
      <c r="AD9" s="117">
        <f>IF(AA9="",AH8-AB9,AH8-AA9)</f>
        <v>269.14800000000002</v>
      </c>
      <c r="AE9" s="118">
        <v>0</v>
      </c>
      <c r="AF9" s="117">
        <f t="shared" si="12"/>
        <v>3.5</v>
      </c>
      <c r="AG9" s="119"/>
      <c r="AH9" s="90">
        <f t="shared" si="2"/>
        <v>270.334</v>
      </c>
      <c r="AI9" s="90">
        <f t="shared" si="6"/>
        <v>270.334</v>
      </c>
      <c r="AJ9" s="90" t="str">
        <f t="shared" si="3"/>
        <v>PRI</v>
      </c>
      <c r="AK9" s="97">
        <f t="shared" si="4"/>
        <v>269.14800000000002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4.5</v>
      </c>
      <c r="B10" s="99">
        <f t="shared" si="1"/>
        <v>268.87200000000001</v>
      </c>
      <c r="C10" s="100" t="str">
        <f t="shared" si="5"/>
        <v/>
      </c>
      <c r="D10" s="196"/>
      <c r="E10" s="88">
        <f>(B12+B35)/2</f>
        <v>265.66000000000003</v>
      </c>
      <c r="X10" s="111"/>
      <c r="Y10" s="112"/>
      <c r="Z10" s="113"/>
      <c r="AA10" s="114">
        <v>1.462</v>
      </c>
      <c r="AB10" s="115"/>
      <c r="AC10" s="116" t="str">
        <f t="shared" si="11"/>
        <v/>
      </c>
      <c r="AD10" s="117">
        <f t="shared" ref="AD10:AD38" si="13">IF(AJ9="S/BM",AD9,IF(AA10="",AH9-AB10,AH9-AA10))</f>
        <v>268.87200000000001</v>
      </c>
      <c r="AE10" s="118">
        <v>1</v>
      </c>
      <c r="AF10" s="117">
        <f t="shared" si="12"/>
        <v>4.5</v>
      </c>
      <c r="AG10" s="120"/>
      <c r="AH10" s="90">
        <f t="shared" si="2"/>
        <v>270.334</v>
      </c>
      <c r="AI10" s="90">
        <f t="shared" si="6"/>
        <v>270.334</v>
      </c>
      <c r="AJ10" s="90" t="str">
        <f t="shared" si="3"/>
        <v>PRI</v>
      </c>
      <c r="AK10" s="97">
        <f t="shared" si="4"/>
        <v>268.87200000000001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4.5</v>
      </c>
      <c r="B11" s="99">
        <f t="shared" si="1"/>
        <v>268.67500000000001</v>
      </c>
      <c r="C11" s="100" t="str">
        <f t="shared" si="5"/>
        <v/>
      </c>
      <c r="D11" s="196"/>
      <c r="E11" s="121">
        <v>0.33</v>
      </c>
      <c r="X11" s="111" t="s">
        <v>50</v>
      </c>
      <c r="Y11" s="112"/>
      <c r="Z11" s="113">
        <v>0.437</v>
      </c>
      <c r="AA11" s="114"/>
      <c r="AB11" s="115">
        <v>1.659</v>
      </c>
      <c r="AC11" s="116">
        <f t="shared" si="11"/>
        <v>269.11200000000002</v>
      </c>
      <c r="AD11" s="117">
        <f t="shared" si="13"/>
        <v>268.67500000000001</v>
      </c>
      <c r="AE11" s="118">
        <v>0</v>
      </c>
      <c r="AF11" s="117">
        <f t="shared" si="12"/>
        <v>4.5</v>
      </c>
      <c r="AG11" s="120"/>
      <c r="AH11" s="90">
        <f t="shared" si="2"/>
        <v>269.11200000000002</v>
      </c>
      <c r="AI11" s="90">
        <f t="shared" si="6"/>
        <v>269.11200000000002</v>
      </c>
      <c r="AJ11" s="90" t="str">
        <f t="shared" si="3"/>
        <v>PRI</v>
      </c>
      <c r="AK11" s="97">
        <f t="shared" si="4"/>
        <v>268.67500000000001</v>
      </c>
      <c r="AL11" s="90" t="str">
        <f t="shared" si="7"/>
        <v/>
      </c>
      <c r="AM11" s="97" t="str">
        <f t="shared" si="8"/>
        <v/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4.5</v>
      </c>
      <c r="B12" s="99">
        <f t="shared" si="1"/>
        <v>264.82000000000005</v>
      </c>
      <c r="C12" s="100" t="str">
        <f t="shared" si="5"/>
        <v>NAOI</v>
      </c>
      <c r="D12" s="196"/>
      <c r="E12" s="121">
        <v>0.3</v>
      </c>
      <c r="X12" s="111"/>
      <c r="Y12" s="112"/>
      <c r="Z12" s="113"/>
      <c r="AA12" s="114">
        <v>4.2919999999999998</v>
      </c>
      <c r="AB12" s="115"/>
      <c r="AC12" s="116" t="str">
        <f>IF(AA12="",AD12+Z12,"")</f>
        <v/>
      </c>
      <c r="AD12" s="117">
        <f t="shared" si="13"/>
        <v>264.82000000000005</v>
      </c>
      <c r="AE12" s="118">
        <v>0</v>
      </c>
      <c r="AF12" s="117">
        <f t="shared" si="12"/>
        <v>4.5</v>
      </c>
      <c r="AG12" s="119" t="s">
        <v>9</v>
      </c>
      <c r="AH12" s="90">
        <f t="shared" si="2"/>
        <v>264.82000000000005</v>
      </c>
      <c r="AI12" s="90">
        <f t="shared" si="6"/>
        <v>269.11200000000002</v>
      </c>
      <c r="AJ12" s="90" t="str">
        <f t="shared" si="3"/>
        <v>NAOI</v>
      </c>
      <c r="AK12" s="97">
        <f t="shared" si="4"/>
        <v>264.82000000000005</v>
      </c>
      <c r="AL12" s="90">
        <f t="shared" si="7"/>
        <v>264.82000000000005</v>
      </c>
      <c r="AM12" s="97">
        <f t="shared" si="8"/>
        <v>4.5</v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4.5</v>
      </c>
      <c r="B13" s="99">
        <f t="shared" si="1"/>
        <v>262.82000000000005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2</v>
      </c>
      <c r="AB13" s="115"/>
      <c r="AC13" s="116" t="str">
        <f t="shared" si="11"/>
        <v/>
      </c>
      <c r="AD13" s="117">
        <f>IF(AJ12="S/BM",AD12,IF(AA13="",AH12-AB13,AH12-AA13))</f>
        <v>262.82000000000005</v>
      </c>
      <c r="AE13" s="118">
        <v>0</v>
      </c>
      <c r="AF13" s="117">
        <f t="shared" si="12"/>
        <v>4.5</v>
      </c>
      <c r="AG13" s="120"/>
      <c r="AH13" s="90">
        <f t="shared" si="2"/>
        <v>264.82000000000005</v>
      </c>
      <c r="AI13" s="90">
        <f t="shared" si="6"/>
        <v>269.11200000000002</v>
      </c>
      <c r="AJ13" s="90" t="str">
        <f t="shared" si="3"/>
        <v>NAOI</v>
      </c>
      <c r="AK13" s="97">
        <f t="shared" si="4"/>
        <v>264.82000000000005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7.5</v>
      </c>
      <c r="B14" s="99">
        <f t="shared" si="1"/>
        <v>261.86000000000007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2.96</v>
      </c>
      <c r="AB14" s="115"/>
      <c r="AC14" s="116" t="str">
        <f t="shared" si="11"/>
        <v/>
      </c>
      <c r="AD14" s="117">
        <f t="shared" si="13"/>
        <v>261.86000000000007</v>
      </c>
      <c r="AE14" s="118">
        <v>3</v>
      </c>
      <c r="AF14" s="117">
        <f t="shared" si="12"/>
        <v>7.5</v>
      </c>
      <c r="AG14" s="120"/>
      <c r="AH14" s="90">
        <f t="shared" si="2"/>
        <v>264.82000000000005</v>
      </c>
      <c r="AI14" s="90">
        <f t="shared" si="6"/>
        <v>269.11200000000002</v>
      </c>
      <c r="AJ14" s="90" t="str">
        <f t="shared" si="3"/>
        <v>NAOI</v>
      </c>
      <c r="AK14" s="97">
        <f>IF(AND(AJ14="NAOI",AJ13="NAOI"),AK13,AD14)</f>
        <v>264.82000000000005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9</v>
      </c>
      <c r="B15" s="99">
        <f t="shared" si="1"/>
        <v>261.86000000000007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2.96</v>
      </c>
      <c r="AB15" s="115"/>
      <c r="AC15" s="116" t="str">
        <f t="shared" si="11"/>
        <v/>
      </c>
      <c r="AD15" s="117">
        <f t="shared" si="13"/>
        <v>261.86000000000007</v>
      </c>
      <c r="AE15" s="118">
        <v>1.5</v>
      </c>
      <c r="AF15" s="117">
        <f t="shared" si="12"/>
        <v>9</v>
      </c>
      <c r="AG15" s="119"/>
      <c r="AH15" s="90">
        <f t="shared" si="2"/>
        <v>264.82000000000005</v>
      </c>
      <c r="AI15" s="90">
        <f t="shared" si="6"/>
        <v>269.11200000000002</v>
      </c>
      <c r="AJ15" s="90" t="str">
        <f t="shared" si="3"/>
        <v>NAOI</v>
      </c>
      <c r="AK15" s="97">
        <f>IF(AND(AJ15="NAOI",AJ14="NAOI"),AK14,AD15)</f>
        <v>264.82000000000005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10.5</v>
      </c>
      <c r="B16" s="99">
        <f t="shared" si="1"/>
        <v>261.74000000000007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3.08</v>
      </c>
      <c r="AB16" s="115"/>
      <c r="AC16" s="116" t="str">
        <f t="shared" si="11"/>
        <v/>
      </c>
      <c r="AD16" s="117">
        <f>IF(AJ15="S/BM",AD15,IF(AA16="",AH15-AB16,AH15-AA16))</f>
        <v>261.74000000000007</v>
      </c>
      <c r="AE16" s="118">
        <v>1.5</v>
      </c>
      <c r="AF16" s="117">
        <f t="shared" si="12"/>
        <v>10.5</v>
      </c>
      <c r="AG16" s="122"/>
      <c r="AH16" s="90">
        <f t="shared" si="2"/>
        <v>264.82000000000005</v>
      </c>
      <c r="AI16" s="90">
        <f t="shared" si="6"/>
        <v>269.11200000000002</v>
      </c>
      <c r="AJ16" s="90" t="str">
        <f t="shared" si="3"/>
        <v>NAOI</v>
      </c>
      <c r="AK16" s="97">
        <f>IF(AND(AJ16="NAOI",AJ15="NAOI"),AK15,AD16)</f>
        <v>264.82000000000005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12</v>
      </c>
      <c r="B17" s="99">
        <f t="shared" si="1"/>
        <v>261.79000000000008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3.03</v>
      </c>
      <c r="AB17" s="115"/>
      <c r="AC17" s="116" t="str">
        <f t="shared" si="11"/>
        <v/>
      </c>
      <c r="AD17" s="117">
        <f t="shared" si="13"/>
        <v>261.79000000000008</v>
      </c>
      <c r="AE17" s="118">
        <v>1.5</v>
      </c>
      <c r="AF17" s="117">
        <f t="shared" si="12"/>
        <v>12</v>
      </c>
      <c r="AG17" s="122"/>
      <c r="AH17" s="90">
        <f t="shared" si="2"/>
        <v>264.82000000000005</v>
      </c>
      <c r="AI17" s="90">
        <f t="shared" si="6"/>
        <v>269.11200000000002</v>
      </c>
      <c r="AJ17" s="90" t="str">
        <f t="shared" si="3"/>
        <v>NAOI</v>
      </c>
      <c r="AK17" s="97">
        <f t="shared" ref="AK17:AK46" si="15">IF(AND(AJ17="NAOI",AJ16="NAOI"),AK16,AD17)</f>
        <v>264.82000000000005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13.5</v>
      </c>
      <c r="B18" s="99">
        <f t="shared" si="1"/>
        <v>261.96000000000004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2.86</v>
      </c>
      <c r="AB18" s="115"/>
      <c r="AC18" s="116" t="str">
        <f t="shared" si="11"/>
        <v/>
      </c>
      <c r="AD18" s="117">
        <f t="shared" si="13"/>
        <v>261.96000000000004</v>
      </c>
      <c r="AE18" s="118">
        <v>1.5</v>
      </c>
      <c r="AF18" s="117">
        <f t="shared" si="12"/>
        <v>13.5</v>
      </c>
      <c r="AG18" s="122"/>
      <c r="AH18" s="90">
        <f t="shared" si="2"/>
        <v>264.82000000000005</v>
      </c>
      <c r="AI18" s="90">
        <f t="shared" si="6"/>
        <v>269.11200000000002</v>
      </c>
      <c r="AJ18" s="90" t="str">
        <f t="shared" si="3"/>
        <v>NAOI</v>
      </c>
      <c r="AK18" s="97">
        <f t="shared" si="15"/>
        <v>264.82000000000005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15</v>
      </c>
      <c r="B19" s="99">
        <f t="shared" si="1"/>
        <v>262.05000000000007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2.77</v>
      </c>
      <c r="AB19" s="115"/>
      <c r="AC19" s="116" t="str">
        <f t="shared" si="11"/>
        <v/>
      </c>
      <c r="AD19" s="117">
        <f t="shared" si="13"/>
        <v>262.05000000000007</v>
      </c>
      <c r="AE19" s="118">
        <v>1.5</v>
      </c>
      <c r="AF19" s="117">
        <f t="shared" si="12"/>
        <v>15</v>
      </c>
      <c r="AG19" s="122"/>
      <c r="AH19" s="90">
        <f t="shared" si="2"/>
        <v>264.82000000000005</v>
      </c>
      <c r="AI19" s="90">
        <f t="shared" si="6"/>
        <v>269.11200000000002</v>
      </c>
      <c r="AJ19" s="90" t="str">
        <f t="shared" si="3"/>
        <v>NAOI</v>
      </c>
      <c r="AK19" s="97">
        <f t="shared" si="15"/>
        <v>264.82000000000005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16.5</v>
      </c>
      <c r="B20" s="99">
        <f t="shared" si="1"/>
        <v>262.19000000000005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2.63</v>
      </c>
      <c r="AB20" s="115"/>
      <c r="AC20" s="116" t="str">
        <f t="shared" si="11"/>
        <v/>
      </c>
      <c r="AD20" s="117">
        <f t="shared" si="13"/>
        <v>262.19000000000005</v>
      </c>
      <c r="AE20" s="118">
        <v>1.5</v>
      </c>
      <c r="AF20" s="117">
        <f t="shared" si="12"/>
        <v>16.5</v>
      </c>
      <c r="AG20" s="122"/>
      <c r="AH20" s="90">
        <f t="shared" si="2"/>
        <v>264.82000000000005</v>
      </c>
      <c r="AI20" s="90">
        <f t="shared" si="6"/>
        <v>269.11200000000002</v>
      </c>
      <c r="AJ20" s="90" t="str">
        <f t="shared" si="3"/>
        <v>NAOI</v>
      </c>
      <c r="AK20" s="97">
        <f t="shared" si="15"/>
        <v>264.82000000000005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18</v>
      </c>
      <c r="B21" s="99">
        <f t="shared" si="1"/>
        <v>262.30000000000007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2.52</v>
      </c>
      <c r="AB21" s="115"/>
      <c r="AC21" s="116" t="str">
        <f t="shared" si="11"/>
        <v/>
      </c>
      <c r="AD21" s="117">
        <f t="shared" si="13"/>
        <v>262.30000000000007</v>
      </c>
      <c r="AE21" s="118">
        <v>1.5</v>
      </c>
      <c r="AF21" s="117">
        <f t="shared" si="12"/>
        <v>18</v>
      </c>
      <c r="AG21" s="122"/>
      <c r="AH21" s="90">
        <f t="shared" si="2"/>
        <v>264.82000000000005</v>
      </c>
      <c r="AI21" s="90">
        <f t="shared" si="6"/>
        <v>269.11200000000002</v>
      </c>
      <c r="AJ21" s="90" t="str">
        <f t="shared" si="3"/>
        <v>NAOI</v>
      </c>
      <c r="AK21" s="97">
        <f t="shared" si="15"/>
        <v>264.82000000000005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19.5</v>
      </c>
      <c r="B22" s="99">
        <f t="shared" si="1"/>
        <v>262.37000000000006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2.4500000000000002</v>
      </c>
      <c r="AB22" s="115"/>
      <c r="AC22" s="116" t="str">
        <f t="shared" si="11"/>
        <v/>
      </c>
      <c r="AD22" s="117">
        <f t="shared" si="13"/>
        <v>262.37000000000006</v>
      </c>
      <c r="AE22" s="118">
        <v>1.5</v>
      </c>
      <c r="AF22" s="117">
        <f t="shared" si="12"/>
        <v>19.5</v>
      </c>
      <c r="AG22" s="122"/>
      <c r="AH22" s="90">
        <f t="shared" si="2"/>
        <v>264.82000000000005</v>
      </c>
      <c r="AI22" s="90">
        <f t="shared" si="6"/>
        <v>269.11200000000002</v>
      </c>
      <c r="AJ22" s="90" t="str">
        <f t="shared" si="3"/>
        <v>NAOI</v>
      </c>
      <c r="AK22" s="97">
        <f t="shared" si="15"/>
        <v>264.82000000000005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21</v>
      </c>
      <c r="B23" s="99">
        <f t="shared" si="1"/>
        <v>262.57000000000005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2.25</v>
      </c>
      <c r="AB23" s="115"/>
      <c r="AC23" s="116" t="str">
        <f t="shared" si="11"/>
        <v/>
      </c>
      <c r="AD23" s="117">
        <f t="shared" si="13"/>
        <v>262.57000000000005</v>
      </c>
      <c r="AE23" s="118">
        <v>1.5</v>
      </c>
      <c r="AF23" s="117">
        <f t="shared" si="12"/>
        <v>21</v>
      </c>
      <c r="AG23" s="122"/>
      <c r="AH23" s="90">
        <f t="shared" si="2"/>
        <v>264.82000000000005</v>
      </c>
      <c r="AI23" s="90">
        <f t="shared" si="6"/>
        <v>269.11200000000002</v>
      </c>
      <c r="AJ23" s="90" t="str">
        <f t="shared" si="3"/>
        <v>NAOI</v>
      </c>
      <c r="AK23" s="97">
        <f t="shared" si="15"/>
        <v>264.82000000000005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22.5</v>
      </c>
      <c r="B24" s="99">
        <f t="shared" si="1"/>
        <v>262.74000000000007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2.08</v>
      </c>
      <c r="AB24" s="115"/>
      <c r="AC24" s="116" t="str">
        <f t="shared" si="11"/>
        <v/>
      </c>
      <c r="AD24" s="117">
        <f t="shared" si="13"/>
        <v>262.74000000000007</v>
      </c>
      <c r="AE24" s="118">
        <v>1.5</v>
      </c>
      <c r="AF24" s="117">
        <f t="shared" si="12"/>
        <v>22.5</v>
      </c>
      <c r="AG24" s="122"/>
      <c r="AH24" s="90">
        <f t="shared" si="2"/>
        <v>264.82000000000005</v>
      </c>
      <c r="AI24" s="90">
        <f t="shared" si="6"/>
        <v>269.11200000000002</v>
      </c>
      <c r="AJ24" s="90" t="str">
        <f t="shared" si="3"/>
        <v>NAOI</v>
      </c>
      <c r="AK24" s="97">
        <f t="shared" si="15"/>
        <v>264.82000000000005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24</v>
      </c>
      <c r="B25" s="99">
        <f t="shared" si="1"/>
        <v>262.96000000000004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1.86</v>
      </c>
      <c r="AB25" s="115"/>
      <c r="AC25" s="116" t="str">
        <f t="shared" si="11"/>
        <v/>
      </c>
      <c r="AD25" s="117">
        <f t="shared" si="13"/>
        <v>262.96000000000004</v>
      </c>
      <c r="AE25" s="118">
        <v>1.5</v>
      </c>
      <c r="AF25" s="117">
        <f t="shared" si="12"/>
        <v>24</v>
      </c>
      <c r="AG25" s="122"/>
      <c r="AH25" s="90">
        <f t="shared" si="2"/>
        <v>264.82000000000005</v>
      </c>
      <c r="AI25" s="90">
        <f t="shared" si="6"/>
        <v>269.11200000000002</v>
      </c>
      <c r="AJ25" s="90" t="str">
        <f t="shared" si="3"/>
        <v>NAOI</v>
      </c>
      <c r="AK25" s="97">
        <f t="shared" si="15"/>
        <v>264.82000000000005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25.5</v>
      </c>
      <c r="B26" s="99">
        <f t="shared" si="1"/>
        <v>263.11000000000007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1.71</v>
      </c>
      <c r="AB26" s="115"/>
      <c r="AC26" s="116" t="str">
        <f t="shared" si="11"/>
        <v/>
      </c>
      <c r="AD26" s="117">
        <f t="shared" si="13"/>
        <v>263.11000000000007</v>
      </c>
      <c r="AE26" s="118">
        <v>1.5</v>
      </c>
      <c r="AF26" s="117">
        <f t="shared" si="12"/>
        <v>25.5</v>
      </c>
      <c r="AG26" s="122"/>
      <c r="AH26" s="90">
        <f t="shared" si="2"/>
        <v>264.82000000000005</v>
      </c>
      <c r="AI26" s="90">
        <f t="shared" si="6"/>
        <v>269.11200000000002</v>
      </c>
      <c r="AJ26" s="90" t="str">
        <f t="shared" si="3"/>
        <v>NAOI</v>
      </c>
      <c r="AK26" s="97">
        <f t="shared" si="15"/>
        <v>264.82000000000005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27</v>
      </c>
      <c r="B27" s="99">
        <f t="shared" si="1"/>
        <v>263.22000000000003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1.6</v>
      </c>
      <c r="AB27" s="115"/>
      <c r="AC27" s="116" t="str">
        <f t="shared" si="11"/>
        <v/>
      </c>
      <c r="AD27" s="117">
        <f t="shared" si="13"/>
        <v>263.22000000000003</v>
      </c>
      <c r="AE27" s="118">
        <v>1.5</v>
      </c>
      <c r="AF27" s="117">
        <f t="shared" si="12"/>
        <v>27</v>
      </c>
      <c r="AG27" s="122"/>
      <c r="AH27" s="90">
        <f t="shared" si="2"/>
        <v>264.82000000000005</v>
      </c>
      <c r="AI27" s="90">
        <f t="shared" si="6"/>
        <v>269.11200000000002</v>
      </c>
      <c r="AJ27" s="90" t="str">
        <f t="shared" si="3"/>
        <v>NAOI</v>
      </c>
      <c r="AK27" s="97">
        <f t="shared" si="15"/>
        <v>264.82000000000005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28.5</v>
      </c>
      <c r="B28" s="99">
        <f t="shared" si="1"/>
        <v>263.24000000000007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1.58</v>
      </c>
      <c r="AB28" s="115"/>
      <c r="AC28" s="116" t="str">
        <f t="shared" si="11"/>
        <v/>
      </c>
      <c r="AD28" s="117">
        <f t="shared" si="13"/>
        <v>263.24000000000007</v>
      </c>
      <c r="AE28" s="118">
        <v>1.5</v>
      </c>
      <c r="AF28" s="117">
        <f t="shared" si="12"/>
        <v>28.5</v>
      </c>
      <c r="AG28" s="122"/>
      <c r="AH28" s="90">
        <f t="shared" si="2"/>
        <v>264.82000000000005</v>
      </c>
      <c r="AI28" s="90">
        <f t="shared" si="6"/>
        <v>269.11200000000002</v>
      </c>
      <c r="AJ28" s="90" t="str">
        <f t="shared" si="3"/>
        <v>NAOI</v>
      </c>
      <c r="AK28" s="97">
        <f t="shared" si="15"/>
        <v>264.82000000000005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30</v>
      </c>
      <c r="B29" s="99">
        <f t="shared" si="1"/>
        <v>263.34000000000003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1.48</v>
      </c>
      <c r="AB29" s="115"/>
      <c r="AC29" s="116" t="str">
        <f t="shared" si="11"/>
        <v/>
      </c>
      <c r="AD29" s="117">
        <f t="shared" si="13"/>
        <v>263.34000000000003</v>
      </c>
      <c r="AE29" s="118">
        <v>1.5</v>
      </c>
      <c r="AF29" s="117">
        <f t="shared" si="12"/>
        <v>30</v>
      </c>
      <c r="AG29" s="122"/>
      <c r="AH29" s="90">
        <f t="shared" si="2"/>
        <v>264.82000000000005</v>
      </c>
      <c r="AI29" s="90">
        <f t="shared" si="6"/>
        <v>269.11200000000002</v>
      </c>
      <c r="AJ29" s="90" t="str">
        <f t="shared" si="3"/>
        <v>NAOI</v>
      </c>
      <c r="AK29" s="97">
        <f t="shared" si="15"/>
        <v>264.82000000000005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4"/>
        <v>0</v>
      </c>
    </row>
    <row r="30" spans="1:42" ht="15.75" x14ac:dyDescent="0.25">
      <c r="A30" s="98">
        <f t="shared" si="0"/>
        <v>31.5</v>
      </c>
      <c r="B30" s="99">
        <f t="shared" si="1"/>
        <v>263.44000000000005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1.38</v>
      </c>
      <c r="AB30" s="115"/>
      <c r="AC30" s="116" t="str">
        <f t="shared" si="11"/>
        <v/>
      </c>
      <c r="AD30" s="117">
        <f t="shared" si="13"/>
        <v>263.44000000000005</v>
      </c>
      <c r="AE30" s="118">
        <v>1.5</v>
      </c>
      <c r="AF30" s="117">
        <f t="shared" si="12"/>
        <v>31.5</v>
      </c>
      <c r="AG30" s="119"/>
      <c r="AH30" s="90">
        <f t="shared" si="2"/>
        <v>264.82000000000005</v>
      </c>
      <c r="AI30" s="90">
        <f t="shared" si="6"/>
        <v>269.11200000000002</v>
      </c>
      <c r="AJ30" s="90" t="str">
        <f t="shared" si="3"/>
        <v>NAOI</v>
      </c>
      <c r="AK30" s="97">
        <f t="shared" si="15"/>
        <v>264.82000000000005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33</v>
      </c>
      <c r="B31" s="99">
        <f t="shared" si="1"/>
        <v>263.89000000000004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0.93</v>
      </c>
      <c r="AB31" s="115"/>
      <c r="AC31" s="116" t="str">
        <f t="shared" si="11"/>
        <v/>
      </c>
      <c r="AD31" s="117">
        <f t="shared" si="13"/>
        <v>263.89000000000004</v>
      </c>
      <c r="AE31" s="118">
        <v>1.5</v>
      </c>
      <c r="AF31" s="117">
        <f t="shared" si="12"/>
        <v>33</v>
      </c>
      <c r="AG31" s="122"/>
      <c r="AH31" s="90">
        <f t="shared" si="2"/>
        <v>264.82000000000005</v>
      </c>
      <c r="AI31" s="90">
        <f t="shared" si="6"/>
        <v>269.11200000000002</v>
      </c>
      <c r="AJ31" s="90" t="str">
        <f t="shared" si="3"/>
        <v>NAOI</v>
      </c>
      <c r="AK31" s="97">
        <f t="shared" si="15"/>
        <v>264.82000000000005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34.4</v>
      </c>
      <c r="B32" s="99">
        <f t="shared" si="1"/>
        <v>264.10000000000002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0.72</v>
      </c>
      <c r="AB32" s="115"/>
      <c r="AC32" s="116" t="str">
        <f t="shared" si="11"/>
        <v/>
      </c>
      <c r="AD32" s="117">
        <f t="shared" si="13"/>
        <v>264.10000000000002</v>
      </c>
      <c r="AE32" s="118">
        <v>1.4</v>
      </c>
      <c r="AF32" s="117">
        <f t="shared" si="12"/>
        <v>34.4</v>
      </c>
      <c r="AG32" s="122"/>
      <c r="AH32" s="90">
        <f t="shared" si="2"/>
        <v>269.11200000000002</v>
      </c>
      <c r="AI32" s="90">
        <f t="shared" si="6"/>
        <v>269.11200000000002</v>
      </c>
      <c r="AJ32" s="90" t="str">
        <f t="shared" si="3"/>
        <v>NAOI</v>
      </c>
      <c r="AK32" s="97">
        <f t="shared" si="15"/>
        <v>264.82000000000005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34.4</v>
      </c>
      <c r="B33" s="99">
        <f t="shared" si="1"/>
        <v>264.88600000000002</v>
      </c>
      <c r="C33" s="100" t="str">
        <f t="shared" si="5"/>
        <v>NAOD</v>
      </c>
      <c r="D33" s="196"/>
      <c r="X33" s="111"/>
      <c r="Y33" s="112"/>
      <c r="Z33" s="113"/>
      <c r="AA33" s="114">
        <v>4.2919999999999998</v>
      </c>
      <c r="AB33" s="115"/>
      <c r="AC33" s="116" t="str">
        <f t="shared" si="11"/>
        <v/>
      </c>
      <c r="AD33" s="117">
        <v>264.88600000000002</v>
      </c>
      <c r="AE33" s="118">
        <v>0</v>
      </c>
      <c r="AF33" s="117">
        <f t="shared" si="12"/>
        <v>34.4</v>
      </c>
      <c r="AG33" s="119" t="s">
        <v>10</v>
      </c>
      <c r="AH33" s="90">
        <f t="shared" si="2"/>
        <v>269.11200000000002</v>
      </c>
      <c r="AI33" s="90">
        <f t="shared" si="6"/>
        <v>269.11200000000002</v>
      </c>
      <c r="AJ33" s="90" t="str">
        <f t="shared" si="3"/>
        <v>NAOD</v>
      </c>
      <c r="AK33" s="97">
        <f t="shared" si="15"/>
        <v>264.88600000000002</v>
      </c>
      <c r="AL33" s="90" t="str">
        <f t="shared" si="7"/>
        <v/>
      </c>
      <c r="AM33" s="97" t="str">
        <f t="shared" si="8"/>
        <v/>
      </c>
      <c r="AN33" s="90">
        <f t="shared" si="9"/>
        <v>264.88600000000002</v>
      </c>
      <c r="AO33" s="90">
        <f t="shared" si="10"/>
        <v>34.4</v>
      </c>
      <c r="AP33" s="90">
        <f t="shared" si="14"/>
        <v>0</v>
      </c>
    </row>
    <row r="34" spans="1:42" ht="15.75" x14ac:dyDescent="0.25">
      <c r="A34" s="98">
        <f t="shared" si="0"/>
        <v>34.4</v>
      </c>
      <c r="B34" s="99">
        <f t="shared" si="1"/>
        <v>266.5</v>
      </c>
      <c r="C34" s="100" t="str">
        <f t="shared" si="5"/>
        <v/>
      </c>
      <c r="D34" s="196"/>
      <c r="X34" s="111"/>
      <c r="Y34" s="112"/>
      <c r="Z34" s="113"/>
      <c r="AA34" s="114">
        <v>2.6120000000000001</v>
      </c>
      <c r="AB34" s="115"/>
      <c r="AC34" s="116" t="str">
        <f t="shared" si="11"/>
        <v/>
      </c>
      <c r="AD34" s="117">
        <f t="shared" si="13"/>
        <v>266.5</v>
      </c>
      <c r="AE34" s="118">
        <v>0</v>
      </c>
      <c r="AF34" s="117">
        <f t="shared" si="12"/>
        <v>34.4</v>
      </c>
      <c r="AG34" s="119"/>
      <c r="AH34" s="90">
        <f t="shared" si="2"/>
        <v>269.11200000000002</v>
      </c>
      <c r="AI34" s="90">
        <f t="shared" si="6"/>
        <v>269.11200000000002</v>
      </c>
      <c r="AJ34" s="90" t="str">
        <f t="shared" si="3"/>
        <v>NAOD</v>
      </c>
      <c r="AK34" s="97">
        <f t="shared" si="15"/>
        <v>266.5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35.299999999999997</v>
      </c>
      <c r="B35" s="99">
        <f t="shared" si="1"/>
        <v>266.5</v>
      </c>
      <c r="C35" s="100" t="str">
        <f t="shared" si="5"/>
        <v/>
      </c>
      <c r="D35" s="196"/>
      <c r="X35" s="111"/>
      <c r="Y35" s="112"/>
      <c r="Z35" s="113"/>
      <c r="AA35" s="114">
        <v>2.6120000000000001</v>
      </c>
      <c r="AB35" s="115"/>
      <c r="AC35" s="116" t="str">
        <f t="shared" si="11"/>
        <v/>
      </c>
      <c r="AD35" s="117">
        <f t="shared" si="13"/>
        <v>266.5</v>
      </c>
      <c r="AE35" s="118">
        <v>0.9</v>
      </c>
      <c r="AF35" s="117">
        <f t="shared" si="12"/>
        <v>35.299999999999997</v>
      </c>
      <c r="AG35" s="120"/>
      <c r="AH35" s="90">
        <f t="shared" si="2"/>
        <v>269.11200000000002</v>
      </c>
      <c r="AI35" s="90">
        <f t="shared" si="6"/>
        <v>269.11200000000002</v>
      </c>
      <c r="AJ35" s="90" t="str">
        <f t="shared" si="3"/>
        <v>NAOD</v>
      </c>
      <c r="AK35" s="97">
        <f t="shared" si="15"/>
        <v>266.5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>
        <f t="shared" si="0"/>
        <v>35.299999999999997</v>
      </c>
      <c r="B36" s="99">
        <f t="shared" si="1"/>
        <v>277.5</v>
      </c>
      <c r="C36" s="100" t="str">
        <f t="shared" si="5"/>
        <v>PRD</v>
      </c>
      <c r="D36" s="196"/>
      <c r="X36" s="111"/>
      <c r="Y36" s="112"/>
      <c r="Z36" s="113"/>
      <c r="AA36" s="114">
        <v>-8.3879999999999999</v>
      </c>
      <c r="AB36" s="115"/>
      <c r="AC36" s="116" t="str">
        <f t="shared" si="11"/>
        <v/>
      </c>
      <c r="AD36" s="117">
        <f t="shared" si="13"/>
        <v>277.5</v>
      </c>
      <c r="AE36" s="118">
        <v>0</v>
      </c>
      <c r="AF36" s="117">
        <f t="shared" si="12"/>
        <v>35.299999999999997</v>
      </c>
      <c r="AG36" s="119" t="s">
        <v>5</v>
      </c>
      <c r="AH36" s="90">
        <f t="shared" si="2"/>
        <v>269.11200000000002</v>
      </c>
      <c r="AI36" s="90">
        <f t="shared" si="6"/>
        <v>269.11200000000002</v>
      </c>
      <c r="AJ36" s="90" t="str">
        <f t="shared" si="3"/>
        <v>PRD</v>
      </c>
      <c r="AK36" s="97">
        <f t="shared" si="15"/>
        <v>277.5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>
        <f t="shared" si="0"/>
        <v>35.299999999999997</v>
      </c>
      <c r="B37" s="99">
        <f t="shared" si="1"/>
        <v>268.74299999999999</v>
      </c>
      <c r="C37" s="100" t="str">
        <f t="shared" si="5"/>
        <v/>
      </c>
      <c r="D37" s="196"/>
      <c r="X37" s="111" t="s">
        <v>51</v>
      </c>
      <c r="Y37" s="112"/>
      <c r="Z37" s="113">
        <v>1.875</v>
      </c>
      <c r="AA37" s="114"/>
      <c r="AB37" s="115">
        <v>0.36899999999999999</v>
      </c>
      <c r="AC37" s="116">
        <f t="shared" si="11"/>
        <v>270.61799999999999</v>
      </c>
      <c r="AD37" s="117">
        <f t="shared" si="13"/>
        <v>268.74299999999999</v>
      </c>
      <c r="AE37" s="118">
        <v>0</v>
      </c>
      <c r="AF37" s="117">
        <f t="shared" si="12"/>
        <v>35.299999999999997</v>
      </c>
      <c r="AG37" s="120"/>
      <c r="AH37" s="90">
        <f t="shared" si="2"/>
        <v>270.61799999999999</v>
      </c>
      <c r="AI37" s="90">
        <f t="shared" si="6"/>
        <v>270.61799999999999</v>
      </c>
      <c r="AJ37" s="90" t="str">
        <f t="shared" si="3"/>
        <v>PRD</v>
      </c>
      <c r="AK37" s="97">
        <f t="shared" si="15"/>
        <v>268.74299999999999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>
        <f t="shared" si="0"/>
        <v>37.299999999999997</v>
      </c>
      <c r="B38" s="99">
        <f t="shared" si="1"/>
        <v>269.351</v>
      </c>
      <c r="C38" s="100" t="str">
        <f t="shared" si="5"/>
        <v xml:space="preserve">S/BM </v>
      </c>
      <c r="D38" s="196"/>
      <c r="X38" s="111"/>
      <c r="Y38" s="112"/>
      <c r="Z38" s="113"/>
      <c r="AA38" s="114">
        <v>1.2669999999999999</v>
      </c>
      <c r="AB38" s="115"/>
      <c r="AC38" s="116" t="str">
        <f t="shared" si="11"/>
        <v/>
      </c>
      <c r="AD38" s="117">
        <f t="shared" si="13"/>
        <v>269.351</v>
      </c>
      <c r="AE38" s="118">
        <v>2</v>
      </c>
      <c r="AF38" s="117">
        <f t="shared" si="12"/>
        <v>37.299999999999997</v>
      </c>
      <c r="AG38" s="120" t="s">
        <v>49</v>
      </c>
      <c r="AH38" s="90">
        <f t="shared" si="2"/>
        <v>270.61799999999999</v>
      </c>
      <c r="AI38" s="90">
        <f t="shared" si="6"/>
        <v>270.61799999999999</v>
      </c>
      <c r="AJ38" s="90" t="str">
        <f t="shared" si="3"/>
        <v xml:space="preserve">S/BM </v>
      </c>
      <c r="AK38" s="97">
        <f t="shared" si="15"/>
        <v>269.351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/>
      <c r="B39" s="99"/>
      <c r="C39" s="100" t="str">
        <f t="shared" si="5"/>
        <v/>
      </c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 xml:space="preserve">S/BM </v>
      </c>
      <c r="AK39" s="97">
        <f t="shared" si="15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/>
      <c r="B40" s="99"/>
      <c r="C40" s="100" t="str">
        <f t="shared" si="5"/>
        <v/>
      </c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20"/>
      <c r="AH40" s="90">
        <f t="shared" si="2"/>
        <v>0</v>
      </c>
      <c r="AI40" s="90">
        <f t="shared" si="6"/>
        <v>0</v>
      </c>
      <c r="AJ40" s="90" t="str">
        <f t="shared" si="3"/>
        <v xml:space="preserve">S/BM </v>
      </c>
      <c r="AK40" s="97">
        <f t="shared" si="15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/>
      <c r="B41" s="99"/>
      <c r="C41" s="100" t="str">
        <f>IF(AG41="","",AG41)</f>
        <v/>
      </c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 xml:space="preserve">S/BM </v>
      </c>
      <c r="AK41" s="97">
        <f t="shared" si="15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/>
      <c r="B42" s="99"/>
      <c r="C42" s="100" t="str">
        <f>IF(AG42="","",AG42)</f>
        <v/>
      </c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 xml:space="preserve">S/BM </v>
      </c>
      <c r="AK42" s="97">
        <f t="shared" si="15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0</v>
      </c>
    </row>
    <row r="43" spans="1:42" ht="15.75" x14ac:dyDescent="0.25">
      <c r="A43" s="98"/>
      <c r="B43" s="99"/>
      <c r="C43" s="100" t="str">
        <f t="shared" si="5"/>
        <v/>
      </c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20"/>
      <c r="AH43" s="90">
        <f t="shared" si="2"/>
        <v>0</v>
      </c>
      <c r="AI43" s="90">
        <f t="shared" si="6"/>
        <v>0</v>
      </c>
      <c r="AJ43" s="90" t="str">
        <f t="shared" si="3"/>
        <v xml:space="preserve">S/BM </v>
      </c>
      <c r="AK43" s="97">
        <f t="shared" si="15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/>
      <c r="B44" s="99"/>
      <c r="C44" s="100" t="str">
        <f t="shared" si="5"/>
        <v/>
      </c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19"/>
      <c r="AH44" s="90">
        <f t="shared" si="2"/>
        <v>0</v>
      </c>
      <c r="AI44" s="90">
        <f t="shared" si="6"/>
        <v>0</v>
      </c>
      <c r="AJ44" s="90" t="str">
        <f t="shared" si="3"/>
        <v xml:space="preserve">S/BM </v>
      </c>
      <c r="AK44" s="97">
        <f t="shared" si="15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/>
      <c r="B45" s="99"/>
      <c r="C45" s="100" t="str">
        <f>IF(AG45="","",AG45)</f>
        <v/>
      </c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15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/>
      <c r="B46" s="99"/>
      <c r="C46" s="100" t="str">
        <f>IF(AG46="","",AG46)</f>
        <v/>
      </c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15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/>
      <c r="B47" s="99"/>
      <c r="C47" s="100" t="str">
        <f t="shared" ref="C47:C51" si="16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6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7">IF(AJ47="S/BM",1,0)</f>
        <v>0</v>
      </c>
    </row>
    <row r="49" spans="1:42" ht="15.75" x14ac:dyDescent="0.25">
      <c r="A49" s="98"/>
      <c r="B49" s="99"/>
      <c r="C49" s="100" t="str">
        <f t="shared" si="16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7"/>
        <v>0</v>
      </c>
    </row>
    <row r="50" spans="1:42" ht="15.75" x14ac:dyDescent="0.25">
      <c r="A50" s="98"/>
      <c r="B50" s="99"/>
      <c r="C50" s="100" t="str">
        <f t="shared" si="16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7"/>
        <v>0</v>
      </c>
    </row>
    <row r="51" spans="1:42" ht="16.5" thickBot="1" x14ac:dyDescent="0.3">
      <c r="A51" s="126"/>
      <c r="B51" s="127"/>
      <c r="C51" s="100" t="str">
        <f t="shared" si="16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7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4.5</v>
      </c>
      <c r="B53" s="140">
        <f>AL4</f>
        <v>264.82000000000005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34.4</v>
      </c>
      <c r="B54" s="140">
        <f>AN4</f>
        <v>264.88600000000002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263.64999999999998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265.64999999999998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268.76799999999997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270.26799999999997</v>
      </c>
      <c r="C58" s="149" t="s">
        <v>2</v>
      </c>
      <c r="D58" s="184"/>
    </row>
    <row r="59" spans="1:42" ht="13.5" thickBot="1" x14ac:dyDescent="0.25">
      <c r="A59" s="150"/>
      <c r="B59" s="151"/>
      <c r="C59" s="152" t="s">
        <v>7</v>
      </c>
      <c r="D59" s="153"/>
    </row>
    <row r="60" spans="1:42" ht="13.5" thickBot="1" x14ac:dyDescent="0.25">
      <c r="A60" s="154"/>
      <c r="B60" s="151"/>
      <c r="C60" s="152" t="s">
        <v>7</v>
      </c>
      <c r="D60" s="153"/>
    </row>
    <row r="61" spans="1:42" ht="18" x14ac:dyDescent="0.25">
      <c r="A61" s="155" t="s">
        <v>74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263.64999999999998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66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71</v>
      </c>
      <c r="C69" s="181"/>
    </row>
    <row r="70" spans="1:4" ht="14.25" x14ac:dyDescent="0.2">
      <c r="A70" s="161" t="s">
        <v>60</v>
      </c>
      <c r="B70" s="181" t="s">
        <v>71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42989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785" priority="84" stopIfTrue="1">
      <formula>$AP$47=1</formula>
    </cfRule>
  </conditionalFormatting>
  <conditionalFormatting sqref="AC46:AF46">
    <cfRule type="expression" dxfId="784" priority="83" stopIfTrue="1">
      <formula>$AP$46</formula>
    </cfRule>
  </conditionalFormatting>
  <conditionalFormatting sqref="AC50:AF50">
    <cfRule type="expression" dxfId="783" priority="82" stopIfTrue="1">
      <formula>$AP$50=1</formula>
    </cfRule>
  </conditionalFormatting>
  <conditionalFormatting sqref="AC51:AF51">
    <cfRule type="expression" dxfId="782" priority="81" stopIfTrue="1">
      <formula>$AP$51=1</formula>
    </cfRule>
  </conditionalFormatting>
  <conditionalFormatting sqref="AC49:AF49">
    <cfRule type="expression" dxfId="781" priority="80" stopIfTrue="1">
      <formula>$AP$49=1</formula>
    </cfRule>
  </conditionalFormatting>
  <conditionalFormatting sqref="AC48:AF48">
    <cfRule type="expression" dxfId="780" priority="79" stopIfTrue="1">
      <formula>$AP$48=1</formula>
    </cfRule>
  </conditionalFormatting>
  <conditionalFormatting sqref="AC45:AF45">
    <cfRule type="expression" dxfId="779" priority="78" stopIfTrue="1">
      <formula>$AP$45=1</formula>
    </cfRule>
  </conditionalFormatting>
  <conditionalFormatting sqref="AC44:AF44">
    <cfRule type="expression" dxfId="778" priority="77" stopIfTrue="1">
      <formula>$AP$44=1</formula>
    </cfRule>
  </conditionalFormatting>
  <conditionalFormatting sqref="AC43:AF43">
    <cfRule type="expression" dxfId="777" priority="76" stopIfTrue="1">
      <formula>$AP$43=1</formula>
    </cfRule>
  </conditionalFormatting>
  <conditionalFormatting sqref="AC42:AF42">
    <cfRule type="expression" dxfId="776" priority="75" stopIfTrue="1">
      <formula>$AP$42=1</formula>
    </cfRule>
  </conditionalFormatting>
  <conditionalFormatting sqref="AC41:AF41">
    <cfRule type="expression" dxfId="775" priority="74" stopIfTrue="1">
      <formula>$AP$41=1</formula>
    </cfRule>
  </conditionalFormatting>
  <conditionalFormatting sqref="AC40:AF40">
    <cfRule type="expression" dxfId="774" priority="73" stopIfTrue="1">
      <formula>$AP$40=1</formula>
    </cfRule>
  </conditionalFormatting>
  <conditionalFormatting sqref="AC39:AF39">
    <cfRule type="expression" dxfId="773" priority="72" stopIfTrue="1">
      <formula>$AP$39=1</formula>
    </cfRule>
  </conditionalFormatting>
  <conditionalFormatting sqref="AC38:AF38">
    <cfRule type="expression" dxfId="772" priority="71" stopIfTrue="1">
      <formula>$AP$38=1</formula>
    </cfRule>
  </conditionalFormatting>
  <conditionalFormatting sqref="AD37:AF37">
    <cfRule type="expression" dxfId="771" priority="70" stopIfTrue="1">
      <formula>$AP$37=1</formula>
    </cfRule>
  </conditionalFormatting>
  <conditionalFormatting sqref="AC36:AF36 AC37">
    <cfRule type="expression" dxfId="770" priority="69" stopIfTrue="1">
      <formula>$AP$36=1</formula>
    </cfRule>
  </conditionalFormatting>
  <conditionalFormatting sqref="AC35:AF35">
    <cfRule type="expression" dxfId="769" priority="67" stopIfTrue="1">
      <formula>$AP$35=1</formula>
    </cfRule>
    <cfRule type="expression" dxfId="768" priority="68" stopIfTrue="1">
      <formula>$AP$35=1</formula>
    </cfRule>
  </conditionalFormatting>
  <conditionalFormatting sqref="AC34:AF34">
    <cfRule type="expression" dxfId="767" priority="66" stopIfTrue="1">
      <formula>$AP$34=1</formula>
    </cfRule>
  </conditionalFormatting>
  <conditionalFormatting sqref="AC33:AF33">
    <cfRule type="expression" dxfId="766" priority="65" stopIfTrue="1">
      <formula>$AP$33=1</formula>
    </cfRule>
  </conditionalFormatting>
  <conditionalFormatting sqref="AC32:AF32">
    <cfRule type="expression" dxfId="765" priority="64" stopIfTrue="1">
      <formula>$AP$32=1</formula>
    </cfRule>
  </conditionalFormatting>
  <conditionalFormatting sqref="AC31:AF31">
    <cfRule type="expression" dxfId="764" priority="63" stopIfTrue="1">
      <formula>$AP$31=1</formula>
    </cfRule>
  </conditionalFormatting>
  <conditionalFormatting sqref="AC30:AF30">
    <cfRule type="expression" dxfId="763" priority="62" stopIfTrue="1">
      <formula>$AP$30</formula>
    </cfRule>
  </conditionalFormatting>
  <conditionalFormatting sqref="AC29:AD29 AF29">
    <cfRule type="expression" dxfId="762" priority="61" stopIfTrue="1">
      <formula>$AP$29=1</formula>
    </cfRule>
  </conditionalFormatting>
  <conditionalFormatting sqref="AC28:AD28 AF28">
    <cfRule type="expression" dxfId="761" priority="60" stopIfTrue="1">
      <formula>$AP$28=1</formula>
    </cfRule>
  </conditionalFormatting>
  <conditionalFormatting sqref="AC27:AD27 AF27">
    <cfRule type="expression" dxfId="760" priority="59" stopIfTrue="1">
      <formula>$AP$27=1</formula>
    </cfRule>
  </conditionalFormatting>
  <conditionalFormatting sqref="AC26:AD26 AF26">
    <cfRule type="expression" dxfId="759" priority="58" stopIfTrue="1">
      <formula>$AP$26=1</formula>
    </cfRule>
  </conditionalFormatting>
  <conditionalFormatting sqref="AC25:AD25 AF25">
    <cfRule type="expression" dxfId="758" priority="57" stopIfTrue="1">
      <formula>$AP$25=1</formula>
    </cfRule>
  </conditionalFormatting>
  <conditionalFormatting sqref="AC24:AD24 AF24">
    <cfRule type="expression" dxfId="757" priority="56" stopIfTrue="1">
      <formula>$AP$24=1</formula>
    </cfRule>
  </conditionalFormatting>
  <conditionalFormatting sqref="AC23:AD23 AF23">
    <cfRule type="expression" dxfId="756" priority="55" stopIfTrue="1">
      <formula>$AP$23=1</formula>
    </cfRule>
  </conditionalFormatting>
  <conditionalFormatting sqref="AC22:AD22 AF22">
    <cfRule type="expression" dxfId="755" priority="54" stopIfTrue="1">
      <formula>$AP$22=1</formula>
    </cfRule>
  </conditionalFormatting>
  <conditionalFormatting sqref="AC21:AD21 AF21">
    <cfRule type="expression" dxfId="754" priority="53" stopIfTrue="1">
      <formula>$AP$21=1</formula>
    </cfRule>
  </conditionalFormatting>
  <conditionalFormatting sqref="AC20:AD20 AF20">
    <cfRule type="expression" dxfId="753" priority="52" stopIfTrue="1">
      <formula>$AP$20=1</formula>
    </cfRule>
  </conditionalFormatting>
  <conditionalFormatting sqref="AC19:AD19 AF19">
    <cfRule type="expression" dxfId="752" priority="51" stopIfTrue="1">
      <formula>$AP$19=1</formula>
    </cfRule>
  </conditionalFormatting>
  <conditionalFormatting sqref="AC18:AD18 AF18">
    <cfRule type="expression" dxfId="751" priority="50" stopIfTrue="1">
      <formula>$AP$18=1</formula>
    </cfRule>
  </conditionalFormatting>
  <conditionalFormatting sqref="AC17:AD17 AF17">
    <cfRule type="expression" dxfId="750" priority="49" stopIfTrue="1">
      <formula>$AP$17=1</formula>
    </cfRule>
  </conditionalFormatting>
  <conditionalFormatting sqref="AC16:AD16 AF16">
    <cfRule type="expression" dxfId="749" priority="48" stopIfTrue="1">
      <formula>$AP$16=1</formula>
    </cfRule>
  </conditionalFormatting>
  <conditionalFormatting sqref="AC15:AD15 AF15">
    <cfRule type="expression" dxfId="748" priority="47" stopIfTrue="1">
      <formula>$AP$15=1</formula>
    </cfRule>
  </conditionalFormatting>
  <conditionalFormatting sqref="AC14:AD14 AF14">
    <cfRule type="expression" dxfId="747" priority="46" stopIfTrue="1">
      <formula>$AP$14=1</formula>
    </cfRule>
  </conditionalFormatting>
  <conditionalFormatting sqref="AC13:AD13 AF13">
    <cfRule type="expression" dxfId="746" priority="45" stopIfTrue="1">
      <formula>$AP$13=1</formula>
    </cfRule>
  </conditionalFormatting>
  <conditionalFormatting sqref="AC12:AF12 AE13:AE29">
    <cfRule type="expression" dxfId="745" priority="44" stopIfTrue="1">
      <formula>$AP$12=1</formula>
    </cfRule>
  </conditionalFormatting>
  <conditionalFormatting sqref="AC11:AF11">
    <cfRule type="expression" dxfId="744" priority="43" stopIfTrue="1">
      <formula>$AP$11=1</formula>
    </cfRule>
  </conditionalFormatting>
  <conditionalFormatting sqref="A51:B51">
    <cfRule type="expression" dxfId="743" priority="42" stopIfTrue="1">
      <formula>$AP$51=1</formula>
    </cfRule>
  </conditionalFormatting>
  <conditionalFormatting sqref="A50:B50">
    <cfRule type="expression" dxfId="742" priority="41" stopIfTrue="1">
      <formula>$AP$50=1</formula>
    </cfRule>
  </conditionalFormatting>
  <conditionalFormatting sqref="A49:B49">
    <cfRule type="expression" dxfId="741" priority="40" stopIfTrue="1">
      <formula>$AP$49=1</formula>
    </cfRule>
  </conditionalFormatting>
  <conditionalFormatting sqref="A48:B48">
    <cfRule type="expression" dxfId="740" priority="39" stopIfTrue="1">
      <formula>$AP$48=1</formula>
    </cfRule>
  </conditionalFormatting>
  <conditionalFormatting sqref="A47:B47">
    <cfRule type="expression" dxfId="739" priority="38" stopIfTrue="1">
      <formula>$AP$47=1</formula>
    </cfRule>
  </conditionalFormatting>
  <conditionalFormatting sqref="A46:B46">
    <cfRule type="expression" dxfId="738" priority="37" stopIfTrue="1">
      <formula>$AP$46=1</formula>
    </cfRule>
  </conditionalFormatting>
  <conditionalFormatting sqref="A45:B45">
    <cfRule type="expression" dxfId="737" priority="36" stopIfTrue="1">
      <formula>$AP$45=1</formula>
    </cfRule>
  </conditionalFormatting>
  <conditionalFormatting sqref="A44:B44">
    <cfRule type="expression" dxfId="736" priority="35" stopIfTrue="1">
      <formula>$AP$44=1</formula>
    </cfRule>
  </conditionalFormatting>
  <conditionalFormatting sqref="A43:B43">
    <cfRule type="expression" dxfId="735" priority="34" stopIfTrue="1">
      <formula>$AP$43=1</formula>
    </cfRule>
  </conditionalFormatting>
  <conditionalFormatting sqref="A42:B42">
    <cfRule type="expression" dxfId="734" priority="33" stopIfTrue="1">
      <formula>$AP$42=1</formula>
    </cfRule>
  </conditionalFormatting>
  <conditionalFormatting sqref="A41:B41">
    <cfRule type="expression" dxfId="733" priority="32" stopIfTrue="1">
      <formula>$AP$41=1</formula>
    </cfRule>
  </conditionalFormatting>
  <conditionalFormatting sqref="A40:B40">
    <cfRule type="expression" dxfId="732" priority="31" stopIfTrue="1">
      <formula>$AP$40=1</formula>
    </cfRule>
  </conditionalFormatting>
  <conditionalFormatting sqref="A39:B39">
    <cfRule type="expression" dxfId="731" priority="30" stopIfTrue="1">
      <formula>$AP$39=1</formula>
    </cfRule>
  </conditionalFormatting>
  <conditionalFormatting sqref="A38:B38">
    <cfRule type="expression" dxfId="730" priority="29" stopIfTrue="1">
      <formula>$AP$38=1</formula>
    </cfRule>
  </conditionalFormatting>
  <conditionalFormatting sqref="A37:B37">
    <cfRule type="expression" dxfId="729" priority="28" stopIfTrue="1">
      <formula>$AP$37=1</formula>
    </cfRule>
  </conditionalFormatting>
  <conditionalFormatting sqref="A36:B36">
    <cfRule type="expression" dxfId="728" priority="27" stopIfTrue="1">
      <formula>$AP$36=1</formula>
    </cfRule>
  </conditionalFormatting>
  <conditionalFormatting sqref="A35:B35">
    <cfRule type="expression" dxfId="727" priority="26" stopIfTrue="1">
      <formula>$AP$35=1</formula>
    </cfRule>
  </conditionalFormatting>
  <conditionalFormatting sqref="A34:B34">
    <cfRule type="expression" dxfId="726" priority="25" stopIfTrue="1">
      <formula>$AP$34=1</formula>
    </cfRule>
  </conditionalFormatting>
  <conditionalFormatting sqref="A33:B33">
    <cfRule type="expression" dxfId="725" priority="24" stopIfTrue="1">
      <formula>$AP$33=1</formula>
    </cfRule>
  </conditionalFormatting>
  <conditionalFormatting sqref="A32:B32">
    <cfRule type="expression" dxfId="724" priority="23" stopIfTrue="1">
      <formula>$AP$32=1</formula>
    </cfRule>
  </conditionalFormatting>
  <conditionalFormatting sqref="A31:B31">
    <cfRule type="expression" dxfId="723" priority="22" stopIfTrue="1">
      <formula>$AP$31=1</formula>
    </cfRule>
  </conditionalFormatting>
  <conditionalFormatting sqref="A30:B30">
    <cfRule type="expression" dxfId="722" priority="21" stopIfTrue="1">
      <formula>$AP$30=1</formula>
    </cfRule>
  </conditionalFormatting>
  <conditionalFormatting sqref="A29:B29">
    <cfRule type="expression" dxfId="721" priority="20" stopIfTrue="1">
      <formula>$AP$29=1</formula>
    </cfRule>
  </conditionalFormatting>
  <conditionalFormatting sqref="A28:B28">
    <cfRule type="expression" dxfId="720" priority="19" stopIfTrue="1">
      <formula>$AP$28=1</formula>
    </cfRule>
  </conditionalFormatting>
  <conditionalFormatting sqref="A27:B27">
    <cfRule type="expression" dxfId="719" priority="18" stopIfTrue="1">
      <formula>$AP$27=1</formula>
    </cfRule>
  </conditionalFormatting>
  <conditionalFormatting sqref="A26:B26">
    <cfRule type="expression" dxfId="718" priority="17" stopIfTrue="1">
      <formula>$AP$26=1</formula>
    </cfRule>
  </conditionalFormatting>
  <conditionalFormatting sqref="A25:B25">
    <cfRule type="expression" dxfId="717" priority="16" stopIfTrue="1">
      <formula>$AP$25=1</formula>
    </cfRule>
  </conditionalFormatting>
  <conditionalFormatting sqref="A24:B24">
    <cfRule type="expression" dxfId="716" priority="15" stopIfTrue="1">
      <formula>$AP$24=1</formula>
    </cfRule>
  </conditionalFormatting>
  <conditionalFormatting sqref="A23:B23">
    <cfRule type="expression" dxfId="715" priority="14" stopIfTrue="1">
      <formula>$AP$23=1</formula>
    </cfRule>
  </conditionalFormatting>
  <conditionalFormatting sqref="A22:B22">
    <cfRule type="expression" dxfId="714" priority="13" stopIfTrue="1">
      <formula>$AP$22=1</formula>
    </cfRule>
  </conditionalFormatting>
  <conditionalFormatting sqref="A21:B21">
    <cfRule type="expression" dxfId="713" priority="12" stopIfTrue="1">
      <formula>$AP$21=1</formula>
    </cfRule>
  </conditionalFormatting>
  <conditionalFormatting sqref="A20:B20">
    <cfRule type="expression" dxfId="712" priority="11" stopIfTrue="1">
      <formula>$AP$20=1</formula>
    </cfRule>
  </conditionalFormatting>
  <conditionalFormatting sqref="A19:B19">
    <cfRule type="expression" dxfId="711" priority="10" stopIfTrue="1">
      <formula>$AP$19=1</formula>
    </cfRule>
  </conditionalFormatting>
  <conditionalFormatting sqref="A18:B18">
    <cfRule type="expression" dxfId="710" priority="9" stopIfTrue="1">
      <formula>$AP$18=1</formula>
    </cfRule>
  </conditionalFormatting>
  <conditionalFormatting sqref="A17:B17">
    <cfRule type="expression" dxfId="709" priority="8" stopIfTrue="1">
      <formula>$AP$17=1</formula>
    </cfRule>
  </conditionalFormatting>
  <conditionalFormatting sqref="A16:B16">
    <cfRule type="expression" dxfId="708" priority="7" stopIfTrue="1">
      <formula>$AP$16=1</formula>
    </cfRule>
  </conditionalFormatting>
  <conditionalFormatting sqref="A15:B15">
    <cfRule type="expression" dxfId="707" priority="6" stopIfTrue="1">
      <formula>$AP$15=1</formula>
    </cfRule>
  </conditionalFormatting>
  <conditionalFormatting sqref="A14:B14">
    <cfRule type="expression" dxfId="706" priority="5" stopIfTrue="1">
      <formula>$AP$14=1</formula>
    </cfRule>
  </conditionalFormatting>
  <conditionalFormatting sqref="A13:B13">
    <cfRule type="expression" dxfId="705" priority="4" stopIfTrue="1">
      <formula>$AP$13=1</formula>
    </cfRule>
  </conditionalFormatting>
  <conditionalFormatting sqref="A12:B12">
    <cfRule type="expression" dxfId="704" priority="3" stopIfTrue="1">
      <formula>$AP$12=1</formula>
    </cfRule>
  </conditionalFormatting>
  <conditionalFormatting sqref="A11:B11">
    <cfRule type="expression" dxfId="703" priority="2" stopIfTrue="1">
      <formula>$AP$11=1</formula>
    </cfRule>
  </conditionalFormatting>
  <conditionalFormatting sqref="A10:B10">
    <cfRule type="expression" dxfId="702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P75"/>
  <sheetViews>
    <sheetView topLeftCell="A7" zoomScale="70" zoomScaleNormal="70" workbookViewId="0">
      <selection sqref="A1:V1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80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264.80800000000005</v>
      </c>
      <c r="AM4" s="97">
        <f>SUM(AM5:AM46)</f>
        <v>4.1000000000000005</v>
      </c>
      <c r="AN4" s="97">
        <f>SUM(AN5:AN46)</f>
        <v>264.81100000000004</v>
      </c>
      <c r="AO4" s="97">
        <f>SUM(AO5:AO46)</f>
        <v>30.849999999999994</v>
      </c>
      <c r="AP4" s="90"/>
    </row>
    <row r="5" spans="1:42" ht="15.75" x14ac:dyDescent="0.25">
      <c r="A5" s="98">
        <f t="shared" ref="A5:A35" si="0">AF5</f>
        <v>0</v>
      </c>
      <c r="B5" s="99">
        <f t="shared" ref="B5:B35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0.90800000000000003</v>
      </c>
      <c r="AA5" s="104"/>
      <c r="AB5" s="105"/>
      <c r="AC5" s="106">
        <f>IF(AA5="",AD5+Z5,"")</f>
        <v>270.25800000000004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270.25800000000004</v>
      </c>
      <c r="AI5" s="90">
        <f>IF(AA5="",AC5,AI4)</f>
        <v>270.25800000000004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270.00000000000006</v>
      </c>
      <c r="C6" s="100" t="str">
        <f t="shared" ref="C6:C44" si="5">IF(AG6="","",AG6)</f>
        <v>PRI</v>
      </c>
      <c r="D6" s="196"/>
      <c r="X6" s="111"/>
      <c r="Y6" s="112"/>
      <c r="Z6" s="113"/>
      <c r="AA6" s="114">
        <v>0.25800000000000001</v>
      </c>
      <c r="AB6" s="115"/>
      <c r="AC6" s="116" t="str">
        <f>IF(AA6="",AD6+Z6,"")</f>
        <v/>
      </c>
      <c r="AD6" s="117">
        <f>IF(AA6="",AH5-AB6,AH5-AA6)</f>
        <v>270.00000000000006</v>
      </c>
      <c r="AE6" s="118">
        <v>0</v>
      </c>
      <c r="AF6" s="117">
        <f>AE6</f>
        <v>0</v>
      </c>
      <c r="AG6" s="119" t="s">
        <v>4</v>
      </c>
      <c r="AH6" s="90">
        <f t="shared" si="2"/>
        <v>270.25800000000004</v>
      </c>
      <c r="AI6" s="90">
        <f t="shared" ref="AI6:AI46" si="6">IF(AA6="",AC6,AI5)</f>
        <v>270.25800000000004</v>
      </c>
      <c r="AJ6" s="90" t="str">
        <f t="shared" si="3"/>
        <v>PRI</v>
      </c>
      <c r="AK6" s="97">
        <f t="shared" si="4"/>
        <v>270.00000000000006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2.2999999999999998</v>
      </c>
      <c r="B7" s="99">
        <f t="shared" si="1"/>
        <v>268.84000000000003</v>
      </c>
      <c r="C7" s="100" t="str">
        <f t="shared" si="5"/>
        <v/>
      </c>
      <c r="D7" s="196"/>
      <c r="X7" s="111"/>
      <c r="Y7" s="112"/>
      <c r="Z7" s="113"/>
      <c r="AA7" s="114">
        <v>1.4179999999999999</v>
      </c>
      <c r="AB7" s="115"/>
      <c r="AC7" s="116" t="str">
        <f t="shared" ref="AC7:AC35" si="11">IF(AA7="",AD7+Z7,"")</f>
        <v/>
      </c>
      <c r="AD7" s="117">
        <f>IF(AA7="",AH6-AB7,AH6-AA7)</f>
        <v>268.84000000000003</v>
      </c>
      <c r="AE7" s="118">
        <v>2.2999999999999998</v>
      </c>
      <c r="AF7" s="117">
        <f t="shared" ref="AF7:AF36" si="12">+AF6+AE7</f>
        <v>2.2999999999999998</v>
      </c>
      <c r="AG7" s="120"/>
      <c r="AH7" s="90">
        <f t="shared" si="2"/>
        <v>270.25800000000004</v>
      </c>
      <c r="AI7" s="90">
        <f t="shared" si="6"/>
        <v>270.25800000000004</v>
      </c>
      <c r="AJ7" s="90" t="str">
        <f t="shared" si="3"/>
        <v>PRI</v>
      </c>
      <c r="AK7" s="97">
        <f t="shared" si="4"/>
        <v>268.84000000000003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3</v>
      </c>
      <c r="B8" s="99">
        <f t="shared" si="1"/>
        <v>267.21200000000005</v>
      </c>
      <c r="C8" s="100" t="str">
        <f t="shared" si="5"/>
        <v/>
      </c>
      <c r="D8" s="196"/>
      <c r="X8" s="111"/>
      <c r="Y8" s="112"/>
      <c r="Z8" s="113"/>
      <c r="AA8" s="114">
        <v>3.0459999999999998</v>
      </c>
      <c r="AB8" s="115"/>
      <c r="AC8" s="116" t="str">
        <f t="shared" si="11"/>
        <v/>
      </c>
      <c r="AD8" s="117">
        <f>IF(AA8="",AH7-AB8,AH7-AA8)</f>
        <v>267.21200000000005</v>
      </c>
      <c r="AE8" s="118">
        <v>0.7</v>
      </c>
      <c r="AF8" s="117">
        <f t="shared" si="12"/>
        <v>3</v>
      </c>
      <c r="AG8" s="120"/>
      <c r="AH8" s="90">
        <f t="shared" si="2"/>
        <v>270.25800000000004</v>
      </c>
      <c r="AI8" s="90">
        <f t="shared" si="6"/>
        <v>270.25800000000004</v>
      </c>
      <c r="AJ8" s="90" t="str">
        <f t="shared" si="3"/>
        <v>PRI</v>
      </c>
      <c r="AK8" s="97">
        <f t="shared" si="4"/>
        <v>267.21200000000005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3.7</v>
      </c>
      <c r="B9" s="99">
        <f t="shared" si="1"/>
        <v>266.01300000000003</v>
      </c>
      <c r="C9" s="100" t="str">
        <f t="shared" si="5"/>
        <v/>
      </c>
      <c r="D9" s="196"/>
      <c r="X9" s="111"/>
      <c r="Y9" s="112"/>
      <c r="Z9" s="113"/>
      <c r="AA9" s="114">
        <v>4.2450000000000001</v>
      </c>
      <c r="AB9" s="115"/>
      <c r="AC9" s="116" t="str">
        <f t="shared" si="11"/>
        <v/>
      </c>
      <c r="AD9" s="117">
        <f>IF(AA9="",AH8-AB9,AH8-AA9)</f>
        <v>266.01300000000003</v>
      </c>
      <c r="AE9" s="118">
        <v>0.7</v>
      </c>
      <c r="AF9" s="117">
        <f t="shared" si="12"/>
        <v>3.7</v>
      </c>
      <c r="AG9" s="119"/>
      <c r="AH9" s="90">
        <f t="shared" si="2"/>
        <v>270.25800000000004</v>
      </c>
      <c r="AI9" s="90">
        <f t="shared" si="6"/>
        <v>270.25800000000004</v>
      </c>
      <c r="AJ9" s="90" t="str">
        <f t="shared" si="3"/>
        <v>PRI</v>
      </c>
      <c r="AK9" s="97">
        <f t="shared" si="4"/>
        <v>266.01300000000003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3.7</v>
      </c>
      <c r="B10" s="99">
        <f t="shared" si="1"/>
        <v>266.54000000000002</v>
      </c>
      <c r="C10" s="100" t="str">
        <f t="shared" si="5"/>
        <v/>
      </c>
      <c r="D10" s="196"/>
      <c r="E10" s="88">
        <f>(B12+B35)/2</f>
        <v>265.524</v>
      </c>
      <c r="X10" s="111" t="s">
        <v>50</v>
      </c>
      <c r="Y10" s="112"/>
      <c r="Z10" s="113">
        <v>1.093</v>
      </c>
      <c r="AA10" s="114"/>
      <c r="AB10" s="115">
        <v>3.718</v>
      </c>
      <c r="AC10" s="116">
        <f t="shared" ref="AC10" si="13">IF(AA10="",AD10+Z10,"")</f>
        <v>267.63300000000004</v>
      </c>
      <c r="AD10" s="117">
        <f t="shared" ref="AD10" si="14">IF(AJ9="S/BM",AD9,IF(AA10="",AH9-AB10,AH9-AA10))</f>
        <v>266.54000000000002</v>
      </c>
      <c r="AE10" s="118">
        <v>0</v>
      </c>
      <c r="AF10" s="117">
        <f t="shared" si="12"/>
        <v>3.7</v>
      </c>
      <c r="AG10" s="120"/>
      <c r="AH10" s="90">
        <f t="shared" si="2"/>
        <v>267.63300000000004</v>
      </c>
      <c r="AI10" s="90">
        <f t="shared" si="6"/>
        <v>267.63300000000004</v>
      </c>
      <c r="AJ10" s="90" t="str">
        <f t="shared" si="3"/>
        <v>PRI</v>
      </c>
      <c r="AK10" s="97">
        <f t="shared" si="4"/>
        <v>266.54000000000002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4.1000000000000005</v>
      </c>
      <c r="B11" s="99">
        <f t="shared" si="1"/>
        <v>264.80800000000005</v>
      </c>
      <c r="C11" s="100" t="str">
        <f t="shared" si="5"/>
        <v>NAOI</v>
      </c>
      <c r="D11" s="196"/>
      <c r="E11" s="121">
        <v>0.33</v>
      </c>
      <c r="X11" s="111"/>
      <c r="Y11" s="112"/>
      <c r="Z11" s="113"/>
      <c r="AA11" s="114">
        <v>2.8250000000000002</v>
      </c>
      <c r="AB11" s="115"/>
      <c r="AC11" s="116" t="str">
        <f t="shared" si="11"/>
        <v/>
      </c>
      <c r="AD11" s="117">
        <f t="shared" ref="AD11:AD36" si="15">IF(AJ10="S/BM",AD10,IF(AA11="",AH10-AB11,AH10-AA11))</f>
        <v>264.80800000000005</v>
      </c>
      <c r="AE11" s="118">
        <v>0.4</v>
      </c>
      <c r="AF11" s="117">
        <f t="shared" si="12"/>
        <v>4.1000000000000005</v>
      </c>
      <c r="AG11" s="119" t="s">
        <v>9</v>
      </c>
      <c r="AH11" s="90">
        <f t="shared" si="2"/>
        <v>264.80800000000005</v>
      </c>
      <c r="AI11" s="90">
        <f t="shared" si="6"/>
        <v>267.63300000000004</v>
      </c>
      <c r="AJ11" s="90" t="str">
        <f t="shared" si="3"/>
        <v>NAOI</v>
      </c>
      <c r="AK11" s="97">
        <f t="shared" si="4"/>
        <v>264.80800000000005</v>
      </c>
      <c r="AL11" s="90">
        <f t="shared" si="7"/>
        <v>264.80800000000005</v>
      </c>
      <c r="AM11" s="97">
        <f t="shared" si="8"/>
        <v>4.1000000000000005</v>
      </c>
      <c r="AN11" s="90" t="str">
        <f t="shared" si="9"/>
        <v/>
      </c>
      <c r="AO11" s="90" t="str">
        <f t="shared" si="10"/>
        <v/>
      </c>
      <c r="AP11" s="90">
        <f t="shared" ref="AP11:AP46" si="16">IF(AJ10="S/BM",1,0)</f>
        <v>0</v>
      </c>
    </row>
    <row r="12" spans="1:42" s="121" customFormat="1" ht="15.75" x14ac:dyDescent="0.25">
      <c r="A12" s="98">
        <f t="shared" si="0"/>
        <v>4.1000000000000005</v>
      </c>
      <c r="B12" s="99">
        <f t="shared" si="1"/>
        <v>261.74800000000005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3.06</v>
      </c>
      <c r="AB12" s="115"/>
      <c r="AC12" s="116" t="str">
        <f>IF(AA12="",AD12+Z12,"")</f>
        <v/>
      </c>
      <c r="AD12" s="117">
        <f t="shared" si="15"/>
        <v>261.74800000000005</v>
      </c>
      <c r="AE12" s="118">
        <v>0</v>
      </c>
      <c r="AF12" s="117">
        <f t="shared" si="12"/>
        <v>4.1000000000000005</v>
      </c>
      <c r="AG12" s="119"/>
      <c r="AH12" s="90">
        <f t="shared" si="2"/>
        <v>264.80800000000005</v>
      </c>
      <c r="AI12" s="90">
        <f t="shared" si="6"/>
        <v>267.63300000000004</v>
      </c>
      <c r="AJ12" s="90" t="str">
        <f t="shared" si="3"/>
        <v>NAOI</v>
      </c>
      <c r="AK12" s="97">
        <f t="shared" si="4"/>
        <v>264.80800000000005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6"/>
        <v>0</v>
      </c>
    </row>
    <row r="13" spans="1:42" s="121" customFormat="1" ht="15.75" x14ac:dyDescent="0.25">
      <c r="A13" s="98">
        <f t="shared" si="0"/>
        <v>7.1000000000000005</v>
      </c>
      <c r="B13" s="99">
        <f t="shared" si="1"/>
        <v>261.71800000000007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3.09</v>
      </c>
      <c r="AB13" s="115"/>
      <c r="AC13" s="116" t="str">
        <f t="shared" si="11"/>
        <v/>
      </c>
      <c r="AD13" s="117">
        <f>IF(AJ12="S/BM",AD12,IF(AA13="",AH12-AB13,AH12-AA13))</f>
        <v>261.71800000000007</v>
      </c>
      <c r="AE13" s="118">
        <v>3</v>
      </c>
      <c r="AF13" s="117">
        <f t="shared" si="12"/>
        <v>7.1000000000000005</v>
      </c>
      <c r="AG13" s="120"/>
      <c r="AH13" s="90">
        <f t="shared" si="2"/>
        <v>264.80800000000005</v>
      </c>
      <c r="AI13" s="90">
        <f t="shared" si="6"/>
        <v>267.63300000000004</v>
      </c>
      <c r="AJ13" s="90" t="str">
        <f t="shared" si="3"/>
        <v>NAOI</v>
      </c>
      <c r="AK13" s="97">
        <f t="shared" si="4"/>
        <v>264.80800000000005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6"/>
        <v>0</v>
      </c>
    </row>
    <row r="14" spans="1:42" s="121" customFormat="1" ht="15.75" x14ac:dyDescent="0.25">
      <c r="A14" s="98">
        <f t="shared" si="0"/>
        <v>8.5</v>
      </c>
      <c r="B14" s="99">
        <f t="shared" si="1"/>
        <v>261.79800000000006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3.01</v>
      </c>
      <c r="AB14" s="115"/>
      <c r="AC14" s="116" t="str">
        <f t="shared" si="11"/>
        <v/>
      </c>
      <c r="AD14" s="117">
        <f t="shared" si="15"/>
        <v>261.79800000000006</v>
      </c>
      <c r="AE14" s="118">
        <v>1.4</v>
      </c>
      <c r="AF14" s="117">
        <f t="shared" si="12"/>
        <v>8.5</v>
      </c>
      <c r="AG14" s="120"/>
      <c r="AH14" s="90">
        <f t="shared" si="2"/>
        <v>264.80800000000005</v>
      </c>
      <c r="AI14" s="90">
        <f t="shared" si="6"/>
        <v>267.63300000000004</v>
      </c>
      <c r="AJ14" s="90" t="str">
        <f t="shared" si="3"/>
        <v>NAOI</v>
      </c>
      <c r="AK14" s="97">
        <f>IF(AND(AJ14="NAOI",AJ13="NAOI"),AK13,AD14)</f>
        <v>264.80800000000005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6"/>
        <v>0</v>
      </c>
    </row>
    <row r="15" spans="1:42" s="121" customFormat="1" ht="15.75" x14ac:dyDescent="0.25">
      <c r="A15" s="98">
        <f t="shared" si="0"/>
        <v>10.039999999999999</v>
      </c>
      <c r="B15" s="99">
        <f t="shared" si="1"/>
        <v>261.88800000000003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2.92</v>
      </c>
      <c r="AB15" s="115"/>
      <c r="AC15" s="116" t="str">
        <f t="shared" si="11"/>
        <v/>
      </c>
      <c r="AD15" s="117">
        <f t="shared" si="15"/>
        <v>261.88800000000003</v>
      </c>
      <c r="AE15" s="118">
        <v>1.54</v>
      </c>
      <c r="AF15" s="117">
        <f t="shared" si="12"/>
        <v>10.039999999999999</v>
      </c>
      <c r="AG15" s="119"/>
      <c r="AH15" s="90">
        <f t="shared" si="2"/>
        <v>264.80800000000005</v>
      </c>
      <c r="AI15" s="90">
        <f t="shared" si="6"/>
        <v>267.63300000000004</v>
      </c>
      <c r="AJ15" s="90" t="str">
        <f t="shared" si="3"/>
        <v>NAOI</v>
      </c>
      <c r="AK15" s="97">
        <f>IF(AND(AJ15="NAOI",AJ14="NAOI"),AK14,AD15)</f>
        <v>264.80800000000005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6"/>
        <v>0</v>
      </c>
    </row>
    <row r="16" spans="1:42" s="121" customFormat="1" ht="15.75" x14ac:dyDescent="0.25">
      <c r="A16" s="98">
        <f t="shared" si="0"/>
        <v>11.2</v>
      </c>
      <c r="B16" s="99">
        <f t="shared" si="1"/>
        <v>261.98800000000006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2.82</v>
      </c>
      <c r="AB16" s="115"/>
      <c r="AC16" s="116" t="str">
        <f t="shared" si="11"/>
        <v/>
      </c>
      <c r="AD16" s="117">
        <f>IF(AJ15="S/BM",AD15,IF(AA16="",AH15-AB16,AH15-AA16))</f>
        <v>261.98800000000006</v>
      </c>
      <c r="AE16" s="118">
        <v>1.1599999999999999</v>
      </c>
      <c r="AF16" s="117">
        <f t="shared" si="12"/>
        <v>11.2</v>
      </c>
      <c r="AG16" s="122"/>
      <c r="AH16" s="90">
        <f t="shared" si="2"/>
        <v>264.80800000000005</v>
      </c>
      <c r="AI16" s="90">
        <f t="shared" si="6"/>
        <v>267.63300000000004</v>
      </c>
      <c r="AJ16" s="90" t="str">
        <f t="shared" si="3"/>
        <v>NAOI</v>
      </c>
      <c r="AK16" s="97">
        <f>IF(AND(AJ16="NAOI",AJ15="NAOI"),AK15,AD16)</f>
        <v>264.80800000000005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6"/>
        <v>0</v>
      </c>
    </row>
    <row r="17" spans="1:42" s="121" customFormat="1" ht="15.75" x14ac:dyDescent="0.25">
      <c r="A17" s="98">
        <f t="shared" si="0"/>
        <v>12.549999999999999</v>
      </c>
      <c r="B17" s="99">
        <f t="shared" si="1"/>
        <v>262.18800000000005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2.62</v>
      </c>
      <c r="AB17" s="115"/>
      <c r="AC17" s="116" t="str">
        <f t="shared" si="11"/>
        <v/>
      </c>
      <c r="AD17" s="117">
        <f t="shared" si="15"/>
        <v>262.18800000000005</v>
      </c>
      <c r="AE17" s="118">
        <v>1.35</v>
      </c>
      <c r="AF17" s="117">
        <f t="shared" si="12"/>
        <v>12.549999999999999</v>
      </c>
      <c r="AG17" s="122"/>
      <c r="AH17" s="90">
        <f t="shared" si="2"/>
        <v>264.80800000000005</v>
      </c>
      <c r="AI17" s="90">
        <f t="shared" si="6"/>
        <v>267.63300000000004</v>
      </c>
      <c r="AJ17" s="90" t="str">
        <f t="shared" si="3"/>
        <v>NAOI</v>
      </c>
      <c r="AK17" s="97">
        <f t="shared" ref="AK17:AK46" si="17">IF(AND(AJ17="NAOI",AJ16="NAOI"),AK16,AD17)</f>
        <v>264.80800000000005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6"/>
        <v>0</v>
      </c>
    </row>
    <row r="18" spans="1:42" s="121" customFormat="1" ht="15.75" x14ac:dyDescent="0.25">
      <c r="A18" s="98">
        <f t="shared" si="0"/>
        <v>14.149999999999999</v>
      </c>
      <c r="B18" s="99">
        <f t="shared" si="1"/>
        <v>262.28800000000007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2.52</v>
      </c>
      <c r="AB18" s="115"/>
      <c r="AC18" s="116" t="str">
        <f t="shared" si="11"/>
        <v/>
      </c>
      <c r="AD18" s="117">
        <f t="shared" si="15"/>
        <v>262.28800000000007</v>
      </c>
      <c r="AE18" s="118">
        <v>1.6</v>
      </c>
      <c r="AF18" s="117">
        <f t="shared" si="12"/>
        <v>14.149999999999999</v>
      </c>
      <c r="AG18" s="122"/>
      <c r="AH18" s="90">
        <f t="shared" si="2"/>
        <v>264.80800000000005</v>
      </c>
      <c r="AI18" s="90">
        <f t="shared" si="6"/>
        <v>267.63300000000004</v>
      </c>
      <c r="AJ18" s="90" t="str">
        <f t="shared" si="3"/>
        <v>NAOI</v>
      </c>
      <c r="AK18" s="97">
        <f t="shared" si="17"/>
        <v>264.80800000000005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6"/>
        <v>0</v>
      </c>
    </row>
    <row r="19" spans="1:42" s="121" customFormat="1" ht="15.75" x14ac:dyDescent="0.25">
      <c r="A19" s="98">
        <f t="shared" si="0"/>
        <v>15.559999999999999</v>
      </c>
      <c r="B19" s="99">
        <f t="shared" si="1"/>
        <v>262.33800000000002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2.4700000000000002</v>
      </c>
      <c r="AB19" s="115"/>
      <c r="AC19" s="116" t="str">
        <f t="shared" si="11"/>
        <v/>
      </c>
      <c r="AD19" s="117">
        <f t="shared" si="15"/>
        <v>262.33800000000002</v>
      </c>
      <c r="AE19" s="118">
        <v>1.41</v>
      </c>
      <c r="AF19" s="117">
        <f t="shared" si="12"/>
        <v>15.559999999999999</v>
      </c>
      <c r="AG19" s="122"/>
      <c r="AH19" s="90">
        <f t="shared" si="2"/>
        <v>264.80800000000005</v>
      </c>
      <c r="AI19" s="90">
        <f t="shared" si="6"/>
        <v>267.63300000000004</v>
      </c>
      <c r="AJ19" s="90" t="str">
        <f t="shared" si="3"/>
        <v>NAOI</v>
      </c>
      <c r="AK19" s="97">
        <f t="shared" si="17"/>
        <v>264.80800000000005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6"/>
        <v>0</v>
      </c>
    </row>
    <row r="20" spans="1:42" s="121" customFormat="1" ht="15.75" x14ac:dyDescent="0.25">
      <c r="A20" s="98">
        <f t="shared" si="0"/>
        <v>16.779999999999998</v>
      </c>
      <c r="B20" s="99">
        <f t="shared" si="1"/>
        <v>262.54800000000006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2.2599999999999998</v>
      </c>
      <c r="AB20" s="115"/>
      <c r="AC20" s="116" t="str">
        <f t="shared" si="11"/>
        <v/>
      </c>
      <c r="AD20" s="117">
        <f t="shared" si="15"/>
        <v>262.54800000000006</v>
      </c>
      <c r="AE20" s="118">
        <v>1.22</v>
      </c>
      <c r="AF20" s="117">
        <f t="shared" si="12"/>
        <v>16.779999999999998</v>
      </c>
      <c r="AG20" s="122"/>
      <c r="AH20" s="90">
        <f t="shared" si="2"/>
        <v>264.80800000000005</v>
      </c>
      <c r="AI20" s="90">
        <f t="shared" si="6"/>
        <v>267.63300000000004</v>
      </c>
      <c r="AJ20" s="90" t="str">
        <f t="shared" si="3"/>
        <v>NAOI</v>
      </c>
      <c r="AK20" s="97">
        <f t="shared" si="17"/>
        <v>264.80800000000005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6"/>
        <v>0</v>
      </c>
    </row>
    <row r="21" spans="1:42" s="121" customFormat="1" ht="15.75" x14ac:dyDescent="0.25">
      <c r="A21" s="98">
        <f t="shared" si="0"/>
        <v>18.239999999999998</v>
      </c>
      <c r="B21" s="99">
        <f t="shared" si="1"/>
        <v>262.78800000000007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2.02</v>
      </c>
      <c r="AB21" s="115"/>
      <c r="AC21" s="116" t="str">
        <f t="shared" si="11"/>
        <v/>
      </c>
      <c r="AD21" s="117">
        <f t="shared" si="15"/>
        <v>262.78800000000007</v>
      </c>
      <c r="AE21" s="118">
        <v>1.46</v>
      </c>
      <c r="AF21" s="117">
        <f t="shared" si="12"/>
        <v>18.239999999999998</v>
      </c>
      <c r="AG21" s="122"/>
      <c r="AH21" s="90">
        <f t="shared" si="2"/>
        <v>264.80800000000005</v>
      </c>
      <c r="AI21" s="90">
        <f t="shared" si="6"/>
        <v>267.63300000000004</v>
      </c>
      <c r="AJ21" s="90" t="str">
        <f t="shared" si="3"/>
        <v>NAOI</v>
      </c>
      <c r="AK21" s="97">
        <f t="shared" si="17"/>
        <v>264.80800000000005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6"/>
        <v>0</v>
      </c>
    </row>
    <row r="22" spans="1:42" s="121" customFormat="1" ht="15.75" x14ac:dyDescent="0.25">
      <c r="A22" s="98">
        <f t="shared" si="0"/>
        <v>19.659999999999997</v>
      </c>
      <c r="B22" s="99">
        <f t="shared" si="1"/>
        <v>262.83800000000002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1.97</v>
      </c>
      <c r="AB22" s="115"/>
      <c r="AC22" s="116" t="str">
        <f t="shared" si="11"/>
        <v/>
      </c>
      <c r="AD22" s="117">
        <f t="shared" si="15"/>
        <v>262.83800000000002</v>
      </c>
      <c r="AE22" s="118">
        <v>1.42</v>
      </c>
      <c r="AF22" s="117">
        <f t="shared" si="12"/>
        <v>19.659999999999997</v>
      </c>
      <c r="AG22" s="122"/>
      <c r="AH22" s="90">
        <f t="shared" si="2"/>
        <v>264.80800000000005</v>
      </c>
      <c r="AI22" s="90">
        <f t="shared" si="6"/>
        <v>267.63300000000004</v>
      </c>
      <c r="AJ22" s="90" t="str">
        <f t="shared" si="3"/>
        <v>NAOI</v>
      </c>
      <c r="AK22" s="97">
        <f t="shared" si="17"/>
        <v>264.80800000000005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6"/>
        <v>0</v>
      </c>
    </row>
    <row r="23" spans="1:42" s="121" customFormat="1" ht="15.75" x14ac:dyDescent="0.25">
      <c r="A23" s="98">
        <f t="shared" si="0"/>
        <v>21.039999999999996</v>
      </c>
      <c r="B23" s="99">
        <f t="shared" si="1"/>
        <v>262.96800000000007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1.84</v>
      </c>
      <c r="AB23" s="115"/>
      <c r="AC23" s="116" t="str">
        <f t="shared" si="11"/>
        <v/>
      </c>
      <c r="AD23" s="117">
        <f t="shared" si="15"/>
        <v>262.96800000000007</v>
      </c>
      <c r="AE23" s="118">
        <v>1.38</v>
      </c>
      <c r="AF23" s="117">
        <f t="shared" si="12"/>
        <v>21.039999999999996</v>
      </c>
      <c r="AG23" s="122"/>
      <c r="AH23" s="90">
        <f t="shared" si="2"/>
        <v>264.80800000000005</v>
      </c>
      <c r="AI23" s="90">
        <f t="shared" si="6"/>
        <v>267.63300000000004</v>
      </c>
      <c r="AJ23" s="90" t="str">
        <f t="shared" si="3"/>
        <v>NAOI</v>
      </c>
      <c r="AK23" s="97">
        <f t="shared" si="17"/>
        <v>264.80800000000005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6"/>
        <v>0</v>
      </c>
    </row>
    <row r="24" spans="1:42" s="121" customFormat="1" ht="15.75" x14ac:dyDescent="0.25">
      <c r="A24" s="98">
        <f t="shared" si="0"/>
        <v>22.679999999999996</v>
      </c>
      <c r="B24" s="99">
        <f t="shared" si="1"/>
        <v>263.12800000000004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1.68</v>
      </c>
      <c r="AB24" s="115"/>
      <c r="AC24" s="116" t="str">
        <f t="shared" si="11"/>
        <v/>
      </c>
      <c r="AD24" s="117">
        <f t="shared" si="15"/>
        <v>263.12800000000004</v>
      </c>
      <c r="AE24" s="118">
        <v>1.64</v>
      </c>
      <c r="AF24" s="117">
        <f t="shared" si="12"/>
        <v>22.679999999999996</v>
      </c>
      <c r="AG24" s="122"/>
      <c r="AH24" s="90">
        <f t="shared" si="2"/>
        <v>264.80800000000005</v>
      </c>
      <c r="AI24" s="90">
        <f t="shared" si="6"/>
        <v>267.63300000000004</v>
      </c>
      <c r="AJ24" s="90" t="str">
        <f t="shared" si="3"/>
        <v>NAOI</v>
      </c>
      <c r="AK24" s="97">
        <f t="shared" si="17"/>
        <v>264.80800000000005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6"/>
        <v>0</v>
      </c>
    </row>
    <row r="25" spans="1:42" s="121" customFormat="1" ht="15.75" x14ac:dyDescent="0.25">
      <c r="A25" s="98">
        <f t="shared" si="0"/>
        <v>23.899999999999995</v>
      </c>
      <c r="B25" s="99">
        <f t="shared" si="1"/>
        <v>263.30800000000005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1.5</v>
      </c>
      <c r="AB25" s="115"/>
      <c r="AC25" s="116" t="str">
        <f t="shared" si="11"/>
        <v/>
      </c>
      <c r="AD25" s="117">
        <f t="shared" si="15"/>
        <v>263.30800000000005</v>
      </c>
      <c r="AE25" s="118">
        <v>1.22</v>
      </c>
      <c r="AF25" s="117">
        <f t="shared" si="12"/>
        <v>23.899999999999995</v>
      </c>
      <c r="AG25" s="122"/>
      <c r="AH25" s="90">
        <f t="shared" si="2"/>
        <v>264.80800000000005</v>
      </c>
      <c r="AI25" s="90">
        <f t="shared" si="6"/>
        <v>267.63300000000004</v>
      </c>
      <c r="AJ25" s="90" t="str">
        <f t="shared" si="3"/>
        <v>NAOI</v>
      </c>
      <c r="AK25" s="97">
        <f t="shared" si="17"/>
        <v>264.80800000000005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6"/>
        <v>0</v>
      </c>
    </row>
    <row r="26" spans="1:42" s="121" customFormat="1" ht="15.75" x14ac:dyDescent="0.25">
      <c r="A26" s="98">
        <f t="shared" si="0"/>
        <v>25.349999999999994</v>
      </c>
      <c r="B26" s="99">
        <f t="shared" si="1"/>
        <v>263.43800000000005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1.37</v>
      </c>
      <c r="AB26" s="115"/>
      <c r="AC26" s="116" t="str">
        <f t="shared" si="11"/>
        <v/>
      </c>
      <c r="AD26" s="117">
        <f t="shared" si="15"/>
        <v>263.43800000000005</v>
      </c>
      <c r="AE26" s="118">
        <v>1.45</v>
      </c>
      <c r="AF26" s="117">
        <f t="shared" si="12"/>
        <v>25.349999999999994</v>
      </c>
      <c r="AG26" s="122"/>
      <c r="AH26" s="90">
        <f t="shared" si="2"/>
        <v>264.80800000000005</v>
      </c>
      <c r="AI26" s="90">
        <f t="shared" si="6"/>
        <v>267.63300000000004</v>
      </c>
      <c r="AJ26" s="90" t="str">
        <f t="shared" si="3"/>
        <v>NAOI</v>
      </c>
      <c r="AK26" s="97">
        <f t="shared" si="17"/>
        <v>264.80800000000005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6"/>
        <v>0</v>
      </c>
    </row>
    <row r="27" spans="1:42" ht="15.75" x14ac:dyDescent="0.25">
      <c r="A27" s="98">
        <f t="shared" si="0"/>
        <v>26.559999999999995</v>
      </c>
      <c r="B27" s="99">
        <f t="shared" si="1"/>
        <v>263.57800000000003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1.23</v>
      </c>
      <c r="AB27" s="115"/>
      <c r="AC27" s="116" t="str">
        <f t="shared" si="11"/>
        <v/>
      </c>
      <c r="AD27" s="117">
        <f t="shared" si="15"/>
        <v>263.57800000000003</v>
      </c>
      <c r="AE27" s="118">
        <v>1.21</v>
      </c>
      <c r="AF27" s="117">
        <f t="shared" si="12"/>
        <v>26.559999999999995</v>
      </c>
      <c r="AG27" s="122"/>
      <c r="AH27" s="90">
        <f t="shared" si="2"/>
        <v>264.80800000000005</v>
      </c>
      <c r="AI27" s="90">
        <f t="shared" si="6"/>
        <v>267.63300000000004</v>
      </c>
      <c r="AJ27" s="90" t="str">
        <f t="shared" si="3"/>
        <v>NAOI</v>
      </c>
      <c r="AK27" s="97">
        <f t="shared" si="17"/>
        <v>264.80800000000005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6"/>
        <v>0</v>
      </c>
    </row>
    <row r="28" spans="1:42" ht="15.75" x14ac:dyDescent="0.25">
      <c r="A28" s="98">
        <f t="shared" si="0"/>
        <v>27.959999999999994</v>
      </c>
      <c r="B28" s="99">
        <f t="shared" si="1"/>
        <v>263.63800000000003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1.17</v>
      </c>
      <c r="AB28" s="115"/>
      <c r="AC28" s="116" t="str">
        <f t="shared" si="11"/>
        <v/>
      </c>
      <c r="AD28" s="117">
        <f t="shared" si="15"/>
        <v>263.63800000000003</v>
      </c>
      <c r="AE28" s="118">
        <v>1.4</v>
      </c>
      <c r="AF28" s="117">
        <f t="shared" si="12"/>
        <v>27.959999999999994</v>
      </c>
      <c r="AG28" s="122"/>
      <c r="AH28" s="90">
        <f t="shared" si="2"/>
        <v>264.80800000000005</v>
      </c>
      <c r="AI28" s="90">
        <f t="shared" si="6"/>
        <v>267.63300000000004</v>
      </c>
      <c r="AJ28" s="90" t="str">
        <f t="shared" si="3"/>
        <v>NAOI</v>
      </c>
      <c r="AK28" s="97">
        <f t="shared" si="17"/>
        <v>264.80800000000005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6"/>
        <v>0</v>
      </c>
    </row>
    <row r="29" spans="1:42" ht="15.75" x14ac:dyDescent="0.25">
      <c r="A29" s="98">
        <f t="shared" si="0"/>
        <v>29.339999999999993</v>
      </c>
      <c r="B29" s="99">
        <f t="shared" si="1"/>
        <v>263.75800000000004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1.05</v>
      </c>
      <c r="AB29" s="115"/>
      <c r="AC29" s="116" t="str">
        <f t="shared" si="11"/>
        <v/>
      </c>
      <c r="AD29" s="117">
        <f t="shared" si="15"/>
        <v>263.75800000000004</v>
      </c>
      <c r="AE29" s="118">
        <v>1.38</v>
      </c>
      <c r="AF29" s="117">
        <f t="shared" si="12"/>
        <v>29.339999999999993</v>
      </c>
      <c r="AG29" s="122"/>
      <c r="AH29" s="90">
        <f t="shared" si="2"/>
        <v>264.80800000000005</v>
      </c>
      <c r="AI29" s="90">
        <f t="shared" si="6"/>
        <v>267.63300000000004</v>
      </c>
      <c r="AJ29" s="90" t="str">
        <f t="shared" si="3"/>
        <v>NAOI</v>
      </c>
      <c r="AK29" s="97">
        <f t="shared" si="17"/>
        <v>264.80800000000005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6"/>
        <v>0</v>
      </c>
    </row>
    <row r="30" spans="1:42" ht="15.75" x14ac:dyDescent="0.25">
      <c r="A30" s="98">
        <f t="shared" si="0"/>
        <v>30.849999999999994</v>
      </c>
      <c r="B30" s="99">
        <f t="shared" si="1"/>
        <v>263.98800000000006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0.82</v>
      </c>
      <c r="AB30" s="115"/>
      <c r="AC30" s="116" t="str">
        <f t="shared" si="11"/>
        <v/>
      </c>
      <c r="AD30" s="117">
        <f t="shared" si="15"/>
        <v>263.98800000000006</v>
      </c>
      <c r="AE30" s="118">
        <v>1.51</v>
      </c>
      <c r="AF30" s="117">
        <f t="shared" si="12"/>
        <v>30.849999999999994</v>
      </c>
      <c r="AG30" s="119"/>
      <c r="AH30" s="90">
        <f t="shared" si="2"/>
        <v>267.63300000000004</v>
      </c>
      <c r="AI30" s="90">
        <f t="shared" si="6"/>
        <v>267.63300000000004</v>
      </c>
      <c r="AJ30" s="90" t="str">
        <f t="shared" si="3"/>
        <v>NAOI</v>
      </c>
      <c r="AK30" s="97">
        <f t="shared" si="17"/>
        <v>264.80800000000005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6"/>
        <v>0</v>
      </c>
    </row>
    <row r="31" spans="1:42" ht="15.75" x14ac:dyDescent="0.25">
      <c r="A31" s="98">
        <f t="shared" si="0"/>
        <v>30.849999999999994</v>
      </c>
      <c r="B31" s="99">
        <f t="shared" si="1"/>
        <v>264.81100000000004</v>
      </c>
      <c r="C31" s="100" t="str">
        <f t="shared" si="5"/>
        <v>NAOD</v>
      </c>
      <c r="D31" s="196"/>
      <c r="E31" s="121">
        <v>0.55000000000000004</v>
      </c>
      <c r="X31" s="111"/>
      <c r="Y31" s="112"/>
      <c r="Z31" s="113"/>
      <c r="AA31" s="114">
        <v>2.8220000000000001</v>
      </c>
      <c r="AB31" s="115"/>
      <c r="AC31" s="116" t="str">
        <f t="shared" si="11"/>
        <v/>
      </c>
      <c r="AD31" s="117">
        <f t="shared" si="15"/>
        <v>264.81100000000004</v>
      </c>
      <c r="AE31" s="118">
        <v>0</v>
      </c>
      <c r="AF31" s="117">
        <f t="shared" si="12"/>
        <v>30.849999999999994</v>
      </c>
      <c r="AG31" s="119" t="s">
        <v>10</v>
      </c>
      <c r="AH31" s="90">
        <f t="shared" si="2"/>
        <v>267.63300000000004</v>
      </c>
      <c r="AI31" s="90">
        <f t="shared" si="6"/>
        <v>267.63300000000004</v>
      </c>
      <c r="AJ31" s="90" t="str">
        <f t="shared" si="3"/>
        <v>NAOD</v>
      </c>
      <c r="AK31" s="97">
        <f t="shared" si="17"/>
        <v>264.81100000000004</v>
      </c>
      <c r="AL31" s="90" t="str">
        <f t="shared" si="7"/>
        <v/>
      </c>
      <c r="AM31" s="97" t="str">
        <f t="shared" si="8"/>
        <v/>
      </c>
      <c r="AN31" s="90">
        <f t="shared" si="9"/>
        <v>264.81100000000004</v>
      </c>
      <c r="AO31" s="90">
        <f t="shared" si="10"/>
        <v>30.849999999999994</v>
      </c>
      <c r="AP31" s="90">
        <f t="shared" si="16"/>
        <v>0</v>
      </c>
    </row>
    <row r="32" spans="1:42" ht="15.75" x14ac:dyDescent="0.25">
      <c r="A32" s="98">
        <f t="shared" si="0"/>
        <v>30.849999999999994</v>
      </c>
      <c r="B32" s="99">
        <f t="shared" si="1"/>
        <v>265.16000000000003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2.4729999999999999</v>
      </c>
      <c r="AB32" s="115"/>
      <c r="AC32" s="116" t="str">
        <f t="shared" si="11"/>
        <v/>
      </c>
      <c r="AD32" s="117">
        <f t="shared" si="15"/>
        <v>265.16000000000003</v>
      </c>
      <c r="AE32" s="118">
        <v>0</v>
      </c>
      <c r="AF32" s="117">
        <f t="shared" si="12"/>
        <v>30.849999999999994</v>
      </c>
      <c r="AG32" s="122"/>
      <c r="AH32" s="90">
        <f t="shared" si="2"/>
        <v>267.63300000000004</v>
      </c>
      <c r="AI32" s="90">
        <f t="shared" si="6"/>
        <v>267.63300000000004</v>
      </c>
      <c r="AJ32" s="90" t="str">
        <f t="shared" si="3"/>
        <v>NAOD</v>
      </c>
      <c r="AK32" s="97">
        <f t="shared" si="17"/>
        <v>265.16000000000003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6"/>
        <v>0</v>
      </c>
    </row>
    <row r="33" spans="1:42" ht="15.75" x14ac:dyDescent="0.25">
      <c r="A33" s="98">
        <f t="shared" si="0"/>
        <v>31.749999999999993</v>
      </c>
      <c r="B33" s="99">
        <f t="shared" si="1"/>
        <v>264.88600000000002</v>
      </c>
      <c r="C33" s="100" t="str">
        <f t="shared" si="5"/>
        <v/>
      </c>
      <c r="D33" s="196"/>
      <c r="X33" s="111"/>
      <c r="Y33" s="112"/>
      <c r="Z33" s="113"/>
      <c r="AA33" s="114">
        <v>2.464</v>
      </c>
      <c r="AB33" s="115"/>
      <c r="AC33" s="116" t="str">
        <f t="shared" si="11"/>
        <v/>
      </c>
      <c r="AD33" s="117">
        <v>264.88600000000002</v>
      </c>
      <c r="AE33" s="118">
        <v>0.9</v>
      </c>
      <c r="AF33" s="117">
        <f t="shared" si="12"/>
        <v>31.749999999999993</v>
      </c>
      <c r="AG33" s="119"/>
      <c r="AH33" s="90">
        <f t="shared" si="2"/>
        <v>267.63300000000004</v>
      </c>
      <c r="AI33" s="90">
        <f t="shared" si="6"/>
        <v>267.63300000000004</v>
      </c>
      <c r="AJ33" s="90" t="str">
        <f t="shared" si="3"/>
        <v>NAOD</v>
      </c>
      <c r="AK33" s="97">
        <f t="shared" si="17"/>
        <v>264.88600000000002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6"/>
        <v>0</v>
      </c>
    </row>
    <row r="34" spans="1:42" ht="15.75" x14ac:dyDescent="0.25">
      <c r="A34" s="98">
        <f t="shared" si="0"/>
        <v>31.749999999999993</v>
      </c>
      <c r="B34" s="99">
        <f t="shared" si="1"/>
        <v>266.86400000000003</v>
      </c>
      <c r="C34" s="100" t="str">
        <f t="shared" si="5"/>
        <v/>
      </c>
      <c r="D34" s="196"/>
      <c r="X34" s="111" t="s">
        <v>51</v>
      </c>
      <c r="Y34" s="112"/>
      <c r="Z34" s="113">
        <v>4.1680000000000001</v>
      </c>
      <c r="AA34" s="114"/>
      <c r="AB34" s="115">
        <v>0.76900000000000002</v>
      </c>
      <c r="AC34" s="116">
        <f t="shared" si="11"/>
        <v>271.03200000000004</v>
      </c>
      <c r="AD34" s="117">
        <f t="shared" si="15"/>
        <v>266.86400000000003</v>
      </c>
      <c r="AE34" s="118">
        <v>0</v>
      </c>
      <c r="AF34" s="117">
        <f t="shared" si="12"/>
        <v>31.749999999999993</v>
      </c>
      <c r="AG34" s="119"/>
      <c r="AH34" s="90">
        <f t="shared" si="2"/>
        <v>271.03200000000004</v>
      </c>
      <c r="AI34" s="90">
        <f t="shared" si="6"/>
        <v>271.03200000000004</v>
      </c>
      <c r="AJ34" s="90" t="str">
        <f t="shared" si="3"/>
        <v>NAOD</v>
      </c>
      <c r="AK34" s="97">
        <f t="shared" si="17"/>
        <v>266.86400000000003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6"/>
        <v>0</v>
      </c>
    </row>
    <row r="35" spans="1:42" ht="15.75" x14ac:dyDescent="0.25">
      <c r="A35" s="98">
        <f t="shared" si="0"/>
        <v>31.749999999999993</v>
      </c>
      <c r="B35" s="99">
        <f t="shared" si="1"/>
        <v>269.3</v>
      </c>
      <c r="C35" s="100" t="str">
        <f t="shared" si="5"/>
        <v>PRD</v>
      </c>
      <c r="D35" s="196"/>
      <c r="X35" s="111"/>
      <c r="Y35" s="112"/>
      <c r="Z35" s="113"/>
      <c r="AA35" s="114">
        <v>1.732</v>
      </c>
      <c r="AB35" s="115"/>
      <c r="AC35" s="116" t="str">
        <f t="shared" si="11"/>
        <v/>
      </c>
      <c r="AD35" s="117">
        <f t="shared" si="15"/>
        <v>269.3</v>
      </c>
      <c r="AE35" s="118">
        <v>0</v>
      </c>
      <c r="AF35" s="117">
        <f t="shared" si="12"/>
        <v>31.749999999999993</v>
      </c>
      <c r="AG35" s="119" t="s">
        <v>5</v>
      </c>
      <c r="AH35" s="90">
        <f t="shared" si="2"/>
        <v>271.03200000000004</v>
      </c>
      <c r="AI35" s="90">
        <f t="shared" si="6"/>
        <v>271.03200000000004</v>
      </c>
      <c r="AJ35" s="90" t="str">
        <f t="shared" si="3"/>
        <v>PRD</v>
      </c>
      <c r="AK35" s="97">
        <f t="shared" si="17"/>
        <v>269.3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6"/>
        <v>0</v>
      </c>
    </row>
    <row r="36" spans="1:42" ht="15.75" x14ac:dyDescent="0.25">
      <c r="A36" s="98"/>
      <c r="B36" s="99"/>
      <c r="C36" s="100" t="str">
        <f t="shared" si="5"/>
        <v xml:space="preserve">S/BM </v>
      </c>
      <c r="D36" s="196"/>
      <c r="X36" s="111"/>
      <c r="Y36" s="112"/>
      <c r="Z36" s="113"/>
      <c r="AA36" s="114">
        <v>1.6910000000000001</v>
      </c>
      <c r="AB36" s="115"/>
      <c r="AC36" s="116"/>
      <c r="AD36" s="117">
        <f t="shared" si="15"/>
        <v>269.34100000000007</v>
      </c>
      <c r="AE36" s="118">
        <v>0</v>
      </c>
      <c r="AF36" s="117">
        <f t="shared" si="12"/>
        <v>31.749999999999993</v>
      </c>
      <c r="AG36" s="120" t="s">
        <v>49</v>
      </c>
      <c r="AH36" s="90">
        <f t="shared" si="2"/>
        <v>271.03200000000004</v>
      </c>
      <c r="AI36" s="90">
        <f t="shared" si="6"/>
        <v>271.03200000000004</v>
      </c>
      <c r="AJ36" s="90" t="str">
        <f t="shared" si="3"/>
        <v xml:space="preserve">S/BM </v>
      </c>
      <c r="AK36" s="97">
        <f t="shared" si="17"/>
        <v>269.34100000000007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6"/>
        <v>0</v>
      </c>
    </row>
    <row r="37" spans="1:42" ht="15.75" x14ac:dyDescent="0.25">
      <c r="A37" s="98"/>
      <c r="B37" s="99"/>
      <c r="C37" s="100" t="str">
        <f t="shared" si="5"/>
        <v/>
      </c>
      <c r="D37" s="196"/>
      <c r="X37" s="111"/>
      <c r="Y37" s="112"/>
      <c r="Z37" s="113"/>
      <c r="AA37" s="114"/>
      <c r="AB37" s="115"/>
      <c r="AC37" s="116"/>
      <c r="AD37" s="117"/>
      <c r="AE37" s="118"/>
      <c r="AF37" s="117"/>
      <c r="AG37" s="120"/>
      <c r="AH37" s="90">
        <f t="shared" si="2"/>
        <v>0</v>
      </c>
      <c r="AI37" s="90">
        <f t="shared" si="6"/>
        <v>0</v>
      </c>
      <c r="AJ37" s="90" t="str">
        <f t="shared" si="3"/>
        <v xml:space="preserve">S/BM </v>
      </c>
      <c r="AK37" s="97">
        <f t="shared" si="17"/>
        <v>0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6"/>
        <v>0</v>
      </c>
    </row>
    <row r="38" spans="1:42" ht="15.75" x14ac:dyDescent="0.25">
      <c r="A38" s="98"/>
      <c r="B38" s="99"/>
      <c r="C38" s="100" t="str">
        <f t="shared" si="5"/>
        <v/>
      </c>
      <c r="D38" s="196"/>
      <c r="X38" s="111"/>
      <c r="Y38" s="112"/>
      <c r="Z38" s="113"/>
      <c r="AA38" s="114"/>
      <c r="AB38" s="115"/>
      <c r="AC38" s="116"/>
      <c r="AD38" s="117"/>
      <c r="AE38" s="118"/>
      <c r="AF38" s="117"/>
      <c r="AG38" s="120"/>
      <c r="AH38" s="90">
        <f t="shared" si="2"/>
        <v>0</v>
      </c>
      <c r="AI38" s="90">
        <f t="shared" si="6"/>
        <v>0</v>
      </c>
      <c r="AJ38" s="90" t="str">
        <f t="shared" si="3"/>
        <v xml:space="preserve">S/BM </v>
      </c>
      <c r="AK38" s="97">
        <f t="shared" si="17"/>
        <v>0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6"/>
        <v>0</v>
      </c>
    </row>
    <row r="39" spans="1:42" ht="15.75" x14ac:dyDescent="0.25">
      <c r="A39" s="98"/>
      <c r="B39" s="99"/>
      <c r="C39" s="100" t="str">
        <f t="shared" si="5"/>
        <v/>
      </c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 xml:space="preserve">S/BM </v>
      </c>
      <c r="AK39" s="97">
        <f t="shared" si="17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6"/>
        <v>0</v>
      </c>
    </row>
    <row r="40" spans="1:42" ht="15.75" x14ac:dyDescent="0.25">
      <c r="A40" s="98"/>
      <c r="B40" s="99"/>
      <c r="C40" s="100" t="str">
        <f t="shared" si="5"/>
        <v/>
      </c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20"/>
      <c r="AH40" s="90">
        <f t="shared" si="2"/>
        <v>0</v>
      </c>
      <c r="AI40" s="90">
        <f t="shared" si="6"/>
        <v>0</v>
      </c>
      <c r="AJ40" s="90" t="str">
        <f t="shared" si="3"/>
        <v xml:space="preserve">S/BM </v>
      </c>
      <c r="AK40" s="97">
        <f t="shared" si="17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6"/>
        <v>0</v>
      </c>
    </row>
    <row r="41" spans="1:42" ht="15.75" x14ac:dyDescent="0.25">
      <c r="A41" s="98"/>
      <c r="B41" s="99"/>
      <c r="C41" s="100" t="str">
        <f>IF(AG41="","",AG41)</f>
        <v/>
      </c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 xml:space="preserve">S/BM </v>
      </c>
      <c r="AK41" s="97">
        <f t="shared" si="17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6"/>
        <v>0</v>
      </c>
    </row>
    <row r="42" spans="1:42" ht="15.75" x14ac:dyDescent="0.25">
      <c r="A42" s="98"/>
      <c r="B42" s="99"/>
      <c r="C42" s="100" t="str">
        <f>IF(AG42="","",AG42)</f>
        <v/>
      </c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 xml:space="preserve">S/BM </v>
      </c>
      <c r="AK42" s="97">
        <f t="shared" si="17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6"/>
        <v>0</v>
      </c>
    </row>
    <row r="43" spans="1:42" ht="15.75" x14ac:dyDescent="0.25">
      <c r="A43" s="98"/>
      <c r="B43" s="99"/>
      <c r="C43" s="100" t="str">
        <f t="shared" si="5"/>
        <v/>
      </c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20"/>
      <c r="AH43" s="90">
        <f t="shared" si="2"/>
        <v>0</v>
      </c>
      <c r="AI43" s="90">
        <f t="shared" si="6"/>
        <v>0</v>
      </c>
      <c r="AJ43" s="90" t="str">
        <f t="shared" si="3"/>
        <v xml:space="preserve">S/BM </v>
      </c>
      <c r="AK43" s="97">
        <f t="shared" si="17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6"/>
        <v>0</v>
      </c>
    </row>
    <row r="44" spans="1:42" ht="15.75" x14ac:dyDescent="0.25">
      <c r="A44" s="98"/>
      <c r="B44" s="99"/>
      <c r="C44" s="100" t="str">
        <f t="shared" si="5"/>
        <v/>
      </c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19"/>
      <c r="AH44" s="90">
        <f t="shared" si="2"/>
        <v>0</v>
      </c>
      <c r="AI44" s="90">
        <f t="shared" si="6"/>
        <v>0</v>
      </c>
      <c r="AJ44" s="90" t="str">
        <f t="shared" si="3"/>
        <v xml:space="preserve">S/BM </v>
      </c>
      <c r="AK44" s="97">
        <f t="shared" si="17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6"/>
        <v>0</v>
      </c>
    </row>
    <row r="45" spans="1:42" ht="15.75" x14ac:dyDescent="0.25">
      <c r="A45" s="98"/>
      <c r="B45" s="99"/>
      <c r="C45" s="100" t="str">
        <f>IF(AG45="","",AG45)</f>
        <v/>
      </c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17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6"/>
        <v>0</v>
      </c>
    </row>
    <row r="46" spans="1:42" ht="15.75" x14ac:dyDescent="0.25">
      <c r="A46" s="98"/>
      <c r="B46" s="99"/>
      <c r="C46" s="100" t="str">
        <f>IF(AG46="","",AG46)</f>
        <v/>
      </c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17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6"/>
        <v>0</v>
      </c>
    </row>
    <row r="47" spans="1:42" ht="15.75" x14ac:dyDescent="0.25">
      <c r="A47" s="98"/>
      <c r="B47" s="99"/>
      <c r="C47" s="100" t="str">
        <f t="shared" ref="C47:C51" si="18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8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0</v>
      </c>
    </row>
    <row r="49" spans="1:42" ht="15.75" x14ac:dyDescent="0.25">
      <c r="A49" s="98"/>
      <c r="B49" s="99"/>
      <c r="C49" s="100" t="str">
        <f t="shared" si="18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0</v>
      </c>
    </row>
    <row r="50" spans="1:42" ht="15.75" x14ac:dyDescent="0.25">
      <c r="A50" s="98"/>
      <c r="B50" s="99"/>
      <c r="C50" s="100" t="str">
        <f t="shared" si="18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0</v>
      </c>
    </row>
    <row r="51" spans="1:42" ht="16.5" thickBot="1" x14ac:dyDescent="0.3">
      <c r="A51" s="126"/>
      <c r="B51" s="127"/>
      <c r="C51" s="100" t="str">
        <f t="shared" si="18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4.1000000000000005</v>
      </c>
      <c r="B53" s="140">
        <f>AL4</f>
        <v>264.80800000000005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30.849999999999994</v>
      </c>
      <c r="B54" s="140">
        <f>AN4</f>
        <v>264.81100000000004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263.64999999999998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265.64999999999998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268.76799999999997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270.26799999999997</v>
      </c>
      <c r="C58" s="149" t="s">
        <v>2</v>
      </c>
      <c r="D58" s="184"/>
    </row>
    <row r="59" spans="1:42" ht="13.5" thickBot="1" x14ac:dyDescent="0.25">
      <c r="A59" s="150"/>
      <c r="B59" s="151"/>
      <c r="C59" s="152" t="s">
        <v>7</v>
      </c>
      <c r="D59" s="153"/>
    </row>
    <row r="60" spans="1:42" ht="13.5" thickBot="1" x14ac:dyDescent="0.25">
      <c r="A60" s="154"/>
      <c r="B60" s="151"/>
      <c r="C60" s="152" t="s">
        <v>7</v>
      </c>
      <c r="D60" s="153"/>
    </row>
    <row r="61" spans="1:42" ht="18" x14ac:dyDescent="0.25">
      <c r="A61" s="155" t="s">
        <v>73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263.64999999999998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68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71</v>
      </c>
      <c r="C69" s="181"/>
    </row>
    <row r="70" spans="1:4" ht="14.25" x14ac:dyDescent="0.2">
      <c r="A70" s="161" t="s">
        <v>60</v>
      </c>
      <c r="B70" s="181" t="s">
        <v>71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43194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701" priority="86" stopIfTrue="1">
      <formula>$AP$47=1</formula>
    </cfRule>
  </conditionalFormatting>
  <conditionalFormatting sqref="AC46:AF46">
    <cfRule type="expression" dxfId="700" priority="85" stopIfTrue="1">
      <formula>$AP$46</formula>
    </cfRule>
  </conditionalFormatting>
  <conditionalFormatting sqref="AC50:AF50">
    <cfRule type="expression" dxfId="699" priority="84" stopIfTrue="1">
      <formula>$AP$50=1</formula>
    </cfRule>
  </conditionalFormatting>
  <conditionalFormatting sqref="AC51:AF51">
    <cfRule type="expression" dxfId="698" priority="83" stopIfTrue="1">
      <formula>$AP$51=1</formula>
    </cfRule>
  </conditionalFormatting>
  <conditionalFormatting sqref="AC49:AF49">
    <cfRule type="expression" dxfId="697" priority="82" stopIfTrue="1">
      <formula>$AP$49=1</formula>
    </cfRule>
  </conditionalFormatting>
  <conditionalFormatting sqref="AC48:AF48">
    <cfRule type="expression" dxfId="696" priority="81" stopIfTrue="1">
      <formula>$AP$48=1</formula>
    </cfRule>
  </conditionalFormatting>
  <conditionalFormatting sqref="AC45:AF45">
    <cfRule type="expression" dxfId="695" priority="80" stopIfTrue="1">
      <formula>$AP$45=1</formula>
    </cfRule>
  </conditionalFormatting>
  <conditionalFormatting sqref="AC44:AF44">
    <cfRule type="expression" dxfId="694" priority="79" stopIfTrue="1">
      <formula>$AP$44=1</formula>
    </cfRule>
  </conditionalFormatting>
  <conditionalFormatting sqref="AC43:AF43">
    <cfRule type="expression" dxfId="693" priority="78" stopIfTrue="1">
      <formula>$AP$43=1</formula>
    </cfRule>
  </conditionalFormatting>
  <conditionalFormatting sqref="AC42:AF42">
    <cfRule type="expression" dxfId="692" priority="77" stopIfTrue="1">
      <formula>$AP$42=1</formula>
    </cfRule>
  </conditionalFormatting>
  <conditionalFormatting sqref="AC41:AF41">
    <cfRule type="expression" dxfId="691" priority="76" stopIfTrue="1">
      <formula>$AP$41=1</formula>
    </cfRule>
  </conditionalFormatting>
  <conditionalFormatting sqref="AC40:AF40">
    <cfRule type="expression" dxfId="690" priority="75" stopIfTrue="1">
      <formula>$AP$40=1</formula>
    </cfRule>
  </conditionalFormatting>
  <conditionalFormatting sqref="AC39:AF39">
    <cfRule type="expression" dxfId="689" priority="74" stopIfTrue="1">
      <formula>$AP$39=1</formula>
    </cfRule>
  </conditionalFormatting>
  <conditionalFormatting sqref="AC38:AF38">
    <cfRule type="expression" dxfId="688" priority="73" stopIfTrue="1">
      <formula>$AP$38=1</formula>
    </cfRule>
  </conditionalFormatting>
  <conditionalFormatting sqref="AD37:AF37">
    <cfRule type="expression" dxfId="687" priority="72" stopIfTrue="1">
      <formula>$AP$37=1</formula>
    </cfRule>
  </conditionalFormatting>
  <conditionalFormatting sqref="AC36:AC37 AE36">
    <cfRule type="expression" dxfId="686" priority="71" stopIfTrue="1">
      <formula>$AP$36=1</formula>
    </cfRule>
  </conditionalFormatting>
  <conditionalFormatting sqref="AC35:AF35 AD36 AF36">
    <cfRule type="expression" dxfId="685" priority="69" stopIfTrue="1">
      <formula>$AP$35=1</formula>
    </cfRule>
    <cfRule type="expression" dxfId="684" priority="70" stopIfTrue="1">
      <formula>$AP$35=1</formula>
    </cfRule>
  </conditionalFormatting>
  <conditionalFormatting sqref="AC34:AF34">
    <cfRule type="expression" dxfId="683" priority="68" stopIfTrue="1">
      <formula>$AP$34=1</formula>
    </cfRule>
  </conditionalFormatting>
  <conditionalFormatting sqref="AC33:AF33">
    <cfRule type="expression" dxfId="682" priority="67" stopIfTrue="1">
      <formula>$AP$33=1</formula>
    </cfRule>
  </conditionalFormatting>
  <conditionalFormatting sqref="AC32:AF32">
    <cfRule type="expression" dxfId="681" priority="66" stopIfTrue="1">
      <formula>$AP$32=1</formula>
    </cfRule>
  </conditionalFormatting>
  <conditionalFormatting sqref="AC31:AF31">
    <cfRule type="expression" dxfId="680" priority="65" stopIfTrue="1">
      <formula>$AP$31=1</formula>
    </cfRule>
  </conditionalFormatting>
  <conditionalFormatting sqref="AC30:AF30">
    <cfRule type="expression" dxfId="679" priority="64" stopIfTrue="1">
      <formula>$AP$30</formula>
    </cfRule>
  </conditionalFormatting>
  <conditionalFormatting sqref="AC29:AD29 AF29">
    <cfRule type="expression" dxfId="678" priority="63" stopIfTrue="1">
      <formula>$AP$29=1</formula>
    </cfRule>
  </conditionalFormatting>
  <conditionalFormatting sqref="AC28:AD28 AF28">
    <cfRule type="expression" dxfId="677" priority="62" stopIfTrue="1">
      <formula>$AP$28=1</formula>
    </cfRule>
  </conditionalFormatting>
  <conditionalFormatting sqref="AC27:AD27 AF27">
    <cfRule type="expression" dxfId="676" priority="61" stopIfTrue="1">
      <formula>$AP$27=1</formula>
    </cfRule>
  </conditionalFormatting>
  <conditionalFormatting sqref="AC26:AD26 AF26">
    <cfRule type="expression" dxfId="675" priority="60" stopIfTrue="1">
      <formula>$AP$26=1</formula>
    </cfRule>
  </conditionalFormatting>
  <conditionalFormatting sqref="AC25:AD25 AF25">
    <cfRule type="expression" dxfId="674" priority="59" stopIfTrue="1">
      <formula>$AP$25=1</formula>
    </cfRule>
  </conditionalFormatting>
  <conditionalFormatting sqref="AC24:AD24 AF24">
    <cfRule type="expression" dxfId="673" priority="58" stopIfTrue="1">
      <formula>$AP$24=1</formula>
    </cfRule>
  </conditionalFormatting>
  <conditionalFormatting sqref="AC23:AD23 AF23">
    <cfRule type="expression" dxfId="672" priority="57" stopIfTrue="1">
      <formula>$AP$23=1</formula>
    </cfRule>
  </conditionalFormatting>
  <conditionalFormatting sqref="AC22:AD22 AF22">
    <cfRule type="expression" dxfId="671" priority="56" stopIfTrue="1">
      <formula>$AP$22=1</formula>
    </cfRule>
  </conditionalFormatting>
  <conditionalFormatting sqref="AC21:AD21 AF21">
    <cfRule type="expression" dxfId="670" priority="55" stopIfTrue="1">
      <formula>$AP$21=1</formula>
    </cfRule>
  </conditionalFormatting>
  <conditionalFormatting sqref="AC20:AD20 AF20">
    <cfRule type="expression" dxfId="669" priority="54" stopIfTrue="1">
      <formula>$AP$20=1</formula>
    </cfRule>
  </conditionalFormatting>
  <conditionalFormatting sqref="AC19:AD19 AF19">
    <cfRule type="expression" dxfId="668" priority="53" stopIfTrue="1">
      <formula>$AP$19=1</formula>
    </cfRule>
  </conditionalFormatting>
  <conditionalFormatting sqref="AC18:AD18 AF18">
    <cfRule type="expression" dxfId="667" priority="52" stopIfTrue="1">
      <formula>$AP$18=1</formula>
    </cfRule>
  </conditionalFormatting>
  <conditionalFormatting sqref="AC17:AD17 AF17">
    <cfRule type="expression" dxfId="666" priority="51" stopIfTrue="1">
      <formula>$AP$17=1</formula>
    </cfRule>
  </conditionalFormatting>
  <conditionalFormatting sqref="AC16:AD16 AF16">
    <cfRule type="expression" dxfId="665" priority="50" stopIfTrue="1">
      <formula>$AP$16=1</formula>
    </cfRule>
  </conditionalFormatting>
  <conditionalFormatting sqref="AC15:AD15 AF15">
    <cfRule type="expression" dxfId="664" priority="49" stopIfTrue="1">
      <formula>$AP$15=1</formula>
    </cfRule>
  </conditionalFormatting>
  <conditionalFormatting sqref="AC14:AD14 AF14">
    <cfRule type="expression" dxfId="663" priority="48" stopIfTrue="1">
      <formula>$AP$14=1</formula>
    </cfRule>
  </conditionalFormatting>
  <conditionalFormatting sqref="AC13:AD13 AF13">
    <cfRule type="expression" dxfId="662" priority="47" stopIfTrue="1">
      <formula>$AP$13=1</formula>
    </cfRule>
  </conditionalFormatting>
  <conditionalFormatting sqref="AC12:AF12 AE13:AE30">
    <cfRule type="expression" dxfId="661" priority="46" stopIfTrue="1">
      <formula>$AP$12=1</formula>
    </cfRule>
  </conditionalFormatting>
  <conditionalFormatting sqref="AC11:AF11">
    <cfRule type="expression" dxfId="660" priority="45" stopIfTrue="1">
      <formula>$AP$11=1</formula>
    </cfRule>
  </conditionalFormatting>
  <conditionalFormatting sqref="A51:B51">
    <cfRule type="expression" dxfId="659" priority="44" stopIfTrue="1">
      <formula>$AP$51=1</formula>
    </cfRule>
  </conditionalFormatting>
  <conditionalFormatting sqref="A50:B50">
    <cfRule type="expression" dxfId="658" priority="43" stopIfTrue="1">
      <formula>$AP$50=1</formula>
    </cfRule>
  </conditionalFormatting>
  <conditionalFormatting sqref="A49:B49">
    <cfRule type="expression" dxfId="657" priority="42" stopIfTrue="1">
      <formula>$AP$49=1</formula>
    </cfRule>
  </conditionalFormatting>
  <conditionalFormatting sqref="A48:B48">
    <cfRule type="expression" dxfId="656" priority="41" stopIfTrue="1">
      <formula>$AP$48=1</formula>
    </cfRule>
  </conditionalFormatting>
  <conditionalFormatting sqref="A47:B47">
    <cfRule type="expression" dxfId="655" priority="40" stopIfTrue="1">
      <formula>$AP$47=1</formula>
    </cfRule>
  </conditionalFormatting>
  <conditionalFormatting sqref="A46:B46">
    <cfRule type="expression" dxfId="654" priority="39" stopIfTrue="1">
      <formula>$AP$46=1</formula>
    </cfRule>
  </conditionalFormatting>
  <conditionalFormatting sqref="A45:B45">
    <cfRule type="expression" dxfId="653" priority="38" stopIfTrue="1">
      <formula>$AP$45=1</formula>
    </cfRule>
  </conditionalFormatting>
  <conditionalFormatting sqref="A44:B44">
    <cfRule type="expression" dxfId="652" priority="37" stopIfTrue="1">
      <formula>$AP$44=1</formula>
    </cfRule>
  </conditionalFormatting>
  <conditionalFormatting sqref="A43:B43">
    <cfRule type="expression" dxfId="651" priority="36" stopIfTrue="1">
      <formula>$AP$43=1</formula>
    </cfRule>
  </conditionalFormatting>
  <conditionalFormatting sqref="A42:B42">
    <cfRule type="expression" dxfId="650" priority="35" stopIfTrue="1">
      <formula>$AP$42=1</formula>
    </cfRule>
  </conditionalFormatting>
  <conditionalFormatting sqref="A41:B41">
    <cfRule type="expression" dxfId="649" priority="34" stopIfTrue="1">
      <formula>$AP$41=1</formula>
    </cfRule>
  </conditionalFormatting>
  <conditionalFormatting sqref="A40:B40">
    <cfRule type="expression" dxfId="648" priority="33" stopIfTrue="1">
      <formula>$AP$40=1</formula>
    </cfRule>
  </conditionalFormatting>
  <conditionalFormatting sqref="A39:B39">
    <cfRule type="expression" dxfId="647" priority="32" stopIfTrue="1">
      <formula>$AP$39=1</formula>
    </cfRule>
  </conditionalFormatting>
  <conditionalFormatting sqref="A38:B38">
    <cfRule type="expression" dxfId="646" priority="31" stopIfTrue="1">
      <formula>$AP$38=1</formula>
    </cfRule>
  </conditionalFormatting>
  <conditionalFormatting sqref="A37:B37">
    <cfRule type="expression" dxfId="645" priority="30" stopIfTrue="1">
      <formula>$AP$37=1</formula>
    </cfRule>
  </conditionalFormatting>
  <conditionalFormatting sqref="A36:B36">
    <cfRule type="expression" dxfId="644" priority="29" stopIfTrue="1">
      <formula>$AP$36=1</formula>
    </cfRule>
  </conditionalFormatting>
  <conditionalFormatting sqref="A35:B35">
    <cfRule type="expression" dxfId="643" priority="28" stopIfTrue="1">
      <formula>$AP$35=1</formula>
    </cfRule>
  </conditionalFormatting>
  <conditionalFormatting sqref="A34:B34">
    <cfRule type="expression" dxfId="642" priority="27" stopIfTrue="1">
      <formula>$AP$34=1</formula>
    </cfRule>
  </conditionalFormatting>
  <conditionalFormatting sqref="A33:B33">
    <cfRule type="expression" dxfId="641" priority="26" stopIfTrue="1">
      <formula>$AP$33=1</formula>
    </cfRule>
  </conditionalFormatting>
  <conditionalFormatting sqref="A32:B32">
    <cfRule type="expression" dxfId="640" priority="25" stopIfTrue="1">
      <formula>$AP$32=1</formula>
    </cfRule>
  </conditionalFormatting>
  <conditionalFormatting sqref="A31:B31">
    <cfRule type="expression" dxfId="639" priority="24" stopIfTrue="1">
      <formula>$AP$31=1</formula>
    </cfRule>
  </conditionalFormatting>
  <conditionalFormatting sqref="A30:B30">
    <cfRule type="expression" dxfId="638" priority="23" stopIfTrue="1">
      <formula>$AP$30=1</formula>
    </cfRule>
  </conditionalFormatting>
  <conditionalFormatting sqref="A29:B29">
    <cfRule type="expression" dxfId="637" priority="22" stopIfTrue="1">
      <formula>$AP$29=1</formula>
    </cfRule>
  </conditionalFormatting>
  <conditionalFormatting sqref="A28:B28">
    <cfRule type="expression" dxfId="636" priority="21" stopIfTrue="1">
      <formula>$AP$28=1</formula>
    </cfRule>
  </conditionalFormatting>
  <conditionalFormatting sqref="A27:B27">
    <cfRule type="expression" dxfId="635" priority="20" stopIfTrue="1">
      <formula>$AP$27=1</formula>
    </cfRule>
  </conditionalFormatting>
  <conditionalFormatting sqref="A26:B26">
    <cfRule type="expression" dxfId="634" priority="19" stopIfTrue="1">
      <formula>$AP$26=1</formula>
    </cfRule>
  </conditionalFormatting>
  <conditionalFormatting sqref="A25:B25">
    <cfRule type="expression" dxfId="633" priority="18" stopIfTrue="1">
      <formula>$AP$25=1</formula>
    </cfRule>
  </conditionalFormatting>
  <conditionalFormatting sqref="A24:B24">
    <cfRule type="expression" dxfId="632" priority="17" stopIfTrue="1">
      <formula>$AP$24=1</formula>
    </cfRule>
  </conditionalFormatting>
  <conditionalFormatting sqref="A23:B23">
    <cfRule type="expression" dxfId="631" priority="16" stopIfTrue="1">
      <formula>$AP$23=1</formula>
    </cfRule>
  </conditionalFormatting>
  <conditionalFormatting sqref="A22:B22">
    <cfRule type="expression" dxfId="630" priority="15" stopIfTrue="1">
      <formula>$AP$22=1</formula>
    </cfRule>
  </conditionalFormatting>
  <conditionalFormatting sqref="A21:B21">
    <cfRule type="expression" dxfId="629" priority="14" stopIfTrue="1">
      <formula>$AP$21=1</formula>
    </cfRule>
  </conditionalFormatting>
  <conditionalFormatting sqref="A20:B20">
    <cfRule type="expression" dxfId="628" priority="13" stopIfTrue="1">
      <formula>$AP$20=1</formula>
    </cfRule>
  </conditionalFormatting>
  <conditionalFormatting sqref="A19:B19">
    <cfRule type="expression" dxfId="627" priority="12" stopIfTrue="1">
      <formula>$AP$19=1</formula>
    </cfRule>
  </conditionalFormatting>
  <conditionalFormatting sqref="A18:B18">
    <cfRule type="expression" dxfId="626" priority="11" stopIfTrue="1">
      <formula>$AP$18=1</formula>
    </cfRule>
  </conditionalFormatting>
  <conditionalFormatting sqref="A17:B17">
    <cfRule type="expression" dxfId="625" priority="10" stopIfTrue="1">
      <formula>$AP$17=1</formula>
    </cfRule>
  </conditionalFormatting>
  <conditionalFormatting sqref="A16:B16">
    <cfRule type="expression" dxfId="624" priority="9" stopIfTrue="1">
      <formula>$AP$16=1</formula>
    </cfRule>
  </conditionalFormatting>
  <conditionalFormatting sqref="A15:B15">
    <cfRule type="expression" dxfId="623" priority="8" stopIfTrue="1">
      <formula>$AP$15=1</formula>
    </cfRule>
  </conditionalFormatting>
  <conditionalFormatting sqref="A14:B14">
    <cfRule type="expression" dxfId="622" priority="7" stopIfTrue="1">
      <formula>$AP$14=1</formula>
    </cfRule>
  </conditionalFormatting>
  <conditionalFormatting sqref="A13:B13">
    <cfRule type="expression" dxfId="621" priority="6" stopIfTrue="1">
      <formula>$AP$13=1</formula>
    </cfRule>
  </conditionalFormatting>
  <conditionalFormatting sqref="A12:B12">
    <cfRule type="expression" dxfId="620" priority="5" stopIfTrue="1">
      <formula>$AP$12=1</formula>
    </cfRule>
  </conditionalFormatting>
  <conditionalFormatting sqref="A11:B11">
    <cfRule type="expression" dxfId="619" priority="4" stopIfTrue="1">
      <formula>$AP$11=1</formula>
    </cfRule>
  </conditionalFormatting>
  <conditionalFormatting sqref="A10:B10">
    <cfRule type="expression" dxfId="618" priority="3" stopIfTrue="1">
      <formula>$AP$10=1</formula>
    </cfRule>
  </conditionalFormatting>
  <conditionalFormatting sqref="AC10:AD10">
    <cfRule type="expression" dxfId="617" priority="2" stopIfTrue="1">
      <formula>$AP$11=1</formula>
    </cfRule>
  </conditionalFormatting>
  <conditionalFormatting sqref="AE31">
    <cfRule type="expression" dxfId="616" priority="1" stopIfTrue="1">
      <formula>$AP$30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P75"/>
  <sheetViews>
    <sheetView topLeftCell="A13" zoomScale="70" zoomScaleNormal="70" workbookViewId="0">
      <selection activeCell="AD6" sqref="AD6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79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264.11999999999995</v>
      </c>
      <c r="AM4" s="97">
        <f>SUM(AM5:AM46)</f>
        <v>4</v>
      </c>
      <c r="AN4" s="97">
        <f>SUM(AN5:AN46)</f>
        <v>264.11999999999995</v>
      </c>
      <c r="AO4" s="97">
        <f>SUM(AO5:AO46)</f>
        <v>34.629999999999995</v>
      </c>
      <c r="AP4" s="90"/>
    </row>
    <row r="5" spans="1:42" ht="15.75" x14ac:dyDescent="0.25">
      <c r="A5" s="98">
        <f t="shared" ref="A5:A35" si="0">AF5</f>
        <v>0</v>
      </c>
      <c r="B5" s="99">
        <f t="shared" ref="B5:B35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0.25</v>
      </c>
      <c r="AA5" s="104"/>
      <c r="AB5" s="105"/>
      <c r="AC5" s="106">
        <f>IF(AA5="",AD5+Z5,"")</f>
        <v>269.60000000000002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269.60000000000002</v>
      </c>
      <c r="AI5" s="90">
        <f>IF(AA5="",AC5,AI4)</f>
        <v>269.60000000000002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277.40000000000003</v>
      </c>
      <c r="C6" s="100" t="str">
        <f t="shared" ref="C6:C39" si="5">IF(AG6="","",AG6)</f>
        <v>PRI</v>
      </c>
      <c r="D6" s="196"/>
      <c r="X6" s="111"/>
      <c r="Y6" s="112"/>
      <c r="Z6" s="113"/>
      <c r="AA6" s="114">
        <v>-7.8</v>
      </c>
      <c r="AB6" s="115"/>
      <c r="AC6" s="116" t="str">
        <f>IF(AA6="",AD6+Z6,"")</f>
        <v/>
      </c>
      <c r="AD6" s="117">
        <f>IF(AA6="",AH5-AB6,AH5-AA6)</f>
        <v>277.40000000000003</v>
      </c>
      <c r="AE6" s="118">
        <v>0</v>
      </c>
      <c r="AF6" s="117">
        <f>AE6</f>
        <v>0</v>
      </c>
      <c r="AG6" s="119" t="s">
        <v>4</v>
      </c>
      <c r="AH6" s="90">
        <f t="shared" si="2"/>
        <v>269.60000000000002</v>
      </c>
      <c r="AI6" s="90">
        <f t="shared" ref="AI6:AI46" si="6">IF(AA6="",AC6,AI5)</f>
        <v>269.60000000000002</v>
      </c>
      <c r="AJ6" s="90" t="str">
        <f t="shared" si="3"/>
        <v>PRI</v>
      </c>
      <c r="AK6" s="97">
        <f t="shared" si="4"/>
        <v>277.40000000000003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0</v>
      </c>
      <c r="B7" s="99">
        <f t="shared" si="1"/>
        <v>269.41700000000003</v>
      </c>
      <c r="C7" s="100" t="str">
        <f t="shared" si="5"/>
        <v/>
      </c>
      <c r="D7" s="196"/>
      <c r="X7" s="111"/>
      <c r="Y7" s="112"/>
      <c r="Z7" s="113"/>
      <c r="AA7" s="114">
        <v>0.183</v>
      </c>
      <c r="AB7" s="115"/>
      <c r="AC7" s="116" t="str">
        <f t="shared" ref="AC7:AC35" si="11">IF(AA7="",AD7+Z7,"")</f>
        <v/>
      </c>
      <c r="AD7" s="117">
        <f>IF(AA7="",AH6-AB7,AH6-AA7)</f>
        <v>269.41700000000003</v>
      </c>
      <c r="AE7" s="118">
        <v>0</v>
      </c>
      <c r="AF7" s="117">
        <f t="shared" ref="AF7:AF44" si="12">+AF6+AE7</f>
        <v>0</v>
      </c>
      <c r="AG7" s="120"/>
      <c r="AH7" s="90">
        <f t="shared" si="2"/>
        <v>269.60000000000002</v>
      </c>
      <c r="AI7" s="90">
        <f t="shared" si="6"/>
        <v>269.60000000000002</v>
      </c>
      <c r="AJ7" s="90" t="str">
        <f t="shared" si="3"/>
        <v>PRI</v>
      </c>
      <c r="AK7" s="97">
        <f t="shared" si="4"/>
        <v>269.41700000000003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2.5</v>
      </c>
      <c r="B8" s="99">
        <f t="shared" si="1"/>
        <v>269.25</v>
      </c>
      <c r="C8" s="100" t="str">
        <f t="shared" si="5"/>
        <v/>
      </c>
      <c r="D8" s="196"/>
      <c r="X8" s="111"/>
      <c r="Y8" s="112"/>
      <c r="Z8" s="113"/>
      <c r="AA8" s="114">
        <v>0.35</v>
      </c>
      <c r="AB8" s="115"/>
      <c r="AC8" s="116" t="str">
        <f t="shared" si="11"/>
        <v/>
      </c>
      <c r="AD8" s="117">
        <f>IF(AA8="",AH7-AB8,AH7-AA8)</f>
        <v>269.25</v>
      </c>
      <c r="AE8" s="118">
        <v>2.5</v>
      </c>
      <c r="AF8" s="117">
        <f t="shared" si="12"/>
        <v>2.5</v>
      </c>
      <c r="AG8" s="120"/>
      <c r="AH8" s="90">
        <f t="shared" si="2"/>
        <v>269.60000000000002</v>
      </c>
      <c r="AI8" s="90">
        <f t="shared" si="6"/>
        <v>269.60000000000002</v>
      </c>
      <c r="AJ8" s="90" t="str">
        <f t="shared" si="3"/>
        <v>PRI</v>
      </c>
      <c r="AK8" s="97">
        <f t="shared" si="4"/>
        <v>269.25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2.5</v>
      </c>
      <c r="B9" s="99">
        <f t="shared" si="1"/>
        <v>268.21500000000003</v>
      </c>
      <c r="C9" s="100" t="str">
        <f t="shared" si="5"/>
        <v/>
      </c>
      <c r="D9" s="196"/>
      <c r="X9" s="111"/>
      <c r="Y9" s="112"/>
      <c r="Z9" s="113"/>
      <c r="AA9" s="114">
        <v>1.385</v>
      </c>
      <c r="AB9" s="115"/>
      <c r="AC9" s="116" t="str">
        <f t="shared" si="11"/>
        <v/>
      </c>
      <c r="AD9" s="117">
        <f>IF(AA9="",AH8-AB9,AH8-AA9)</f>
        <v>268.21500000000003</v>
      </c>
      <c r="AE9" s="118">
        <v>0</v>
      </c>
      <c r="AF9" s="117">
        <f t="shared" si="12"/>
        <v>2.5</v>
      </c>
      <c r="AG9" s="119"/>
      <c r="AH9" s="90">
        <f t="shared" si="2"/>
        <v>269.60000000000002</v>
      </c>
      <c r="AI9" s="90">
        <f t="shared" si="6"/>
        <v>269.60000000000002</v>
      </c>
      <c r="AJ9" s="90" t="str">
        <f t="shared" si="3"/>
        <v>PRI</v>
      </c>
      <c r="AK9" s="97">
        <f t="shared" si="4"/>
        <v>268.21500000000003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3.5</v>
      </c>
      <c r="B10" s="99">
        <f t="shared" si="1"/>
        <v>267.77300000000002</v>
      </c>
      <c r="C10" s="100" t="str">
        <f t="shared" si="5"/>
        <v/>
      </c>
      <c r="D10" s="196"/>
      <c r="E10" s="88">
        <f>(B12+B35)/2</f>
        <v>263.46499999999992</v>
      </c>
      <c r="X10" s="111"/>
      <c r="Y10" s="112"/>
      <c r="Z10" s="113"/>
      <c r="AA10" s="114">
        <v>1.827</v>
      </c>
      <c r="AB10" s="115"/>
      <c r="AC10" s="116" t="str">
        <f t="shared" si="11"/>
        <v/>
      </c>
      <c r="AD10" s="117">
        <f t="shared" ref="AD10:AD44" si="13">IF(AJ9="S/BM",AD9,IF(AA10="",AH9-AB10,AH9-AA10))</f>
        <v>267.77300000000002</v>
      </c>
      <c r="AE10" s="118">
        <v>1</v>
      </c>
      <c r="AF10" s="117">
        <f t="shared" si="12"/>
        <v>3.5</v>
      </c>
      <c r="AG10" s="120"/>
      <c r="AH10" s="90">
        <f t="shared" si="2"/>
        <v>269.60000000000002</v>
      </c>
      <c r="AI10" s="90">
        <f t="shared" si="6"/>
        <v>269.60000000000002</v>
      </c>
      <c r="AJ10" s="90" t="str">
        <f t="shared" si="3"/>
        <v>PRI</v>
      </c>
      <c r="AK10" s="97">
        <f t="shared" si="4"/>
        <v>267.77300000000002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3.5</v>
      </c>
      <c r="B11" s="99">
        <f t="shared" si="1"/>
        <v>265.69</v>
      </c>
      <c r="C11" s="100" t="str">
        <f t="shared" si="5"/>
        <v/>
      </c>
      <c r="D11" s="196"/>
      <c r="E11" s="121">
        <v>0.33</v>
      </c>
      <c r="X11" s="111" t="s">
        <v>50</v>
      </c>
      <c r="Y11" s="112"/>
      <c r="Z11" s="113">
        <v>3.34</v>
      </c>
      <c r="AA11" s="114"/>
      <c r="AB11" s="115">
        <v>3.91</v>
      </c>
      <c r="AC11" s="116">
        <f t="shared" si="11"/>
        <v>269.02999999999997</v>
      </c>
      <c r="AD11" s="117">
        <f t="shared" si="13"/>
        <v>265.69</v>
      </c>
      <c r="AE11" s="118">
        <v>0</v>
      </c>
      <c r="AF11" s="117">
        <f t="shared" si="12"/>
        <v>3.5</v>
      </c>
      <c r="AG11" s="119"/>
      <c r="AH11" s="90">
        <f t="shared" si="2"/>
        <v>269.02999999999997</v>
      </c>
      <c r="AI11" s="90">
        <f t="shared" si="6"/>
        <v>269.02999999999997</v>
      </c>
      <c r="AJ11" s="90" t="str">
        <f t="shared" si="3"/>
        <v>PRI</v>
      </c>
      <c r="AK11" s="97">
        <f t="shared" si="4"/>
        <v>265.69</v>
      </c>
      <c r="AL11" s="90" t="str">
        <f t="shared" si="7"/>
        <v/>
      </c>
      <c r="AM11" s="97" t="str">
        <f t="shared" si="8"/>
        <v/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4</v>
      </c>
      <c r="B12" s="99">
        <f t="shared" si="1"/>
        <v>264.11999999999995</v>
      </c>
      <c r="C12" s="100" t="str">
        <f t="shared" si="5"/>
        <v>NAOI</v>
      </c>
      <c r="D12" s="196"/>
      <c r="E12" s="121">
        <v>0.3</v>
      </c>
      <c r="X12" s="111"/>
      <c r="Y12" s="112"/>
      <c r="Z12" s="113"/>
      <c r="AA12" s="114">
        <v>4.91</v>
      </c>
      <c r="AB12" s="115"/>
      <c r="AC12" s="116" t="str">
        <f>IF(AA12="",AD12+Z12,"")</f>
        <v/>
      </c>
      <c r="AD12" s="117">
        <f t="shared" si="13"/>
        <v>264.11999999999995</v>
      </c>
      <c r="AE12" s="118">
        <v>0.5</v>
      </c>
      <c r="AF12" s="117">
        <f t="shared" si="12"/>
        <v>4</v>
      </c>
      <c r="AG12" s="119" t="s">
        <v>9</v>
      </c>
      <c r="AH12" s="90">
        <f t="shared" si="2"/>
        <v>264.11999999999995</v>
      </c>
      <c r="AI12" s="90">
        <f t="shared" si="6"/>
        <v>269.02999999999997</v>
      </c>
      <c r="AJ12" s="90" t="str">
        <f t="shared" si="3"/>
        <v>NAOI</v>
      </c>
      <c r="AK12" s="97">
        <f t="shared" si="4"/>
        <v>264.11999999999995</v>
      </c>
      <c r="AL12" s="90">
        <f t="shared" si="7"/>
        <v>264.11999999999995</v>
      </c>
      <c r="AM12" s="97">
        <f t="shared" si="8"/>
        <v>4</v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4</v>
      </c>
      <c r="B13" s="99">
        <f t="shared" si="1"/>
        <v>262.31999999999994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1.8</v>
      </c>
      <c r="AB13" s="115"/>
      <c r="AC13" s="116" t="str">
        <f t="shared" si="11"/>
        <v/>
      </c>
      <c r="AD13" s="117">
        <f>IF(AJ12="S/BM",AD12,IF(AA13="",AH12-AB13,AH12-AA13))</f>
        <v>262.31999999999994</v>
      </c>
      <c r="AE13" s="118">
        <v>0</v>
      </c>
      <c r="AF13" s="117">
        <f t="shared" si="12"/>
        <v>4</v>
      </c>
      <c r="AG13" s="120"/>
      <c r="AH13" s="90">
        <f t="shared" si="2"/>
        <v>264.11999999999995</v>
      </c>
      <c r="AI13" s="90">
        <f t="shared" si="6"/>
        <v>269.02999999999997</v>
      </c>
      <c r="AJ13" s="90" t="str">
        <f t="shared" si="3"/>
        <v>NAOI</v>
      </c>
      <c r="AK13" s="97">
        <f t="shared" si="4"/>
        <v>264.11999999999995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8.01</v>
      </c>
      <c r="B14" s="99">
        <f t="shared" si="1"/>
        <v>262.29999999999995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1.82</v>
      </c>
      <c r="AB14" s="115"/>
      <c r="AC14" s="116" t="str">
        <f t="shared" si="11"/>
        <v/>
      </c>
      <c r="AD14" s="117">
        <f t="shared" si="13"/>
        <v>262.29999999999995</v>
      </c>
      <c r="AE14" s="118">
        <v>4.01</v>
      </c>
      <c r="AF14" s="117">
        <f t="shared" si="12"/>
        <v>8.01</v>
      </c>
      <c r="AG14" s="120"/>
      <c r="AH14" s="90">
        <f t="shared" si="2"/>
        <v>264.11999999999995</v>
      </c>
      <c r="AI14" s="90">
        <f t="shared" si="6"/>
        <v>269.02999999999997</v>
      </c>
      <c r="AJ14" s="90" t="str">
        <f t="shared" si="3"/>
        <v>NAOI</v>
      </c>
      <c r="AK14" s="97">
        <f>IF(AND(AJ14="NAOI",AJ13="NAOI"),AK13,AD14)</f>
        <v>264.11999999999995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9.15</v>
      </c>
      <c r="B15" s="99">
        <f t="shared" si="1"/>
        <v>262.20999999999992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1.91</v>
      </c>
      <c r="AB15" s="115"/>
      <c r="AC15" s="116" t="str">
        <f t="shared" si="11"/>
        <v/>
      </c>
      <c r="AD15" s="117">
        <f t="shared" si="13"/>
        <v>262.20999999999992</v>
      </c>
      <c r="AE15" s="118">
        <v>1.1399999999999999</v>
      </c>
      <c r="AF15" s="117">
        <f t="shared" si="12"/>
        <v>9.15</v>
      </c>
      <c r="AG15" s="119"/>
      <c r="AH15" s="90">
        <f t="shared" si="2"/>
        <v>264.11999999999995</v>
      </c>
      <c r="AI15" s="90">
        <f t="shared" si="6"/>
        <v>269.02999999999997</v>
      </c>
      <c r="AJ15" s="90" t="str">
        <f t="shared" si="3"/>
        <v>NAOI</v>
      </c>
      <c r="AK15" s="97">
        <f>IF(AND(AJ15="NAOI",AJ14="NAOI"),AK14,AD15)</f>
        <v>264.11999999999995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10.06</v>
      </c>
      <c r="B16" s="99">
        <f t="shared" si="1"/>
        <v>262.11999999999995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</v>
      </c>
      <c r="AB16" s="115"/>
      <c r="AC16" s="116" t="str">
        <f t="shared" si="11"/>
        <v/>
      </c>
      <c r="AD16" s="117">
        <f>IF(AJ15="S/BM",AD15,IF(AA16="",AH15-AB16,AH15-AA16))</f>
        <v>262.11999999999995</v>
      </c>
      <c r="AE16" s="118">
        <v>0.91</v>
      </c>
      <c r="AF16" s="117">
        <f t="shared" si="12"/>
        <v>10.06</v>
      </c>
      <c r="AG16" s="122"/>
      <c r="AH16" s="90">
        <f t="shared" si="2"/>
        <v>264.11999999999995</v>
      </c>
      <c r="AI16" s="90">
        <f t="shared" si="6"/>
        <v>269.02999999999997</v>
      </c>
      <c r="AJ16" s="90" t="str">
        <f t="shared" si="3"/>
        <v>NAOI</v>
      </c>
      <c r="AK16" s="97">
        <f>IF(AND(AJ16="NAOI",AJ15="NAOI"),AK15,AD16)</f>
        <v>264.11999999999995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11.13</v>
      </c>
      <c r="B17" s="99">
        <f t="shared" si="1"/>
        <v>261.99999999999994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2.12</v>
      </c>
      <c r="AB17" s="115"/>
      <c r="AC17" s="116" t="str">
        <f t="shared" si="11"/>
        <v/>
      </c>
      <c r="AD17" s="117">
        <f t="shared" si="13"/>
        <v>261.99999999999994</v>
      </c>
      <c r="AE17" s="118">
        <v>1.07</v>
      </c>
      <c r="AF17" s="117">
        <f t="shared" si="12"/>
        <v>11.13</v>
      </c>
      <c r="AG17" s="122"/>
      <c r="AH17" s="90">
        <f t="shared" si="2"/>
        <v>264.11999999999995</v>
      </c>
      <c r="AI17" s="90">
        <f t="shared" si="6"/>
        <v>269.02999999999997</v>
      </c>
      <c r="AJ17" s="90" t="str">
        <f t="shared" si="3"/>
        <v>NAOI</v>
      </c>
      <c r="AK17" s="97">
        <f t="shared" ref="AK17:AK46" si="15">IF(AND(AJ17="NAOI",AJ16="NAOI"),AK16,AD17)</f>
        <v>264.11999999999995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12.360000000000001</v>
      </c>
      <c r="B18" s="99">
        <f t="shared" si="1"/>
        <v>261.90999999999997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2.21</v>
      </c>
      <c r="AB18" s="115"/>
      <c r="AC18" s="116" t="str">
        <f t="shared" si="11"/>
        <v/>
      </c>
      <c r="AD18" s="117">
        <f t="shared" si="13"/>
        <v>261.90999999999997</v>
      </c>
      <c r="AE18" s="118">
        <v>1.23</v>
      </c>
      <c r="AF18" s="117">
        <f t="shared" si="12"/>
        <v>12.360000000000001</v>
      </c>
      <c r="AG18" s="122"/>
      <c r="AH18" s="90">
        <f t="shared" si="2"/>
        <v>264.11999999999995</v>
      </c>
      <c r="AI18" s="90">
        <f t="shared" si="6"/>
        <v>269.02999999999997</v>
      </c>
      <c r="AJ18" s="90" t="str">
        <f t="shared" si="3"/>
        <v>NAOI</v>
      </c>
      <c r="AK18" s="97">
        <f t="shared" si="15"/>
        <v>264.11999999999995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13.290000000000001</v>
      </c>
      <c r="B19" s="99">
        <f t="shared" si="1"/>
        <v>261.84999999999997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2.27</v>
      </c>
      <c r="AB19" s="115"/>
      <c r="AC19" s="116" t="str">
        <f t="shared" si="11"/>
        <v/>
      </c>
      <c r="AD19" s="117">
        <f t="shared" si="13"/>
        <v>261.84999999999997</v>
      </c>
      <c r="AE19" s="118">
        <v>0.93</v>
      </c>
      <c r="AF19" s="117">
        <f t="shared" si="12"/>
        <v>13.290000000000001</v>
      </c>
      <c r="AG19" s="122"/>
      <c r="AH19" s="90">
        <f t="shared" si="2"/>
        <v>264.11999999999995</v>
      </c>
      <c r="AI19" s="90">
        <f t="shared" si="6"/>
        <v>269.02999999999997</v>
      </c>
      <c r="AJ19" s="90" t="str">
        <f t="shared" si="3"/>
        <v>NAOI</v>
      </c>
      <c r="AK19" s="97">
        <f t="shared" si="15"/>
        <v>264.11999999999995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14.23</v>
      </c>
      <c r="B20" s="99">
        <f t="shared" si="1"/>
        <v>261.77999999999997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2.34</v>
      </c>
      <c r="AB20" s="115"/>
      <c r="AC20" s="116" t="str">
        <f t="shared" si="11"/>
        <v/>
      </c>
      <c r="AD20" s="117">
        <f t="shared" si="13"/>
        <v>261.77999999999997</v>
      </c>
      <c r="AE20" s="118">
        <v>0.94</v>
      </c>
      <c r="AF20" s="117">
        <f t="shared" si="12"/>
        <v>14.23</v>
      </c>
      <c r="AG20" s="122"/>
      <c r="AH20" s="90">
        <f t="shared" si="2"/>
        <v>264.11999999999995</v>
      </c>
      <c r="AI20" s="90">
        <f t="shared" si="6"/>
        <v>269.02999999999997</v>
      </c>
      <c r="AJ20" s="90" t="str">
        <f t="shared" si="3"/>
        <v>NAOI</v>
      </c>
      <c r="AK20" s="97">
        <f t="shared" si="15"/>
        <v>264.11999999999995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15.31</v>
      </c>
      <c r="B21" s="99">
        <f t="shared" si="1"/>
        <v>261.79999999999995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2.3199999999999998</v>
      </c>
      <c r="AB21" s="115"/>
      <c r="AC21" s="116" t="str">
        <f t="shared" si="11"/>
        <v/>
      </c>
      <c r="AD21" s="117">
        <f t="shared" si="13"/>
        <v>261.79999999999995</v>
      </c>
      <c r="AE21" s="118">
        <v>1.08</v>
      </c>
      <c r="AF21" s="117">
        <f t="shared" si="12"/>
        <v>15.31</v>
      </c>
      <c r="AG21" s="122"/>
      <c r="AH21" s="90">
        <f t="shared" si="2"/>
        <v>264.11999999999995</v>
      </c>
      <c r="AI21" s="90">
        <f t="shared" si="6"/>
        <v>269.02999999999997</v>
      </c>
      <c r="AJ21" s="90" t="str">
        <f t="shared" si="3"/>
        <v>NAOI</v>
      </c>
      <c r="AK21" s="97">
        <f t="shared" si="15"/>
        <v>264.11999999999995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16.32</v>
      </c>
      <c r="B22" s="99">
        <f t="shared" si="1"/>
        <v>261.71999999999997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2.4</v>
      </c>
      <c r="AB22" s="115"/>
      <c r="AC22" s="116" t="str">
        <f t="shared" si="11"/>
        <v/>
      </c>
      <c r="AD22" s="117">
        <f t="shared" si="13"/>
        <v>261.71999999999997</v>
      </c>
      <c r="AE22" s="118">
        <v>1.01</v>
      </c>
      <c r="AF22" s="117">
        <f t="shared" si="12"/>
        <v>16.32</v>
      </c>
      <c r="AG22" s="122"/>
      <c r="AH22" s="90">
        <f t="shared" si="2"/>
        <v>264.11999999999995</v>
      </c>
      <c r="AI22" s="90">
        <f t="shared" si="6"/>
        <v>269.02999999999997</v>
      </c>
      <c r="AJ22" s="90" t="str">
        <f t="shared" si="3"/>
        <v>NAOI</v>
      </c>
      <c r="AK22" s="97">
        <f t="shared" si="15"/>
        <v>264.11999999999995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17.399999999999999</v>
      </c>
      <c r="B23" s="99">
        <f t="shared" si="1"/>
        <v>261.63999999999993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2.48</v>
      </c>
      <c r="AB23" s="115"/>
      <c r="AC23" s="116" t="str">
        <f t="shared" si="11"/>
        <v/>
      </c>
      <c r="AD23" s="117">
        <f t="shared" si="13"/>
        <v>261.63999999999993</v>
      </c>
      <c r="AE23" s="118">
        <v>1.08</v>
      </c>
      <c r="AF23" s="117">
        <f t="shared" si="12"/>
        <v>17.399999999999999</v>
      </c>
      <c r="AG23" s="122"/>
      <c r="AH23" s="90">
        <f t="shared" si="2"/>
        <v>264.11999999999995</v>
      </c>
      <c r="AI23" s="90">
        <f t="shared" si="6"/>
        <v>269.02999999999997</v>
      </c>
      <c r="AJ23" s="90" t="str">
        <f t="shared" si="3"/>
        <v>NAOI</v>
      </c>
      <c r="AK23" s="97">
        <f t="shared" si="15"/>
        <v>264.11999999999995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18.439999999999998</v>
      </c>
      <c r="B24" s="99">
        <f t="shared" si="1"/>
        <v>261.76999999999992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2.35</v>
      </c>
      <c r="AB24" s="115"/>
      <c r="AC24" s="116" t="str">
        <f t="shared" si="11"/>
        <v/>
      </c>
      <c r="AD24" s="117">
        <f t="shared" si="13"/>
        <v>261.76999999999992</v>
      </c>
      <c r="AE24" s="118">
        <v>1.04</v>
      </c>
      <c r="AF24" s="117">
        <f t="shared" si="12"/>
        <v>18.439999999999998</v>
      </c>
      <c r="AG24" s="122"/>
      <c r="AH24" s="90">
        <f t="shared" si="2"/>
        <v>264.11999999999995</v>
      </c>
      <c r="AI24" s="90">
        <f t="shared" si="6"/>
        <v>269.02999999999997</v>
      </c>
      <c r="AJ24" s="90" t="str">
        <f t="shared" si="3"/>
        <v>NAOI</v>
      </c>
      <c r="AK24" s="97">
        <f t="shared" si="15"/>
        <v>264.11999999999995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19.319999999999997</v>
      </c>
      <c r="B25" s="99">
        <f t="shared" si="1"/>
        <v>261.87999999999994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2.2400000000000002</v>
      </c>
      <c r="AB25" s="115"/>
      <c r="AC25" s="116" t="str">
        <f t="shared" si="11"/>
        <v/>
      </c>
      <c r="AD25" s="117">
        <f t="shared" si="13"/>
        <v>261.87999999999994</v>
      </c>
      <c r="AE25" s="118">
        <v>0.88</v>
      </c>
      <c r="AF25" s="117">
        <f t="shared" si="12"/>
        <v>19.319999999999997</v>
      </c>
      <c r="AG25" s="122"/>
      <c r="AH25" s="90">
        <f t="shared" si="2"/>
        <v>264.11999999999995</v>
      </c>
      <c r="AI25" s="90">
        <f t="shared" si="6"/>
        <v>269.02999999999997</v>
      </c>
      <c r="AJ25" s="90" t="str">
        <f t="shared" si="3"/>
        <v>NAOI</v>
      </c>
      <c r="AK25" s="97">
        <f t="shared" si="15"/>
        <v>264.11999999999995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21.459999999999997</v>
      </c>
      <c r="B26" s="99">
        <f t="shared" si="1"/>
        <v>261.93999999999994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2.1800000000000002</v>
      </c>
      <c r="AB26" s="115"/>
      <c r="AC26" s="116" t="str">
        <f t="shared" si="11"/>
        <v/>
      </c>
      <c r="AD26" s="117">
        <f t="shared" si="13"/>
        <v>261.93999999999994</v>
      </c>
      <c r="AE26" s="118">
        <v>2.14</v>
      </c>
      <c r="AF26" s="117">
        <f t="shared" si="12"/>
        <v>21.459999999999997</v>
      </c>
      <c r="AG26" s="122"/>
      <c r="AH26" s="90">
        <f t="shared" si="2"/>
        <v>264.11999999999995</v>
      </c>
      <c r="AI26" s="90">
        <f t="shared" si="6"/>
        <v>269.02999999999997</v>
      </c>
      <c r="AJ26" s="90" t="str">
        <f t="shared" si="3"/>
        <v>NAOI</v>
      </c>
      <c r="AK26" s="97">
        <f t="shared" si="15"/>
        <v>264.11999999999995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22.58</v>
      </c>
      <c r="B27" s="99">
        <f t="shared" si="1"/>
        <v>261.96999999999997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2.15</v>
      </c>
      <c r="AB27" s="115"/>
      <c r="AC27" s="116" t="str">
        <f t="shared" si="11"/>
        <v/>
      </c>
      <c r="AD27" s="117">
        <f t="shared" si="13"/>
        <v>261.96999999999997</v>
      </c>
      <c r="AE27" s="118">
        <v>1.1200000000000001</v>
      </c>
      <c r="AF27" s="117">
        <f t="shared" si="12"/>
        <v>22.58</v>
      </c>
      <c r="AG27" s="122"/>
      <c r="AH27" s="90">
        <f t="shared" si="2"/>
        <v>264.11999999999995</v>
      </c>
      <c r="AI27" s="90">
        <f t="shared" si="6"/>
        <v>269.02999999999997</v>
      </c>
      <c r="AJ27" s="90" t="str">
        <f t="shared" si="3"/>
        <v>NAOI</v>
      </c>
      <c r="AK27" s="97">
        <f t="shared" si="15"/>
        <v>264.11999999999995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23.759999999999998</v>
      </c>
      <c r="B28" s="99">
        <f t="shared" si="1"/>
        <v>261.97999999999996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2.14</v>
      </c>
      <c r="AB28" s="115"/>
      <c r="AC28" s="116" t="str">
        <f t="shared" si="11"/>
        <v/>
      </c>
      <c r="AD28" s="117">
        <f t="shared" si="13"/>
        <v>261.97999999999996</v>
      </c>
      <c r="AE28" s="118">
        <v>1.18</v>
      </c>
      <c r="AF28" s="117">
        <f t="shared" si="12"/>
        <v>23.759999999999998</v>
      </c>
      <c r="AG28" s="122"/>
      <c r="AH28" s="90">
        <f t="shared" si="2"/>
        <v>264.11999999999995</v>
      </c>
      <c r="AI28" s="90">
        <f t="shared" si="6"/>
        <v>269.02999999999997</v>
      </c>
      <c r="AJ28" s="90" t="str">
        <f t="shared" si="3"/>
        <v>NAOI</v>
      </c>
      <c r="AK28" s="97">
        <f t="shared" si="15"/>
        <v>264.11999999999995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25.249999999999996</v>
      </c>
      <c r="B29" s="99">
        <f t="shared" si="1"/>
        <v>261.97999999999996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2.14</v>
      </c>
      <c r="AB29" s="115"/>
      <c r="AC29" s="116" t="str">
        <f t="shared" si="11"/>
        <v/>
      </c>
      <c r="AD29" s="117">
        <f t="shared" si="13"/>
        <v>261.97999999999996</v>
      </c>
      <c r="AE29" s="118">
        <v>1.49</v>
      </c>
      <c r="AF29" s="117">
        <f t="shared" si="12"/>
        <v>25.249999999999996</v>
      </c>
      <c r="AG29" s="122"/>
      <c r="AH29" s="90">
        <f t="shared" si="2"/>
        <v>264.11999999999995</v>
      </c>
      <c r="AI29" s="90">
        <f t="shared" si="6"/>
        <v>269.02999999999997</v>
      </c>
      <c r="AJ29" s="90" t="str">
        <f t="shared" si="3"/>
        <v>NAOI</v>
      </c>
      <c r="AK29" s="97">
        <f t="shared" si="15"/>
        <v>264.11999999999995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4"/>
        <v>0</v>
      </c>
    </row>
    <row r="30" spans="1:42" ht="15.75" x14ac:dyDescent="0.25">
      <c r="A30" s="98">
        <f t="shared" si="0"/>
        <v>26.649999999999995</v>
      </c>
      <c r="B30" s="99">
        <f t="shared" si="1"/>
        <v>261.92999999999995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2.19</v>
      </c>
      <c r="AB30" s="115"/>
      <c r="AC30" s="116" t="str">
        <f t="shared" si="11"/>
        <v/>
      </c>
      <c r="AD30" s="117">
        <f t="shared" si="13"/>
        <v>261.92999999999995</v>
      </c>
      <c r="AE30" s="118">
        <v>1.4</v>
      </c>
      <c r="AF30" s="117">
        <f t="shared" si="12"/>
        <v>26.649999999999995</v>
      </c>
      <c r="AG30" s="119"/>
      <c r="AH30" s="90">
        <f t="shared" si="2"/>
        <v>264.11999999999995</v>
      </c>
      <c r="AI30" s="90">
        <f t="shared" si="6"/>
        <v>269.02999999999997</v>
      </c>
      <c r="AJ30" s="90" t="str">
        <f t="shared" si="3"/>
        <v>NAOI</v>
      </c>
      <c r="AK30" s="97">
        <f t="shared" si="15"/>
        <v>264.11999999999995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28.089999999999996</v>
      </c>
      <c r="B31" s="99">
        <f t="shared" si="1"/>
        <v>261.66999999999996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2.4500000000000002</v>
      </c>
      <c r="AB31" s="115"/>
      <c r="AC31" s="116" t="str">
        <f t="shared" si="11"/>
        <v/>
      </c>
      <c r="AD31" s="117">
        <f t="shared" si="13"/>
        <v>261.66999999999996</v>
      </c>
      <c r="AE31" s="118">
        <v>1.44</v>
      </c>
      <c r="AF31" s="117">
        <f t="shared" si="12"/>
        <v>28.089999999999996</v>
      </c>
      <c r="AG31" s="119"/>
      <c r="AH31" s="90">
        <f t="shared" si="2"/>
        <v>264.11999999999995</v>
      </c>
      <c r="AI31" s="90">
        <f t="shared" si="6"/>
        <v>269.02999999999997</v>
      </c>
      <c r="AJ31" s="90" t="str">
        <f t="shared" si="3"/>
        <v>NAOI</v>
      </c>
      <c r="AK31" s="97">
        <f t="shared" si="15"/>
        <v>264.11999999999995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29.189999999999998</v>
      </c>
      <c r="B32" s="99">
        <f t="shared" si="1"/>
        <v>261.56999999999994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2.5499999999999998</v>
      </c>
      <c r="AB32" s="115"/>
      <c r="AC32" s="116" t="str">
        <f t="shared" si="11"/>
        <v/>
      </c>
      <c r="AD32" s="117">
        <f t="shared" si="13"/>
        <v>261.56999999999994</v>
      </c>
      <c r="AE32" s="118">
        <v>1.1000000000000001</v>
      </c>
      <c r="AF32" s="117">
        <f t="shared" si="12"/>
        <v>29.189999999999998</v>
      </c>
      <c r="AG32" s="122"/>
      <c r="AH32" s="90">
        <f t="shared" si="2"/>
        <v>264.11999999999995</v>
      </c>
      <c r="AI32" s="90">
        <f t="shared" si="6"/>
        <v>269.02999999999997</v>
      </c>
      <c r="AJ32" s="90" t="str">
        <f t="shared" si="3"/>
        <v>NAOI</v>
      </c>
      <c r="AK32" s="97">
        <f t="shared" si="15"/>
        <v>264.11999999999995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30.069999999999997</v>
      </c>
      <c r="B33" s="99">
        <f t="shared" si="1"/>
        <v>261.82999999999993</v>
      </c>
      <c r="C33" s="100" t="str">
        <f t="shared" si="5"/>
        <v/>
      </c>
      <c r="D33" s="196"/>
      <c r="X33" s="111"/>
      <c r="Y33" s="112"/>
      <c r="Z33" s="113"/>
      <c r="AA33" s="114">
        <v>2.29</v>
      </c>
      <c r="AB33" s="115"/>
      <c r="AC33" s="116" t="str">
        <f t="shared" si="11"/>
        <v/>
      </c>
      <c r="AD33" s="117">
        <f t="shared" si="13"/>
        <v>261.82999999999993</v>
      </c>
      <c r="AE33" s="118">
        <v>0.88</v>
      </c>
      <c r="AF33" s="117">
        <f t="shared" si="12"/>
        <v>30.069999999999997</v>
      </c>
      <c r="AG33" s="119"/>
      <c r="AH33" s="90">
        <f t="shared" si="2"/>
        <v>264.11999999999995</v>
      </c>
      <c r="AI33" s="90">
        <f t="shared" si="6"/>
        <v>269.02999999999997</v>
      </c>
      <c r="AJ33" s="90" t="str">
        <f t="shared" si="3"/>
        <v>NAOI</v>
      </c>
      <c r="AK33" s="97">
        <f t="shared" si="15"/>
        <v>264.11999999999995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>
        <f t="shared" si="0"/>
        <v>31.129999999999995</v>
      </c>
      <c r="B34" s="99">
        <f t="shared" si="1"/>
        <v>262.50999999999993</v>
      </c>
      <c r="C34" s="100" t="str">
        <f t="shared" si="5"/>
        <v/>
      </c>
      <c r="D34" s="196"/>
      <c r="X34" s="111"/>
      <c r="Y34" s="112"/>
      <c r="Z34" s="113"/>
      <c r="AA34" s="114">
        <v>1.61</v>
      </c>
      <c r="AB34" s="115"/>
      <c r="AC34" s="116" t="str">
        <f t="shared" si="11"/>
        <v/>
      </c>
      <c r="AD34" s="117">
        <f t="shared" si="13"/>
        <v>262.50999999999993</v>
      </c>
      <c r="AE34" s="118">
        <v>1.06</v>
      </c>
      <c r="AF34" s="117">
        <f t="shared" si="12"/>
        <v>31.129999999999995</v>
      </c>
      <c r="AG34" s="119"/>
      <c r="AH34" s="90">
        <f t="shared" si="2"/>
        <v>264.11999999999995</v>
      </c>
      <c r="AI34" s="90">
        <f t="shared" si="6"/>
        <v>269.02999999999997</v>
      </c>
      <c r="AJ34" s="90" t="str">
        <f t="shared" si="3"/>
        <v>NAOI</v>
      </c>
      <c r="AK34" s="97">
        <f t="shared" si="15"/>
        <v>264.11999999999995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31.759999999999994</v>
      </c>
      <c r="B35" s="99">
        <f t="shared" si="1"/>
        <v>262.80999999999995</v>
      </c>
      <c r="C35" s="100" t="str">
        <f t="shared" si="5"/>
        <v/>
      </c>
      <c r="D35" s="196"/>
      <c r="X35" s="111"/>
      <c r="Y35" s="112"/>
      <c r="Z35" s="113"/>
      <c r="AA35" s="114">
        <v>1.31</v>
      </c>
      <c r="AB35" s="115"/>
      <c r="AC35" s="116" t="str">
        <f t="shared" si="11"/>
        <v/>
      </c>
      <c r="AD35" s="117">
        <f t="shared" si="13"/>
        <v>262.80999999999995</v>
      </c>
      <c r="AE35" s="118">
        <v>0.63</v>
      </c>
      <c r="AF35" s="117">
        <f t="shared" si="12"/>
        <v>31.759999999999994</v>
      </c>
      <c r="AG35" s="119"/>
      <c r="AH35" s="90">
        <f t="shared" si="2"/>
        <v>269.02999999999997</v>
      </c>
      <c r="AI35" s="90">
        <f t="shared" si="6"/>
        <v>269.02999999999997</v>
      </c>
      <c r="AJ35" s="90" t="str">
        <f t="shared" si="3"/>
        <v>NAOI</v>
      </c>
      <c r="AK35" s="97">
        <f t="shared" si="15"/>
        <v>264.11999999999995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>
        <v>34.630000000000003</v>
      </c>
      <c r="B36" s="99">
        <v>264.12</v>
      </c>
      <c r="C36" s="100" t="str">
        <f t="shared" si="5"/>
        <v>NAOD</v>
      </c>
      <c r="D36" s="196"/>
      <c r="X36" s="111"/>
      <c r="Y36" s="112"/>
      <c r="Z36" s="113"/>
      <c r="AA36" s="114">
        <v>4.91</v>
      </c>
      <c r="AB36" s="115"/>
      <c r="AC36" s="116"/>
      <c r="AD36" s="117">
        <f t="shared" si="13"/>
        <v>264.11999999999995</v>
      </c>
      <c r="AE36" s="118">
        <v>2.87</v>
      </c>
      <c r="AF36" s="117">
        <f t="shared" si="12"/>
        <v>34.629999999999995</v>
      </c>
      <c r="AG36" s="119" t="s">
        <v>10</v>
      </c>
      <c r="AH36" s="90">
        <f t="shared" si="2"/>
        <v>269.02999999999997</v>
      </c>
      <c r="AI36" s="90">
        <f t="shared" si="6"/>
        <v>269.02999999999997</v>
      </c>
      <c r="AJ36" s="90" t="str">
        <f t="shared" si="3"/>
        <v>NAOD</v>
      </c>
      <c r="AK36" s="97">
        <f t="shared" si="15"/>
        <v>264.11999999999995</v>
      </c>
      <c r="AL36" s="90" t="str">
        <f t="shared" si="7"/>
        <v/>
      </c>
      <c r="AM36" s="97" t="str">
        <f t="shared" si="8"/>
        <v/>
      </c>
      <c r="AN36" s="90">
        <f t="shared" si="9"/>
        <v>264.11999999999995</v>
      </c>
      <c r="AO36" s="90">
        <f t="shared" si="10"/>
        <v>34.629999999999995</v>
      </c>
      <c r="AP36" s="90">
        <f t="shared" si="14"/>
        <v>0</v>
      </c>
    </row>
    <row r="37" spans="1:42" ht="15.75" x14ac:dyDescent="0.25">
      <c r="A37" s="98">
        <v>35.4</v>
      </c>
      <c r="B37" s="99">
        <v>264.38</v>
      </c>
      <c r="C37" s="100" t="str">
        <f t="shared" si="5"/>
        <v/>
      </c>
      <c r="D37" s="196"/>
      <c r="X37" s="111"/>
      <c r="Y37" s="112"/>
      <c r="Z37" s="113"/>
      <c r="AA37" s="114">
        <v>4.6500000000000004</v>
      </c>
      <c r="AB37" s="115"/>
      <c r="AC37" s="116"/>
      <c r="AD37" s="117">
        <f t="shared" si="13"/>
        <v>264.38</v>
      </c>
      <c r="AE37" s="118">
        <v>0.77</v>
      </c>
      <c r="AF37" s="117">
        <f t="shared" si="12"/>
        <v>35.4</v>
      </c>
      <c r="AG37" s="119"/>
      <c r="AH37" s="90">
        <f t="shared" si="2"/>
        <v>269.02999999999997</v>
      </c>
      <c r="AI37" s="90">
        <f t="shared" si="6"/>
        <v>269.02999999999997</v>
      </c>
      <c r="AJ37" s="90" t="str">
        <f t="shared" si="3"/>
        <v>NAOD</v>
      </c>
      <c r="AK37" s="97">
        <f t="shared" si="15"/>
        <v>264.38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>
        <v>35.4</v>
      </c>
      <c r="B38" s="99">
        <v>265.69</v>
      </c>
      <c r="C38" s="100" t="str">
        <f t="shared" si="5"/>
        <v/>
      </c>
      <c r="D38" s="196"/>
      <c r="X38" s="111"/>
      <c r="Y38" s="112"/>
      <c r="Z38" s="113"/>
      <c r="AA38" s="114">
        <v>3.34</v>
      </c>
      <c r="AB38" s="115"/>
      <c r="AC38" s="116"/>
      <c r="AD38" s="117">
        <f t="shared" si="13"/>
        <v>265.69</v>
      </c>
      <c r="AE38" s="118">
        <v>0</v>
      </c>
      <c r="AF38" s="117">
        <f t="shared" si="12"/>
        <v>35.4</v>
      </c>
      <c r="AG38" s="120"/>
      <c r="AH38" s="90">
        <f t="shared" si="2"/>
        <v>269.02999999999997</v>
      </c>
      <c r="AI38" s="90">
        <f t="shared" si="6"/>
        <v>269.02999999999997</v>
      </c>
      <c r="AJ38" s="90" t="str">
        <f t="shared" si="3"/>
        <v>NAOD</v>
      </c>
      <c r="AK38" s="97">
        <f t="shared" si="15"/>
        <v>265.69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>
        <v>36.4</v>
      </c>
      <c r="B39" s="99">
        <v>265.7</v>
      </c>
      <c r="C39" s="100" t="str">
        <f t="shared" si="5"/>
        <v/>
      </c>
      <c r="D39" s="196"/>
      <c r="X39" s="111"/>
      <c r="Y39" s="112"/>
      <c r="Z39" s="113"/>
      <c r="AA39" s="114">
        <v>3.33</v>
      </c>
      <c r="AB39" s="115"/>
      <c r="AC39" s="116"/>
      <c r="AD39" s="117">
        <f t="shared" si="13"/>
        <v>265.7</v>
      </c>
      <c r="AE39" s="118">
        <v>1</v>
      </c>
      <c r="AF39" s="117">
        <f t="shared" si="12"/>
        <v>36.4</v>
      </c>
      <c r="AG39" s="119"/>
      <c r="AH39" s="90">
        <f t="shared" si="2"/>
        <v>269.02999999999997</v>
      </c>
      <c r="AI39" s="90">
        <f t="shared" si="6"/>
        <v>269.02999999999997</v>
      </c>
      <c r="AJ39" s="90" t="str">
        <f t="shared" si="3"/>
        <v>NAOD</v>
      </c>
      <c r="AK39" s="97">
        <f t="shared" si="15"/>
        <v>265.7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>
        <v>36.4</v>
      </c>
      <c r="B40" s="99">
        <v>277.42099999999999</v>
      </c>
      <c r="C40" s="170" t="s">
        <v>5</v>
      </c>
      <c r="D40" s="196"/>
      <c r="X40" s="111" t="s">
        <v>51</v>
      </c>
      <c r="Y40" s="112"/>
      <c r="Z40" s="113">
        <v>2.3140000000000001</v>
      </c>
      <c r="AA40" s="114"/>
      <c r="AB40" s="115">
        <v>4.8979999999999997</v>
      </c>
      <c r="AC40" s="116">
        <v>266.44600000000003</v>
      </c>
      <c r="AD40" s="117">
        <f t="shared" si="13"/>
        <v>264.13199999999995</v>
      </c>
      <c r="AE40" s="118">
        <v>0</v>
      </c>
      <c r="AF40" s="117">
        <f t="shared" si="12"/>
        <v>36.4</v>
      </c>
      <c r="AG40" s="120"/>
      <c r="AH40" s="90">
        <f t="shared" si="2"/>
        <v>266.44600000000003</v>
      </c>
      <c r="AI40" s="90">
        <f t="shared" si="6"/>
        <v>266.44600000000003</v>
      </c>
      <c r="AJ40" s="90" t="str">
        <f t="shared" si="3"/>
        <v>NAOD</v>
      </c>
      <c r="AK40" s="97">
        <f t="shared" si="15"/>
        <v>264.13199999999995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/>
      <c r="B41" s="99"/>
      <c r="C41" s="170"/>
      <c r="D41" s="196"/>
      <c r="X41" s="111" t="s">
        <v>76</v>
      </c>
      <c r="Y41" s="112"/>
      <c r="Z41" s="113">
        <v>4.8250000000000002</v>
      </c>
      <c r="AA41" s="114"/>
      <c r="AB41" s="115">
        <v>2.3140000000000001</v>
      </c>
      <c r="AC41" s="116">
        <v>268.95699999999999</v>
      </c>
      <c r="AD41" s="117">
        <f t="shared" si="13"/>
        <v>264.13200000000001</v>
      </c>
      <c r="AE41" s="118">
        <v>0</v>
      </c>
      <c r="AF41" s="117">
        <f t="shared" si="12"/>
        <v>36.4</v>
      </c>
      <c r="AG41" s="120"/>
      <c r="AH41" s="90">
        <f t="shared" si="2"/>
        <v>268.95699999999999</v>
      </c>
      <c r="AI41" s="90">
        <f t="shared" si="6"/>
        <v>268.95699999999999</v>
      </c>
      <c r="AJ41" s="90" t="str">
        <f>IF(AG41="",AJ40,AG41)</f>
        <v>NAOD</v>
      </c>
      <c r="AK41" s="97">
        <f t="shared" si="15"/>
        <v>264.13200000000001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/>
      <c r="B42" s="99"/>
      <c r="C42" s="170"/>
      <c r="D42" s="196"/>
      <c r="X42" s="111" t="s">
        <v>77</v>
      </c>
      <c r="Y42" s="112"/>
      <c r="Z42" s="113">
        <v>1.8220000000000001</v>
      </c>
      <c r="AA42" s="114"/>
      <c r="AB42" s="115">
        <v>0.65800000000000003</v>
      </c>
      <c r="AC42" s="116">
        <v>271.12099999999998</v>
      </c>
      <c r="AD42" s="117">
        <f t="shared" si="13"/>
        <v>268.29899999999998</v>
      </c>
      <c r="AE42" s="118">
        <v>0</v>
      </c>
      <c r="AF42" s="117">
        <f t="shared" si="12"/>
        <v>36.4</v>
      </c>
      <c r="AG42" s="120"/>
      <c r="AH42" s="90">
        <f t="shared" si="2"/>
        <v>271.12099999999998</v>
      </c>
      <c r="AI42" s="90">
        <f t="shared" si="6"/>
        <v>271.12099999999998</v>
      </c>
      <c r="AJ42" s="90" t="str">
        <f>IF(AG42="",AJ41,AG42)</f>
        <v>NAOD</v>
      </c>
      <c r="AK42" s="97">
        <f t="shared" si="15"/>
        <v>268.29899999999998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0</v>
      </c>
    </row>
    <row r="43" spans="1:42" ht="15.75" x14ac:dyDescent="0.25">
      <c r="A43" s="98"/>
      <c r="B43" s="99"/>
      <c r="C43" s="170"/>
      <c r="D43" s="196"/>
      <c r="X43" s="111"/>
      <c r="Y43" s="112"/>
      <c r="Z43" s="113"/>
      <c r="AA43" s="114">
        <v>1E-3</v>
      </c>
      <c r="AB43" s="115"/>
      <c r="AC43" s="116"/>
      <c r="AD43" s="117">
        <f t="shared" si="13"/>
        <v>271.12</v>
      </c>
      <c r="AE43" s="118">
        <v>0</v>
      </c>
      <c r="AF43" s="117">
        <f t="shared" si="12"/>
        <v>36.4</v>
      </c>
      <c r="AG43" s="119" t="s">
        <v>5</v>
      </c>
      <c r="AH43" s="90">
        <f t="shared" si="2"/>
        <v>271.12099999999998</v>
      </c>
      <c r="AI43" s="90">
        <f t="shared" si="6"/>
        <v>271.12099999999998</v>
      </c>
      <c r="AJ43" s="90" t="str">
        <f t="shared" si="3"/>
        <v>PRD</v>
      </c>
      <c r="AK43" s="97">
        <f t="shared" si="15"/>
        <v>271.12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/>
      <c r="B44" s="99"/>
      <c r="C44" s="170"/>
      <c r="D44" s="196"/>
      <c r="X44" s="111"/>
      <c r="Y44" s="112"/>
      <c r="Z44" s="113"/>
      <c r="AA44" s="114">
        <v>0.77300000000000002</v>
      </c>
      <c r="AB44" s="115"/>
      <c r="AC44" s="116"/>
      <c r="AD44" s="117">
        <f t="shared" si="13"/>
        <v>270.34799999999996</v>
      </c>
      <c r="AE44" s="118">
        <v>0</v>
      </c>
      <c r="AF44" s="117">
        <f t="shared" si="12"/>
        <v>36.4</v>
      </c>
      <c r="AG44" s="120" t="s">
        <v>49</v>
      </c>
      <c r="AH44" s="90">
        <f t="shared" si="2"/>
        <v>271.12099999999998</v>
      </c>
      <c r="AI44" s="90">
        <f t="shared" si="6"/>
        <v>271.12099999999998</v>
      </c>
      <c r="AJ44" s="90" t="str">
        <f t="shared" si="3"/>
        <v xml:space="preserve">S/BM </v>
      </c>
      <c r="AK44" s="97">
        <f t="shared" si="15"/>
        <v>270.34799999999996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/>
      <c r="B45" s="99"/>
      <c r="C45" s="170"/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15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/>
      <c r="B46" s="99"/>
      <c r="C46" s="100" t="str">
        <f>IF(AG46="","",AG46)</f>
        <v/>
      </c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15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/>
      <c r="B47" s="99"/>
      <c r="C47" s="100" t="str">
        <f t="shared" ref="C47:C51" si="16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6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7">IF(AJ47="S/BM",1,0)</f>
        <v>0</v>
      </c>
    </row>
    <row r="49" spans="1:42" ht="15.75" x14ac:dyDescent="0.25">
      <c r="A49" s="98"/>
      <c r="B49" s="99"/>
      <c r="C49" s="100" t="str">
        <f t="shared" si="16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7"/>
        <v>0</v>
      </c>
    </row>
    <row r="50" spans="1:42" ht="15.75" x14ac:dyDescent="0.25">
      <c r="A50" s="98"/>
      <c r="B50" s="99"/>
      <c r="C50" s="100" t="str">
        <f t="shared" si="16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7"/>
        <v>0</v>
      </c>
    </row>
    <row r="51" spans="1:42" ht="16.5" thickBot="1" x14ac:dyDescent="0.3">
      <c r="A51" s="126"/>
      <c r="B51" s="127"/>
      <c r="C51" s="100" t="str">
        <f t="shared" si="16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7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</v>
      </c>
      <c r="B53" s="140">
        <f>AL4</f>
        <v>264.11999999999995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34.629999999999995</v>
      </c>
      <c r="B54" s="140">
        <f>AN4</f>
        <v>264.11999999999995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263.726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266.726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268.75599999999997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270.25599999999997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277.39999999999998</v>
      </c>
      <c r="C59" s="152" t="s">
        <v>7</v>
      </c>
      <c r="D59" s="153"/>
    </row>
    <row r="60" spans="1:42" ht="13.5" thickBot="1" x14ac:dyDescent="0.25">
      <c r="A60" s="154">
        <v>36.4</v>
      </c>
      <c r="B60" s="151">
        <v>277.42099999999999</v>
      </c>
      <c r="C60" s="152" t="s">
        <v>7</v>
      </c>
      <c r="D60" s="153"/>
    </row>
    <row r="61" spans="1:42" ht="18" x14ac:dyDescent="0.25">
      <c r="A61" s="155" t="s">
        <v>78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263.726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69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69</v>
      </c>
      <c r="C69" s="181"/>
    </row>
    <row r="70" spans="1:4" ht="14.25" x14ac:dyDescent="0.2">
      <c r="A70" s="161" t="s">
        <v>60</v>
      </c>
      <c r="B70" s="181" t="s">
        <v>69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43300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615" priority="86" stopIfTrue="1">
      <formula>$AP$47=1</formula>
    </cfRule>
  </conditionalFormatting>
  <conditionalFormatting sqref="AC46:AF46">
    <cfRule type="expression" dxfId="614" priority="85" stopIfTrue="1">
      <formula>$AP$46</formula>
    </cfRule>
  </conditionalFormatting>
  <conditionalFormatting sqref="AC50:AF50">
    <cfRule type="expression" dxfId="613" priority="84" stopIfTrue="1">
      <formula>$AP$50=1</formula>
    </cfRule>
  </conditionalFormatting>
  <conditionalFormatting sqref="AC51:AF51">
    <cfRule type="expression" dxfId="612" priority="83" stopIfTrue="1">
      <formula>$AP$51=1</formula>
    </cfRule>
  </conditionalFormatting>
  <conditionalFormatting sqref="AC49:AF49">
    <cfRule type="expression" dxfId="611" priority="82" stopIfTrue="1">
      <formula>$AP$49=1</formula>
    </cfRule>
  </conditionalFormatting>
  <conditionalFormatting sqref="AC48:AF48">
    <cfRule type="expression" dxfId="610" priority="81" stopIfTrue="1">
      <formula>$AP$48=1</formula>
    </cfRule>
  </conditionalFormatting>
  <conditionalFormatting sqref="AC45:AF45">
    <cfRule type="expression" dxfId="609" priority="80" stopIfTrue="1">
      <formula>$AP$45=1</formula>
    </cfRule>
  </conditionalFormatting>
  <conditionalFormatting sqref="AC44 AE44">
    <cfRule type="expression" dxfId="608" priority="79" stopIfTrue="1">
      <formula>$AP$44=1</formula>
    </cfRule>
  </conditionalFormatting>
  <conditionalFormatting sqref="AC43 AE43">
    <cfRule type="expression" dxfId="607" priority="78" stopIfTrue="1">
      <formula>$AP$43=1</formula>
    </cfRule>
  </conditionalFormatting>
  <conditionalFormatting sqref="AC42 AE42">
    <cfRule type="expression" dxfId="606" priority="77" stopIfTrue="1">
      <formula>$AP$42=1</formula>
    </cfRule>
  </conditionalFormatting>
  <conditionalFormatting sqref="AC41 AE41">
    <cfRule type="expression" dxfId="605" priority="76" stopIfTrue="1">
      <formula>$AP$41=1</formula>
    </cfRule>
  </conditionalFormatting>
  <conditionalFormatting sqref="AC40 AE40">
    <cfRule type="expression" dxfId="604" priority="75" stopIfTrue="1">
      <formula>$AP$40=1</formula>
    </cfRule>
  </conditionalFormatting>
  <conditionalFormatting sqref="AC39 AE39">
    <cfRule type="expression" dxfId="603" priority="74" stopIfTrue="1">
      <formula>$AP$39=1</formula>
    </cfRule>
  </conditionalFormatting>
  <conditionalFormatting sqref="AC38 AE38">
    <cfRule type="expression" dxfId="602" priority="73" stopIfTrue="1">
      <formula>$AP$38=1</formula>
    </cfRule>
  </conditionalFormatting>
  <conditionalFormatting sqref="AE37">
    <cfRule type="expression" dxfId="601" priority="72" stopIfTrue="1">
      <formula>$AP$37=1</formula>
    </cfRule>
  </conditionalFormatting>
  <conditionalFormatting sqref="AC36:AC37 AE36">
    <cfRule type="expression" dxfId="600" priority="71" stopIfTrue="1">
      <formula>$AP$36=1</formula>
    </cfRule>
  </conditionalFormatting>
  <conditionalFormatting sqref="AC35:AF35 AD36:AD44 AF36:AF44">
    <cfRule type="expression" dxfId="599" priority="69" stopIfTrue="1">
      <formula>$AP$35=1</formula>
    </cfRule>
    <cfRule type="expression" dxfId="598" priority="70" stopIfTrue="1">
      <formula>$AP$35=1</formula>
    </cfRule>
  </conditionalFormatting>
  <conditionalFormatting sqref="AC34:AF34">
    <cfRule type="expression" dxfId="597" priority="68" stopIfTrue="1">
      <formula>$AP$34=1</formula>
    </cfRule>
  </conditionalFormatting>
  <conditionalFormatting sqref="AC33 AE33:AF33">
    <cfRule type="expression" dxfId="596" priority="67" stopIfTrue="1">
      <formula>$AP$33=1</formula>
    </cfRule>
  </conditionalFormatting>
  <conditionalFormatting sqref="AC32:AF32 AD33">
    <cfRule type="expression" dxfId="595" priority="66" stopIfTrue="1">
      <formula>$AP$32=1</formula>
    </cfRule>
  </conditionalFormatting>
  <conditionalFormatting sqref="AC31:AF31">
    <cfRule type="expression" dxfId="594" priority="65" stopIfTrue="1">
      <formula>$AP$31=1</formula>
    </cfRule>
  </conditionalFormatting>
  <conditionalFormatting sqref="AC30:AF30">
    <cfRule type="expression" dxfId="593" priority="64" stopIfTrue="1">
      <formula>$AP$30</formula>
    </cfRule>
  </conditionalFormatting>
  <conditionalFormatting sqref="AC29:AD29 AF29">
    <cfRule type="expression" dxfId="592" priority="63" stopIfTrue="1">
      <formula>$AP$29=1</formula>
    </cfRule>
  </conditionalFormatting>
  <conditionalFormatting sqref="AC28:AD28 AF28">
    <cfRule type="expression" dxfId="591" priority="62" stopIfTrue="1">
      <formula>$AP$28=1</formula>
    </cfRule>
  </conditionalFormatting>
  <conditionalFormatting sqref="AC27:AD27 AF27">
    <cfRule type="expression" dxfId="590" priority="61" stopIfTrue="1">
      <formula>$AP$27=1</formula>
    </cfRule>
  </conditionalFormatting>
  <conditionalFormatting sqref="AC26:AD26 AF26">
    <cfRule type="expression" dxfId="589" priority="60" stopIfTrue="1">
      <formula>$AP$26=1</formula>
    </cfRule>
  </conditionalFormatting>
  <conditionalFormatting sqref="AC25:AD25 AF25">
    <cfRule type="expression" dxfId="588" priority="59" stopIfTrue="1">
      <formula>$AP$25=1</formula>
    </cfRule>
  </conditionalFormatting>
  <conditionalFormatting sqref="AC24:AD24 AF24">
    <cfRule type="expression" dxfId="587" priority="58" stopIfTrue="1">
      <formula>$AP$24=1</formula>
    </cfRule>
  </conditionalFormatting>
  <conditionalFormatting sqref="AC23:AD23 AF23">
    <cfRule type="expression" dxfId="586" priority="57" stopIfTrue="1">
      <formula>$AP$23=1</formula>
    </cfRule>
  </conditionalFormatting>
  <conditionalFormatting sqref="AC22:AD22 AF22">
    <cfRule type="expression" dxfId="585" priority="56" stopIfTrue="1">
      <formula>$AP$22=1</formula>
    </cfRule>
  </conditionalFormatting>
  <conditionalFormatting sqref="AC21:AD21 AF21">
    <cfRule type="expression" dxfId="584" priority="55" stopIfTrue="1">
      <formula>$AP$21=1</formula>
    </cfRule>
  </conditionalFormatting>
  <conditionalFormatting sqref="AC20:AD20 AF20">
    <cfRule type="expression" dxfId="583" priority="54" stopIfTrue="1">
      <formula>$AP$20=1</formula>
    </cfRule>
  </conditionalFormatting>
  <conditionalFormatting sqref="AC19:AD19 AF19">
    <cfRule type="expression" dxfId="582" priority="53" stopIfTrue="1">
      <formula>$AP$19=1</formula>
    </cfRule>
  </conditionalFormatting>
  <conditionalFormatting sqref="AC18:AD18 AF18">
    <cfRule type="expression" dxfId="581" priority="52" stopIfTrue="1">
      <formula>$AP$18=1</formula>
    </cfRule>
  </conditionalFormatting>
  <conditionalFormatting sqref="AC17:AD17 AF17">
    <cfRule type="expression" dxfId="580" priority="51" stopIfTrue="1">
      <formula>$AP$17=1</formula>
    </cfRule>
  </conditionalFormatting>
  <conditionalFormatting sqref="AC16:AD16 AF16">
    <cfRule type="expression" dxfId="579" priority="50" stopIfTrue="1">
      <formula>$AP$16=1</formula>
    </cfRule>
  </conditionalFormatting>
  <conditionalFormatting sqref="AC15:AD15 AF15">
    <cfRule type="expression" dxfId="578" priority="49" stopIfTrue="1">
      <formula>$AP$15=1</formula>
    </cfRule>
  </conditionalFormatting>
  <conditionalFormatting sqref="AC14:AD14 AF14">
    <cfRule type="expression" dxfId="577" priority="48" stopIfTrue="1">
      <formula>$AP$14=1</formula>
    </cfRule>
  </conditionalFormatting>
  <conditionalFormatting sqref="AC13:AD13 AF13">
    <cfRule type="expression" dxfId="576" priority="47" stopIfTrue="1">
      <formula>$AP$13=1</formula>
    </cfRule>
  </conditionalFormatting>
  <conditionalFormatting sqref="AC12:AF12 AE13:AE30">
    <cfRule type="expression" dxfId="575" priority="46" stopIfTrue="1">
      <formula>$AP$12=1</formula>
    </cfRule>
  </conditionalFormatting>
  <conditionalFormatting sqref="AC11:AF11">
    <cfRule type="expression" dxfId="574" priority="45" stopIfTrue="1">
      <formula>$AP$11=1</formula>
    </cfRule>
  </conditionalFormatting>
  <conditionalFormatting sqref="A51:B51">
    <cfRule type="expression" dxfId="573" priority="44" stopIfTrue="1">
      <formula>$AP$51=1</formula>
    </cfRule>
  </conditionalFormatting>
  <conditionalFormatting sqref="A50:B50">
    <cfRule type="expression" dxfId="572" priority="43" stopIfTrue="1">
      <formula>$AP$50=1</formula>
    </cfRule>
  </conditionalFormatting>
  <conditionalFormatting sqref="A49:B49">
    <cfRule type="expression" dxfId="571" priority="42" stopIfTrue="1">
      <formula>$AP$49=1</formula>
    </cfRule>
  </conditionalFormatting>
  <conditionalFormatting sqref="A48:B48">
    <cfRule type="expression" dxfId="570" priority="41" stopIfTrue="1">
      <formula>$AP$48=1</formula>
    </cfRule>
  </conditionalFormatting>
  <conditionalFormatting sqref="A47:B47">
    <cfRule type="expression" dxfId="569" priority="40" stopIfTrue="1">
      <formula>$AP$47=1</formula>
    </cfRule>
  </conditionalFormatting>
  <conditionalFormatting sqref="A46:B46">
    <cfRule type="expression" dxfId="568" priority="39" stopIfTrue="1">
      <formula>$AP$46=1</formula>
    </cfRule>
  </conditionalFormatting>
  <conditionalFormatting sqref="A40:B45">
    <cfRule type="expression" dxfId="567" priority="33" stopIfTrue="1">
      <formula>$AP$40=1</formula>
    </cfRule>
  </conditionalFormatting>
  <conditionalFormatting sqref="A39:B39">
    <cfRule type="expression" dxfId="566" priority="32" stopIfTrue="1">
      <formula>$AP$39=1</formula>
    </cfRule>
  </conditionalFormatting>
  <conditionalFormatting sqref="A38:B38">
    <cfRule type="expression" dxfId="565" priority="31" stopIfTrue="1">
      <formula>$AP$38=1</formula>
    </cfRule>
  </conditionalFormatting>
  <conditionalFormatting sqref="A37:B37">
    <cfRule type="expression" dxfId="564" priority="30" stopIfTrue="1">
      <formula>$AP$37=1</formula>
    </cfRule>
  </conditionalFormatting>
  <conditionalFormatting sqref="A36:B36">
    <cfRule type="expression" dxfId="563" priority="29" stopIfTrue="1">
      <formula>$AP$36=1</formula>
    </cfRule>
  </conditionalFormatting>
  <conditionalFormatting sqref="A35:B35">
    <cfRule type="expression" dxfId="562" priority="28" stopIfTrue="1">
      <formula>$AP$35=1</formula>
    </cfRule>
  </conditionalFormatting>
  <conditionalFormatting sqref="A34:B34">
    <cfRule type="expression" dxfId="561" priority="27" stopIfTrue="1">
      <formula>$AP$34=1</formula>
    </cfRule>
  </conditionalFormatting>
  <conditionalFormatting sqref="A33:B33">
    <cfRule type="expression" dxfId="560" priority="26" stopIfTrue="1">
      <formula>$AP$33=1</formula>
    </cfRule>
  </conditionalFormatting>
  <conditionalFormatting sqref="A32:B32">
    <cfRule type="expression" dxfId="559" priority="25" stopIfTrue="1">
      <formula>$AP$32=1</formula>
    </cfRule>
  </conditionalFormatting>
  <conditionalFormatting sqref="A31:B31">
    <cfRule type="expression" dxfId="558" priority="24" stopIfTrue="1">
      <formula>$AP$31=1</formula>
    </cfRule>
  </conditionalFormatting>
  <conditionalFormatting sqref="A30:B30">
    <cfRule type="expression" dxfId="557" priority="23" stopIfTrue="1">
      <formula>$AP$30=1</formula>
    </cfRule>
  </conditionalFormatting>
  <conditionalFormatting sqref="A29:B29">
    <cfRule type="expression" dxfId="556" priority="22" stopIfTrue="1">
      <formula>$AP$29=1</formula>
    </cfRule>
  </conditionalFormatting>
  <conditionalFormatting sqref="A28:B28">
    <cfRule type="expression" dxfId="555" priority="21" stopIfTrue="1">
      <formula>$AP$28=1</formula>
    </cfRule>
  </conditionalFormatting>
  <conditionalFormatting sqref="A27:B27">
    <cfRule type="expression" dxfId="554" priority="20" stopIfTrue="1">
      <formula>$AP$27=1</formula>
    </cfRule>
  </conditionalFormatting>
  <conditionalFormatting sqref="A26:B26">
    <cfRule type="expression" dxfId="553" priority="19" stopIfTrue="1">
      <formula>$AP$26=1</formula>
    </cfRule>
  </conditionalFormatting>
  <conditionalFormatting sqref="A25:B25">
    <cfRule type="expression" dxfId="552" priority="18" stopIfTrue="1">
      <formula>$AP$25=1</formula>
    </cfRule>
  </conditionalFormatting>
  <conditionalFormatting sqref="A24:B24">
    <cfRule type="expression" dxfId="551" priority="17" stopIfTrue="1">
      <formula>$AP$24=1</formula>
    </cfRule>
  </conditionalFormatting>
  <conditionalFormatting sqref="A23:B23">
    <cfRule type="expression" dxfId="550" priority="16" stopIfTrue="1">
      <formula>$AP$23=1</formula>
    </cfRule>
  </conditionalFormatting>
  <conditionalFormatting sqref="A22:B22">
    <cfRule type="expression" dxfId="549" priority="15" stopIfTrue="1">
      <formula>$AP$22=1</formula>
    </cfRule>
  </conditionalFormatting>
  <conditionalFormatting sqref="A21:B21">
    <cfRule type="expression" dxfId="548" priority="14" stopIfTrue="1">
      <formula>$AP$21=1</formula>
    </cfRule>
  </conditionalFormatting>
  <conditionalFormatting sqref="A20:B20">
    <cfRule type="expression" dxfId="547" priority="13" stopIfTrue="1">
      <formula>$AP$20=1</formula>
    </cfRule>
  </conditionalFormatting>
  <conditionalFormatting sqref="A19:B19">
    <cfRule type="expression" dxfId="546" priority="12" stopIfTrue="1">
      <formula>$AP$19=1</formula>
    </cfRule>
  </conditionalFormatting>
  <conditionalFormatting sqref="A18:B18">
    <cfRule type="expression" dxfId="545" priority="11" stopIfTrue="1">
      <formula>$AP$18=1</formula>
    </cfRule>
  </conditionalFormatting>
  <conditionalFormatting sqref="A17:B17">
    <cfRule type="expression" dxfId="544" priority="10" stopIfTrue="1">
      <formula>$AP$17=1</formula>
    </cfRule>
  </conditionalFormatting>
  <conditionalFormatting sqref="A16:B16">
    <cfRule type="expression" dxfId="543" priority="9" stopIfTrue="1">
      <formula>$AP$16=1</formula>
    </cfRule>
  </conditionalFormatting>
  <conditionalFormatting sqref="A15:B15">
    <cfRule type="expression" dxfId="542" priority="8" stopIfTrue="1">
      <formula>$AP$15=1</formula>
    </cfRule>
  </conditionalFormatting>
  <conditionalFormatting sqref="A14:B14">
    <cfRule type="expression" dxfId="541" priority="7" stopIfTrue="1">
      <formula>$AP$14=1</formula>
    </cfRule>
  </conditionalFormatting>
  <conditionalFormatting sqref="A13:B13">
    <cfRule type="expression" dxfId="540" priority="6" stopIfTrue="1">
      <formula>$AP$13=1</formula>
    </cfRule>
  </conditionalFormatting>
  <conditionalFormatting sqref="A12:B12">
    <cfRule type="expression" dxfId="539" priority="5" stopIfTrue="1">
      <formula>$AP$12=1</formula>
    </cfRule>
  </conditionalFormatting>
  <conditionalFormatting sqref="A11:B11">
    <cfRule type="expression" dxfId="538" priority="4" stopIfTrue="1">
      <formula>$AP$11=1</formula>
    </cfRule>
  </conditionalFormatting>
  <conditionalFormatting sqref="A10:B10">
    <cfRule type="expression" dxfId="537" priority="3" stopIfTrue="1">
      <formula>$AP$10=1</formula>
    </cfRule>
  </conditionalFormatting>
  <conditionalFormatting sqref="AC10:AD10">
    <cfRule type="expression" dxfId="536" priority="2" stopIfTrue="1">
      <formula>$AP$11=1</formula>
    </cfRule>
  </conditionalFormatting>
  <conditionalFormatting sqref="AE31">
    <cfRule type="expression" dxfId="535" priority="1" stopIfTrue="1">
      <formula>$AP$30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AP75"/>
  <sheetViews>
    <sheetView zoomScale="70" zoomScaleNormal="70" workbookViewId="0">
      <selection activeCell="X37" sqref="X37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203" t="s">
        <v>84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263.28800000000001</v>
      </c>
      <c r="AM4" s="97">
        <f>SUM(AM5:AM46)</f>
        <v>4.5</v>
      </c>
      <c r="AN4" s="97">
        <f>SUM(AN5:AN46)</f>
        <v>263.28800000000001</v>
      </c>
      <c r="AO4" s="97">
        <f>SUM(AO5:AO46)</f>
        <v>31</v>
      </c>
      <c r="AP4" s="90"/>
    </row>
    <row r="5" spans="1:42" ht="15.75" x14ac:dyDescent="0.25">
      <c r="A5" s="98">
        <f t="shared" ref="A5:A36" si="0">AF5</f>
        <v>0</v>
      </c>
      <c r="B5" s="99">
        <f t="shared" ref="B5:B36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0.81499999999999995</v>
      </c>
      <c r="AA5" s="104"/>
      <c r="AB5" s="105"/>
      <c r="AC5" s="106">
        <f>IF(AA5="",AD5+Z5,"")</f>
        <v>270.16500000000002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270.16500000000002</v>
      </c>
      <c r="AI5" s="90">
        <f>IF(AA5="",AC5,AI4)</f>
        <v>270.16500000000002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269.30100000000004</v>
      </c>
      <c r="C6" s="100" t="str">
        <f t="shared" ref="C6:C36" si="5">IF(AG6="","",AG6)</f>
        <v>PRI</v>
      </c>
      <c r="D6" s="196"/>
      <c r="X6" s="111"/>
      <c r="Y6" s="112"/>
      <c r="Z6" s="113"/>
      <c r="AA6" s="114">
        <v>0.86399999999999999</v>
      </c>
      <c r="AB6" s="115"/>
      <c r="AC6" s="116" t="str">
        <f>IF(AA6="",AD6+Z6,"")</f>
        <v/>
      </c>
      <c r="AD6" s="117">
        <f>IF(AA6="",AH5-AB6,AH5-AA6)</f>
        <v>269.30100000000004</v>
      </c>
      <c r="AE6" s="118">
        <v>0</v>
      </c>
      <c r="AF6" s="117">
        <f>AE6</f>
        <v>0</v>
      </c>
      <c r="AG6" s="119" t="s">
        <v>4</v>
      </c>
      <c r="AH6" s="90">
        <f t="shared" si="2"/>
        <v>270.16500000000002</v>
      </c>
      <c r="AI6" s="90">
        <f t="shared" ref="AI6:AI46" si="6">IF(AA6="",AC6,AI5)</f>
        <v>270.16500000000002</v>
      </c>
      <c r="AJ6" s="90" t="str">
        <f t="shared" si="3"/>
        <v>PRI</v>
      </c>
      <c r="AK6" s="97">
        <f t="shared" si="4"/>
        <v>269.30100000000004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3.5</v>
      </c>
      <c r="B7" s="99">
        <f t="shared" si="1"/>
        <v>269.26000000000005</v>
      </c>
      <c r="C7" s="100" t="str">
        <f t="shared" si="5"/>
        <v/>
      </c>
      <c r="D7" s="196"/>
      <c r="X7" s="111"/>
      <c r="Y7" s="112"/>
      <c r="Z7" s="113"/>
      <c r="AA7" s="114">
        <v>0.90500000000000003</v>
      </c>
      <c r="AB7" s="115"/>
      <c r="AC7" s="116" t="str">
        <f t="shared" ref="AC7:AC9" si="11">IF(AA7="",AD7+Z7,"")</f>
        <v/>
      </c>
      <c r="AD7" s="117">
        <f>IF(AA7="",AH6-AB7,AH6-AA7)</f>
        <v>269.26000000000005</v>
      </c>
      <c r="AE7" s="118">
        <v>3.5</v>
      </c>
      <c r="AF7" s="117">
        <f t="shared" ref="AF7:AF12" si="12">+AF6+AE7</f>
        <v>3.5</v>
      </c>
      <c r="AG7" s="120"/>
      <c r="AH7" s="90">
        <f t="shared" si="2"/>
        <v>270.16500000000002</v>
      </c>
      <c r="AI7" s="90">
        <f t="shared" si="6"/>
        <v>270.16500000000002</v>
      </c>
      <c r="AJ7" s="90" t="str">
        <f t="shared" si="3"/>
        <v>PRI</v>
      </c>
      <c r="AK7" s="97">
        <f t="shared" si="4"/>
        <v>269.26000000000005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3.5</v>
      </c>
      <c r="B8" s="99">
        <f t="shared" si="1"/>
        <v>268.26100000000002</v>
      </c>
      <c r="C8" s="100" t="str">
        <f t="shared" si="5"/>
        <v/>
      </c>
      <c r="D8" s="196"/>
      <c r="X8" s="111"/>
      <c r="Y8" s="112"/>
      <c r="Z8" s="113"/>
      <c r="AA8" s="114">
        <v>1.9039999999999999</v>
      </c>
      <c r="AB8" s="115"/>
      <c r="AC8" s="116" t="str">
        <f t="shared" si="11"/>
        <v/>
      </c>
      <c r="AD8" s="117">
        <f>IF(AA8="",AH7-AB8,AH7-AA8)</f>
        <v>268.26100000000002</v>
      </c>
      <c r="AE8" s="118">
        <v>0</v>
      </c>
      <c r="AF8" s="117">
        <f t="shared" si="12"/>
        <v>3.5</v>
      </c>
      <c r="AG8" s="120"/>
      <c r="AH8" s="90">
        <f t="shared" si="2"/>
        <v>270.16500000000002</v>
      </c>
      <c r="AI8" s="90">
        <f t="shared" si="6"/>
        <v>270.16500000000002</v>
      </c>
      <c r="AJ8" s="90" t="str">
        <f t="shared" si="3"/>
        <v>PRI</v>
      </c>
      <c r="AK8" s="97">
        <f t="shared" si="4"/>
        <v>268.26100000000002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4</v>
      </c>
      <c r="B9" s="99">
        <f t="shared" si="1"/>
        <v>268.36200000000002</v>
      </c>
      <c r="C9" s="100" t="str">
        <f t="shared" si="5"/>
        <v/>
      </c>
      <c r="D9" s="196"/>
      <c r="X9" s="111"/>
      <c r="Y9" s="112"/>
      <c r="Z9" s="113"/>
      <c r="AA9" s="114">
        <v>1.8029999999999999</v>
      </c>
      <c r="AB9" s="115"/>
      <c r="AC9" s="116" t="str">
        <f t="shared" si="11"/>
        <v/>
      </c>
      <c r="AD9" s="117">
        <f>IF(AA9="",AH8-AB9,AH8-AA9)</f>
        <v>268.36200000000002</v>
      </c>
      <c r="AE9" s="118">
        <v>0.5</v>
      </c>
      <c r="AF9" s="117">
        <f t="shared" si="12"/>
        <v>4</v>
      </c>
      <c r="AG9" s="119"/>
      <c r="AH9" s="90">
        <f t="shared" si="2"/>
        <v>270.16500000000002</v>
      </c>
      <c r="AI9" s="90">
        <f t="shared" si="6"/>
        <v>270.16500000000002</v>
      </c>
      <c r="AJ9" s="90" t="str">
        <f t="shared" si="3"/>
        <v>PRI</v>
      </c>
      <c r="AK9" s="97">
        <f t="shared" si="4"/>
        <v>268.36200000000002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4</v>
      </c>
      <c r="B10" s="99">
        <f t="shared" si="1"/>
        <v>265.685</v>
      </c>
      <c r="C10" s="100" t="str">
        <f t="shared" si="5"/>
        <v/>
      </c>
      <c r="D10" s="196"/>
      <c r="E10" s="88">
        <f>(B12+B35)/2</f>
        <v>263.48450000000003</v>
      </c>
      <c r="X10" s="111" t="s">
        <v>50</v>
      </c>
      <c r="Y10" s="112"/>
      <c r="Z10" s="113">
        <v>0.998</v>
      </c>
      <c r="AA10" s="114"/>
      <c r="AB10" s="115">
        <v>4.4800000000000004</v>
      </c>
      <c r="AC10" s="116">
        <f t="shared" ref="AC10:AC12" si="13">IF(AA10="",AD10+Z10,"")</f>
        <v>266.68299999999999</v>
      </c>
      <c r="AD10" s="117">
        <f t="shared" ref="AD10" si="14">IF(AJ9="S/BM",AD9,IF(AA10="",AH9-AB10,AH9-AA10))</f>
        <v>265.685</v>
      </c>
      <c r="AE10" s="118">
        <v>0</v>
      </c>
      <c r="AF10" s="117">
        <f t="shared" ref="AF10" si="15">+AF9+AE10</f>
        <v>4</v>
      </c>
      <c r="AG10" s="120"/>
      <c r="AH10" s="90">
        <f t="shared" si="2"/>
        <v>266.68299999999999</v>
      </c>
      <c r="AI10" s="90">
        <f t="shared" si="6"/>
        <v>266.68299999999999</v>
      </c>
      <c r="AJ10" s="90" t="str">
        <f t="shared" si="3"/>
        <v>PRI</v>
      </c>
      <c r="AK10" s="97">
        <f t="shared" si="4"/>
        <v>265.685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4.5</v>
      </c>
      <c r="B11" s="99">
        <f t="shared" si="1"/>
        <v>263.28800000000001</v>
      </c>
      <c r="C11" s="100" t="str">
        <f t="shared" si="5"/>
        <v>NAOI</v>
      </c>
      <c r="D11" s="196"/>
      <c r="E11" s="121">
        <v>0.33</v>
      </c>
      <c r="X11" s="111"/>
      <c r="Y11" s="112"/>
      <c r="Z11" s="113"/>
      <c r="AA11" s="114">
        <v>3.395</v>
      </c>
      <c r="AB11" s="115"/>
      <c r="AC11" s="116" t="str">
        <f t="shared" si="13"/>
        <v/>
      </c>
      <c r="AD11" s="117">
        <f t="shared" ref="AD11:AD12" si="16">IF(AJ10="S/BM",AD10,IF(AA11="",AH10-AB11,AH10-AA11))</f>
        <v>263.28800000000001</v>
      </c>
      <c r="AE11" s="118">
        <v>0.5</v>
      </c>
      <c r="AF11" s="117">
        <f t="shared" si="12"/>
        <v>4.5</v>
      </c>
      <c r="AG11" s="119" t="s">
        <v>9</v>
      </c>
      <c r="AH11" s="90">
        <f t="shared" si="2"/>
        <v>263.28800000000001</v>
      </c>
      <c r="AI11" s="90">
        <f t="shared" si="6"/>
        <v>266.68299999999999</v>
      </c>
      <c r="AJ11" s="90" t="str">
        <f t="shared" si="3"/>
        <v>NAOI</v>
      </c>
      <c r="AK11" s="97">
        <f t="shared" si="4"/>
        <v>263.28800000000001</v>
      </c>
      <c r="AL11" s="90">
        <f t="shared" si="7"/>
        <v>263.28800000000001</v>
      </c>
      <c r="AM11" s="97">
        <f t="shared" si="8"/>
        <v>4.5</v>
      </c>
      <c r="AN11" s="90" t="str">
        <f t="shared" si="9"/>
        <v/>
      </c>
      <c r="AO11" s="90" t="str">
        <f t="shared" si="10"/>
        <v/>
      </c>
      <c r="AP11" s="90">
        <f t="shared" ref="AP11:AP46" si="17">IF(AJ10="S/BM",1,0)</f>
        <v>0</v>
      </c>
    </row>
    <row r="12" spans="1:42" s="121" customFormat="1" ht="15.75" x14ac:dyDescent="0.25">
      <c r="A12" s="98">
        <f t="shared" si="0"/>
        <v>4.5</v>
      </c>
      <c r="B12" s="99">
        <f t="shared" si="1"/>
        <v>261.488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1.8</v>
      </c>
      <c r="AB12" s="115"/>
      <c r="AC12" s="116" t="str">
        <f t="shared" si="13"/>
        <v/>
      </c>
      <c r="AD12" s="117">
        <f t="shared" si="16"/>
        <v>261.488</v>
      </c>
      <c r="AE12" s="118">
        <v>0</v>
      </c>
      <c r="AF12" s="117">
        <f t="shared" si="12"/>
        <v>4.5</v>
      </c>
      <c r="AG12" s="119"/>
      <c r="AH12" s="90">
        <f t="shared" si="2"/>
        <v>263.28800000000001</v>
      </c>
      <c r="AI12" s="90">
        <f t="shared" si="6"/>
        <v>266.68299999999999</v>
      </c>
      <c r="AJ12" s="90" t="str">
        <f t="shared" si="3"/>
        <v>NAOI</v>
      </c>
      <c r="AK12" s="97">
        <f t="shared" si="4"/>
        <v>263.28800000000001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7"/>
        <v>0</v>
      </c>
    </row>
    <row r="13" spans="1:42" s="121" customFormat="1" ht="15.75" x14ac:dyDescent="0.25">
      <c r="A13" s="98">
        <f t="shared" si="0"/>
        <v>6</v>
      </c>
      <c r="B13" s="99">
        <f t="shared" si="1"/>
        <v>260.88800000000003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2.4</v>
      </c>
      <c r="AB13" s="115"/>
      <c r="AC13" s="116" t="str">
        <f t="shared" ref="AC13:AC37" si="18">IF(AA13="",AD13+Z13,"")</f>
        <v/>
      </c>
      <c r="AD13" s="117">
        <f t="shared" ref="AD13" si="19">IF(AJ12="S/BM",AD12,IF(AA13="",AH12-AB13,AH12-AA13))</f>
        <v>260.88800000000003</v>
      </c>
      <c r="AE13" s="118">
        <v>1.5</v>
      </c>
      <c r="AF13" s="117">
        <f t="shared" ref="AF13:AF37" si="20">+AF12+AE13</f>
        <v>6</v>
      </c>
      <c r="AG13" s="119"/>
      <c r="AH13" s="90">
        <f t="shared" si="2"/>
        <v>263.28800000000001</v>
      </c>
      <c r="AI13" s="90">
        <f t="shared" si="6"/>
        <v>266.68299999999999</v>
      </c>
      <c r="AJ13" s="90" t="str">
        <f t="shared" si="3"/>
        <v>NAOI</v>
      </c>
      <c r="AK13" s="97">
        <f t="shared" si="4"/>
        <v>263.28800000000001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7"/>
        <v>0</v>
      </c>
    </row>
    <row r="14" spans="1:42" s="121" customFormat="1" ht="15.75" x14ac:dyDescent="0.25">
      <c r="A14" s="98">
        <f t="shared" si="0"/>
        <v>7</v>
      </c>
      <c r="B14" s="99">
        <f t="shared" si="1"/>
        <v>260.58800000000002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2.7</v>
      </c>
      <c r="AB14" s="115"/>
      <c r="AC14" s="116" t="str">
        <f t="shared" si="18"/>
        <v/>
      </c>
      <c r="AD14" s="117">
        <f>IF(AJ13="S/BM",AD13,IF(AA14="",AH13-AB14,AH13-AA14))</f>
        <v>260.58800000000002</v>
      </c>
      <c r="AE14" s="118">
        <v>1</v>
      </c>
      <c r="AF14" s="117">
        <f t="shared" si="20"/>
        <v>7</v>
      </c>
      <c r="AG14" s="120"/>
      <c r="AH14" s="90">
        <f t="shared" si="2"/>
        <v>263.28800000000001</v>
      </c>
      <c r="AI14" s="90">
        <f t="shared" si="6"/>
        <v>266.68299999999999</v>
      </c>
      <c r="AJ14" s="90" t="str">
        <f t="shared" si="3"/>
        <v>NAOI</v>
      </c>
      <c r="AK14" s="97">
        <f>IF(AND(AJ14="NAOI",AJ13="NAOI"),AK13,AD14)</f>
        <v>263.28800000000001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7"/>
        <v>0</v>
      </c>
    </row>
    <row r="15" spans="1:42" s="121" customFormat="1" ht="15.75" x14ac:dyDescent="0.25">
      <c r="A15" s="98">
        <f t="shared" si="0"/>
        <v>8</v>
      </c>
      <c r="B15" s="99">
        <f t="shared" si="1"/>
        <v>260.76800000000003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2.52</v>
      </c>
      <c r="AB15" s="115"/>
      <c r="AC15" s="116" t="str">
        <f t="shared" si="18"/>
        <v/>
      </c>
      <c r="AD15" s="117">
        <f t="shared" ref="AD15:AD16" si="21">IF(AJ14="S/BM",AD14,IF(AA15="",AH14-AB15,AH14-AA15))</f>
        <v>260.76800000000003</v>
      </c>
      <c r="AE15" s="118">
        <v>1</v>
      </c>
      <c r="AF15" s="117">
        <f t="shared" si="20"/>
        <v>8</v>
      </c>
      <c r="AG15" s="120"/>
      <c r="AH15" s="90">
        <f t="shared" si="2"/>
        <v>263.28800000000001</v>
      </c>
      <c r="AI15" s="90">
        <f t="shared" si="6"/>
        <v>266.68299999999999</v>
      </c>
      <c r="AJ15" s="90" t="str">
        <f t="shared" si="3"/>
        <v>NAOI</v>
      </c>
      <c r="AK15" s="97">
        <f>IF(AND(AJ15="NAOI",AJ14="NAOI"),AK14,AD15)</f>
        <v>263.28800000000001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7"/>
        <v>0</v>
      </c>
    </row>
    <row r="16" spans="1:42" s="121" customFormat="1" ht="15.75" x14ac:dyDescent="0.25">
      <c r="A16" s="98">
        <f t="shared" si="0"/>
        <v>9</v>
      </c>
      <c r="B16" s="99">
        <f t="shared" si="1"/>
        <v>260.738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2.5499999999999998</v>
      </c>
      <c r="AB16" s="115"/>
      <c r="AC16" s="116" t="str">
        <f t="shared" si="18"/>
        <v/>
      </c>
      <c r="AD16" s="117">
        <f t="shared" si="21"/>
        <v>260.738</v>
      </c>
      <c r="AE16" s="118">
        <v>1</v>
      </c>
      <c r="AF16" s="117">
        <f t="shared" si="20"/>
        <v>9</v>
      </c>
      <c r="AG16" s="119"/>
      <c r="AH16" s="90">
        <f t="shared" si="2"/>
        <v>263.28800000000001</v>
      </c>
      <c r="AI16" s="90">
        <f t="shared" si="6"/>
        <v>266.68299999999999</v>
      </c>
      <c r="AJ16" s="90" t="str">
        <f t="shared" si="3"/>
        <v>NAOI</v>
      </c>
      <c r="AK16" s="97">
        <f>IF(AND(AJ16="NAOI",AJ15="NAOI"),AK15,AD16)</f>
        <v>263.28800000000001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7"/>
        <v>0</v>
      </c>
    </row>
    <row r="17" spans="1:42" s="121" customFormat="1" ht="15.75" x14ac:dyDescent="0.25">
      <c r="A17" s="98">
        <f t="shared" si="0"/>
        <v>10</v>
      </c>
      <c r="B17" s="99">
        <f t="shared" si="1"/>
        <v>260.91800000000001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2.37</v>
      </c>
      <c r="AB17" s="115"/>
      <c r="AC17" s="116" t="str">
        <f t="shared" si="18"/>
        <v/>
      </c>
      <c r="AD17" s="117">
        <f>IF(AJ16="S/BM",AD16,IF(AA17="",AH16-AB17,AH16-AA17))</f>
        <v>260.91800000000001</v>
      </c>
      <c r="AE17" s="118">
        <v>1</v>
      </c>
      <c r="AF17" s="117">
        <f t="shared" si="20"/>
        <v>10</v>
      </c>
      <c r="AG17" s="122"/>
      <c r="AH17" s="90">
        <f t="shared" si="2"/>
        <v>263.28800000000001</v>
      </c>
      <c r="AI17" s="90">
        <f t="shared" si="6"/>
        <v>266.68299999999999</v>
      </c>
      <c r="AJ17" s="90" t="str">
        <f t="shared" si="3"/>
        <v>NAOI</v>
      </c>
      <c r="AK17" s="97">
        <f t="shared" ref="AK17:AK46" si="22">IF(AND(AJ17="NAOI",AJ16="NAOI"),AK16,AD17)</f>
        <v>263.28800000000001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7"/>
        <v>0</v>
      </c>
    </row>
    <row r="18" spans="1:42" s="121" customFormat="1" ht="15.75" x14ac:dyDescent="0.25">
      <c r="A18" s="98">
        <f t="shared" si="0"/>
        <v>11</v>
      </c>
      <c r="B18" s="99">
        <f t="shared" si="1"/>
        <v>261.07800000000003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2.21</v>
      </c>
      <c r="AB18" s="115"/>
      <c r="AC18" s="116" t="str">
        <f t="shared" si="18"/>
        <v/>
      </c>
      <c r="AD18" s="117">
        <f t="shared" ref="AD18:AD37" si="23">IF(AJ17="S/BM",AD17,IF(AA18="",AH17-AB18,AH17-AA18))</f>
        <v>261.07800000000003</v>
      </c>
      <c r="AE18" s="118">
        <v>1</v>
      </c>
      <c r="AF18" s="117">
        <f t="shared" si="20"/>
        <v>11</v>
      </c>
      <c r="AG18" s="122"/>
      <c r="AH18" s="90">
        <f t="shared" si="2"/>
        <v>263.28800000000001</v>
      </c>
      <c r="AI18" s="90">
        <f t="shared" si="6"/>
        <v>266.68299999999999</v>
      </c>
      <c r="AJ18" s="90" t="str">
        <f t="shared" si="3"/>
        <v>NAOI</v>
      </c>
      <c r="AK18" s="97">
        <f t="shared" si="22"/>
        <v>263.28800000000001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7"/>
        <v>0</v>
      </c>
    </row>
    <row r="19" spans="1:42" s="121" customFormat="1" ht="15.75" x14ac:dyDescent="0.25">
      <c r="A19" s="98">
        <f t="shared" si="0"/>
        <v>12</v>
      </c>
      <c r="B19" s="99">
        <f t="shared" si="1"/>
        <v>261.03800000000001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2.25</v>
      </c>
      <c r="AB19" s="115"/>
      <c r="AC19" s="116" t="str">
        <f t="shared" si="18"/>
        <v/>
      </c>
      <c r="AD19" s="117">
        <f t="shared" si="23"/>
        <v>261.03800000000001</v>
      </c>
      <c r="AE19" s="118">
        <v>1</v>
      </c>
      <c r="AF19" s="117">
        <f t="shared" si="20"/>
        <v>12</v>
      </c>
      <c r="AG19" s="122"/>
      <c r="AH19" s="90">
        <f t="shared" si="2"/>
        <v>263.28800000000001</v>
      </c>
      <c r="AI19" s="90">
        <f t="shared" si="6"/>
        <v>266.68299999999999</v>
      </c>
      <c r="AJ19" s="90" t="str">
        <f t="shared" si="3"/>
        <v>NAOI</v>
      </c>
      <c r="AK19" s="97">
        <f t="shared" si="22"/>
        <v>263.28800000000001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7"/>
        <v>0</v>
      </c>
    </row>
    <row r="20" spans="1:42" s="121" customFormat="1" ht="15.75" x14ac:dyDescent="0.25">
      <c r="A20" s="98">
        <f t="shared" si="0"/>
        <v>13</v>
      </c>
      <c r="B20" s="99">
        <f t="shared" si="1"/>
        <v>261.20800000000003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2.08</v>
      </c>
      <c r="AB20" s="115"/>
      <c r="AC20" s="116" t="str">
        <f t="shared" si="18"/>
        <v/>
      </c>
      <c r="AD20" s="117">
        <f t="shared" si="23"/>
        <v>261.20800000000003</v>
      </c>
      <c r="AE20" s="118">
        <v>1</v>
      </c>
      <c r="AF20" s="117">
        <f t="shared" si="20"/>
        <v>13</v>
      </c>
      <c r="AG20" s="122"/>
      <c r="AH20" s="90">
        <f t="shared" si="2"/>
        <v>263.28800000000001</v>
      </c>
      <c r="AI20" s="90">
        <f t="shared" si="6"/>
        <v>266.68299999999999</v>
      </c>
      <c r="AJ20" s="90" t="str">
        <f t="shared" si="3"/>
        <v>NAOI</v>
      </c>
      <c r="AK20" s="97">
        <f t="shared" si="22"/>
        <v>263.28800000000001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7"/>
        <v>0</v>
      </c>
    </row>
    <row r="21" spans="1:42" s="121" customFormat="1" ht="15.75" x14ac:dyDescent="0.25">
      <c r="A21" s="98">
        <f t="shared" si="0"/>
        <v>14</v>
      </c>
      <c r="B21" s="99">
        <f t="shared" si="1"/>
        <v>261.30799999999999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1.98</v>
      </c>
      <c r="AB21" s="115"/>
      <c r="AC21" s="116" t="str">
        <f t="shared" si="18"/>
        <v/>
      </c>
      <c r="AD21" s="117">
        <f t="shared" si="23"/>
        <v>261.30799999999999</v>
      </c>
      <c r="AE21" s="118">
        <v>1</v>
      </c>
      <c r="AF21" s="117">
        <f t="shared" si="20"/>
        <v>14</v>
      </c>
      <c r="AG21" s="122"/>
      <c r="AH21" s="90">
        <f t="shared" si="2"/>
        <v>263.28800000000001</v>
      </c>
      <c r="AI21" s="90">
        <f t="shared" si="6"/>
        <v>266.68299999999999</v>
      </c>
      <c r="AJ21" s="90" t="str">
        <f t="shared" si="3"/>
        <v>NAOI</v>
      </c>
      <c r="AK21" s="97">
        <f t="shared" si="22"/>
        <v>263.28800000000001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7"/>
        <v>0</v>
      </c>
    </row>
    <row r="22" spans="1:42" s="121" customFormat="1" ht="15.75" x14ac:dyDescent="0.25">
      <c r="A22" s="98">
        <f t="shared" si="0"/>
        <v>15.5</v>
      </c>
      <c r="B22" s="99">
        <f t="shared" si="1"/>
        <v>261.428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1.86</v>
      </c>
      <c r="AB22" s="115"/>
      <c r="AC22" s="116" t="str">
        <f t="shared" si="18"/>
        <v/>
      </c>
      <c r="AD22" s="117">
        <f t="shared" si="23"/>
        <v>261.428</v>
      </c>
      <c r="AE22" s="118">
        <v>1.5</v>
      </c>
      <c r="AF22" s="117">
        <f t="shared" si="20"/>
        <v>15.5</v>
      </c>
      <c r="AG22" s="122"/>
      <c r="AH22" s="90">
        <f t="shared" si="2"/>
        <v>263.28800000000001</v>
      </c>
      <c r="AI22" s="90">
        <f t="shared" si="6"/>
        <v>266.68299999999999</v>
      </c>
      <c r="AJ22" s="90" t="str">
        <f t="shared" si="3"/>
        <v>NAOI</v>
      </c>
      <c r="AK22" s="97">
        <f t="shared" si="22"/>
        <v>263.28800000000001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7"/>
        <v>0</v>
      </c>
    </row>
    <row r="23" spans="1:42" s="121" customFormat="1" ht="15.75" x14ac:dyDescent="0.25">
      <c r="A23" s="98">
        <f t="shared" si="0"/>
        <v>17</v>
      </c>
      <c r="B23" s="99">
        <f t="shared" si="1"/>
        <v>261.57800000000003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1.71</v>
      </c>
      <c r="AB23" s="115"/>
      <c r="AC23" s="116" t="str">
        <f t="shared" si="18"/>
        <v/>
      </c>
      <c r="AD23" s="117">
        <f t="shared" si="23"/>
        <v>261.57800000000003</v>
      </c>
      <c r="AE23" s="118">
        <v>1.5</v>
      </c>
      <c r="AF23" s="117">
        <f t="shared" si="20"/>
        <v>17</v>
      </c>
      <c r="AG23" s="122"/>
      <c r="AH23" s="90">
        <f t="shared" si="2"/>
        <v>263.28800000000001</v>
      </c>
      <c r="AI23" s="90">
        <f t="shared" si="6"/>
        <v>266.68299999999999</v>
      </c>
      <c r="AJ23" s="90" t="str">
        <f t="shared" si="3"/>
        <v>NAOI</v>
      </c>
      <c r="AK23" s="97">
        <f t="shared" si="22"/>
        <v>263.28800000000001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7"/>
        <v>0</v>
      </c>
    </row>
    <row r="24" spans="1:42" s="121" customFormat="1" ht="15.75" x14ac:dyDescent="0.25">
      <c r="A24" s="98">
        <f t="shared" si="0"/>
        <v>18.5</v>
      </c>
      <c r="B24" s="99">
        <f t="shared" si="1"/>
        <v>261.72800000000001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1.56</v>
      </c>
      <c r="AB24" s="115"/>
      <c r="AC24" s="116" t="str">
        <f t="shared" si="18"/>
        <v/>
      </c>
      <c r="AD24" s="117">
        <f t="shared" si="23"/>
        <v>261.72800000000001</v>
      </c>
      <c r="AE24" s="118">
        <v>1.5</v>
      </c>
      <c r="AF24" s="117">
        <f t="shared" si="20"/>
        <v>18.5</v>
      </c>
      <c r="AG24" s="122"/>
      <c r="AH24" s="90">
        <f t="shared" si="2"/>
        <v>263.28800000000001</v>
      </c>
      <c r="AI24" s="90">
        <f t="shared" si="6"/>
        <v>266.68299999999999</v>
      </c>
      <c r="AJ24" s="90" t="str">
        <f t="shared" si="3"/>
        <v>NAOI</v>
      </c>
      <c r="AK24" s="97">
        <f t="shared" si="22"/>
        <v>263.28800000000001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7"/>
        <v>0</v>
      </c>
    </row>
    <row r="25" spans="1:42" s="121" customFormat="1" ht="15.75" x14ac:dyDescent="0.25">
      <c r="A25" s="98">
        <f t="shared" si="0"/>
        <v>20</v>
      </c>
      <c r="B25" s="99">
        <f t="shared" si="1"/>
        <v>261.84800000000001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1.44</v>
      </c>
      <c r="AB25" s="115"/>
      <c r="AC25" s="116" t="str">
        <f t="shared" si="18"/>
        <v/>
      </c>
      <c r="AD25" s="117">
        <f t="shared" si="23"/>
        <v>261.84800000000001</v>
      </c>
      <c r="AE25" s="118">
        <v>1.5</v>
      </c>
      <c r="AF25" s="117">
        <f t="shared" si="20"/>
        <v>20</v>
      </c>
      <c r="AG25" s="122"/>
      <c r="AH25" s="90">
        <f t="shared" si="2"/>
        <v>263.28800000000001</v>
      </c>
      <c r="AI25" s="90">
        <f t="shared" si="6"/>
        <v>266.68299999999999</v>
      </c>
      <c r="AJ25" s="90" t="str">
        <f t="shared" si="3"/>
        <v>NAOI</v>
      </c>
      <c r="AK25" s="97">
        <f t="shared" si="22"/>
        <v>263.28800000000001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7"/>
        <v>0</v>
      </c>
    </row>
    <row r="26" spans="1:42" s="121" customFormat="1" ht="15.75" x14ac:dyDescent="0.25">
      <c r="A26" s="98">
        <f t="shared" si="0"/>
        <v>21.5</v>
      </c>
      <c r="B26" s="99">
        <f t="shared" si="1"/>
        <v>261.87799999999999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1.41</v>
      </c>
      <c r="AB26" s="115"/>
      <c r="AC26" s="116" t="str">
        <f t="shared" si="18"/>
        <v/>
      </c>
      <c r="AD26" s="117">
        <f t="shared" si="23"/>
        <v>261.87799999999999</v>
      </c>
      <c r="AE26" s="118">
        <v>1.5</v>
      </c>
      <c r="AF26" s="117">
        <f t="shared" si="20"/>
        <v>21.5</v>
      </c>
      <c r="AG26" s="122"/>
      <c r="AH26" s="90">
        <f t="shared" si="2"/>
        <v>263.28800000000001</v>
      </c>
      <c r="AI26" s="90">
        <f t="shared" si="6"/>
        <v>266.68299999999999</v>
      </c>
      <c r="AJ26" s="90" t="str">
        <f t="shared" si="3"/>
        <v>NAOI</v>
      </c>
      <c r="AK26" s="97">
        <f t="shared" si="22"/>
        <v>263.28800000000001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7"/>
        <v>0</v>
      </c>
    </row>
    <row r="27" spans="1:42" ht="15.75" x14ac:dyDescent="0.25">
      <c r="A27" s="98">
        <f t="shared" si="0"/>
        <v>23</v>
      </c>
      <c r="B27" s="99">
        <f t="shared" si="1"/>
        <v>261.93799999999999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1.35</v>
      </c>
      <c r="AB27" s="115"/>
      <c r="AC27" s="116" t="str">
        <f t="shared" si="18"/>
        <v/>
      </c>
      <c r="AD27" s="117">
        <f t="shared" si="23"/>
        <v>261.93799999999999</v>
      </c>
      <c r="AE27" s="118">
        <v>1.5</v>
      </c>
      <c r="AF27" s="117">
        <f t="shared" si="20"/>
        <v>23</v>
      </c>
      <c r="AG27" s="122"/>
      <c r="AH27" s="90">
        <f t="shared" si="2"/>
        <v>263.28800000000001</v>
      </c>
      <c r="AI27" s="90">
        <f t="shared" si="6"/>
        <v>266.68299999999999</v>
      </c>
      <c r="AJ27" s="90" t="str">
        <f t="shared" si="3"/>
        <v>NAOI</v>
      </c>
      <c r="AK27" s="97">
        <f t="shared" si="22"/>
        <v>263.28800000000001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7"/>
        <v>0</v>
      </c>
    </row>
    <row r="28" spans="1:42" ht="15.75" x14ac:dyDescent="0.25">
      <c r="A28" s="98">
        <f t="shared" si="0"/>
        <v>24.5</v>
      </c>
      <c r="B28" s="99">
        <f t="shared" si="1"/>
        <v>261.99799999999999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1.29</v>
      </c>
      <c r="AB28" s="115"/>
      <c r="AC28" s="116" t="str">
        <f t="shared" si="18"/>
        <v/>
      </c>
      <c r="AD28" s="117">
        <f t="shared" si="23"/>
        <v>261.99799999999999</v>
      </c>
      <c r="AE28" s="118">
        <v>1.5</v>
      </c>
      <c r="AF28" s="117">
        <f t="shared" si="20"/>
        <v>24.5</v>
      </c>
      <c r="AG28" s="122"/>
      <c r="AH28" s="90">
        <f t="shared" si="2"/>
        <v>263.28800000000001</v>
      </c>
      <c r="AI28" s="90">
        <f t="shared" si="6"/>
        <v>266.68299999999999</v>
      </c>
      <c r="AJ28" s="90" t="str">
        <f t="shared" si="3"/>
        <v>NAOI</v>
      </c>
      <c r="AK28" s="97">
        <f t="shared" si="22"/>
        <v>263.28800000000001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7"/>
        <v>0</v>
      </c>
    </row>
    <row r="29" spans="1:42" ht="15.75" x14ac:dyDescent="0.25">
      <c r="A29" s="98">
        <f t="shared" si="0"/>
        <v>26</v>
      </c>
      <c r="B29" s="99">
        <f t="shared" si="1"/>
        <v>262.108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1.18</v>
      </c>
      <c r="AB29" s="115"/>
      <c r="AC29" s="116" t="str">
        <f t="shared" si="18"/>
        <v/>
      </c>
      <c r="AD29" s="117">
        <f t="shared" si="23"/>
        <v>262.108</v>
      </c>
      <c r="AE29" s="118">
        <v>1.5</v>
      </c>
      <c r="AF29" s="117">
        <f t="shared" si="20"/>
        <v>26</v>
      </c>
      <c r="AG29" s="122"/>
      <c r="AH29" s="90">
        <f t="shared" si="2"/>
        <v>263.28800000000001</v>
      </c>
      <c r="AI29" s="90">
        <f t="shared" si="6"/>
        <v>266.68299999999999</v>
      </c>
      <c r="AJ29" s="90" t="str">
        <f t="shared" si="3"/>
        <v>NAOI</v>
      </c>
      <c r="AK29" s="97">
        <f t="shared" si="22"/>
        <v>263.28800000000001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7"/>
        <v>0</v>
      </c>
    </row>
    <row r="30" spans="1:42" ht="15.75" x14ac:dyDescent="0.25">
      <c r="A30" s="98">
        <f t="shared" si="0"/>
        <v>27.5</v>
      </c>
      <c r="B30" s="99">
        <f t="shared" si="1"/>
        <v>262.14800000000002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1.1399999999999999</v>
      </c>
      <c r="AB30" s="115"/>
      <c r="AC30" s="116" t="str">
        <f t="shared" si="18"/>
        <v/>
      </c>
      <c r="AD30" s="117">
        <f t="shared" si="23"/>
        <v>262.14800000000002</v>
      </c>
      <c r="AE30" s="118">
        <v>1.5</v>
      </c>
      <c r="AF30" s="117">
        <f t="shared" si="20"/>
        <v>27.5</v>
      </c>
      <c r="AG30" s="122"/>
      <c r="AH30" s="90">
        <f t="shared" si="2"/>
        <v>266.68299999999999</v>
      </c>
      <c r="AI30" s="90">
        <f t="shared" si="6"/>
        <v>266.68299999999999</v>
      </c>
      <c r="AJ30" s="90" t="str">
        <f t="shared" si="3"/>
        <v>NAOI</v>
      </c>
      <c r="AK30" s="97">
        <f t="shared" si="22"/>
        <v>263.28800000000001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7"/>
        <v>0</v>
      </c>
    </row>
    <row r="31" spans="1:42" ht="15.75" x14ac:dyDescent="0.25">
      <c r="A31" s="98">
        <f t="shared" si="0"/>
        <v>31</v>
      </c>
      <c r="B31" s="99">
        <f t="shared" si="1"/>
        <v>263.28800000000001</v>
      </c>
      <c r="C31" s="100" t="str">
        <f t="shared" si="5"/>
        <v>NAOD</v>
      </c>
      <c r="D31" s="196"/>
      <c r="E31" s="121">
        <v>0.55000000000000004</v>
      </c>
      <c r="X31" s="111"/>
      <c r="Y31" s="112"/>
      <c r="Z31" s="113"/>
      <c r="AA31" s="114">
        <v>3.395</v>
      </c>
      <c r="AB31" s="115"/>
      <c r="AC31" s="116" t="str">
        <f t="shared" si="18"/>
        <v/>
      </c>
      <c r="AD31" s="117">
        <f t="shared" si="23"/>
        <v>263.28800000000001</v>
      </c>
      <c r="AE31" s="118">
        <v>3.5</v>
      </c>
      <c r="AF31" s="117">
        <f t="shared" si="20"/>
        <v>31</v>
      </c>
      <c r="AG31" s="119" t="s">
        <v>10</v>
      </c>
      <c r="AH31" s="90">
        <f t="shared" si="2"/>
        <v>266.68299999999999</v>
      </c>
      <c r="AI31" s="90">
        <f t="shared" si="6"/>
        <v>266.68299999999999</v>
      </c>
      <c r="AJ31" s="90" t="str">
        <f t="shared" si="3"/>
        <v>NAOD</v>
      </c>
      <c r="AK31" s="97">
        <f t="shared" si="22"/>
        <v>263.28800000000001</v>
      </c>
      <c r="AL31" s="90" t="str">
        <f t="shared" si="7"/>
        <v/>
      </c>
      <c r="AM31" s="97" t="str">
        <f t="shared" si="8"/>
        <v/>
      </c>
      <c r="AN31" s="90">
        <f t="shared" si="9"/>
        <v>263.28800000000001</v>
      </c>
      <c r="AO31" s="90">
        <f t="shared" si="10"/>
        <v>31</v>
      </c>
      <c r="AP31" s="90">
        <f t="shared" si="17"/>
        <v>0</v>
      </c>
    </row>
    <row r="32" spans="1:42" ht="15.75" x14ac:dyDescent="0.25">
      <c r="A32" s="98">
        <f t="shared" si="0"/>
        <v>33.5</v>
      </c>
      <c r="B32" s="99">
        <f t="shared" si="1"/>
        <v>264.29500000000002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2.3879999999999999</v>
      </c>
      <c r="AB32" s="115"/>
      <c r="AC32" s="116" t="str">
        <f t="shared" si="18"/>
        <v/>
      </c>
      <c r="AD32" s="117">
        <f t="shared" si="23"/>
        <v>264.29500000000002</v>
      </c>
      <c r="AE32" s="118">
        <v>2.5</v>
      </c>
      <c r="AF32" s="117">
        <f t="shared" si="20"/>
        <v>33.5</v>
      </c>
      <c r="AG32" s="119"/>
      <c r="AH32" s="90">
        <f t="shared" si="2"/>
        <v>266.68299999999999</v>
      </c>
      <c r="AI32" s="90">
        <f t="shared" si="6"/>
        <v>266.68299999999999</v>
      </c>
      <c r="AJ32" s="90" t="str">
        <f t="shared" si="3"/>
        <v>NAOD</v>
      </c>
      <c r="AK32" s="97">
        <f t="shared" si="22"/>
        <v>264.29500000000002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7"/>
        <v>0</v>
      </c>
    </row>
    <row r="33" spans="1:42" ht="15.75" x14ac:dyDescent="0.25">
      <c r="A33" s="98">
        <f t="shared" si="0"/>
        <v>33.5</v>
      </c>
      <c r="B33" s="99">
        <f t="shared" si="1"/>
        <v>265.56799999999998</v>
      </c>
      <c r="C33" s="100" t="str">
        <f t="shared" si="5"/>
        <v/>
      </c>
      <c r="D33" s="196"/>
      <c r="X33" s="111"/>
      <c r="Y33" s="112"/>
      <c r="Z33" s="113"/>
      <c r="AA33" s="114">
        <v>1.115</v>
      </c>
      <c r="AB33" s="115"/>
      <c r="AC33" s="116" t="str">
        <f t="shared" si="18"/>
        <v/>
      </c>
      <c r="AD33" s="117">
        <f t="shared" si="23"/>
        <v>265.56799999999998</v>
      </c>
      <c r="AE33" s="118">
        <v>0</v>
      </c>
      <c r="AF33" s="117">
        <f t="shared" si="20"/>
        <v>33.5</v>
      </c>
      <c r="AG33" s="120"/>
      <c r="AH33" s="90">
        <f t="shared" si="2"/>
        <v>266.68299999999999</v>
      </c>
      <c r="AI33" s="90">
        <f t="shared" si="6"/>
        <v>266.68299999999999</v>
      </c>
      <c r="AJ33" s="90" t="str">
        <f t="shared" si="3"/>
        <v>NAOD</v>
      </c>
      <c r="AK33" s="97">
        <f t="shared" si="22"/>
        <v>265.56799999999998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7"/>
        <v>0</v>
      </c>
    </row>
    <row r="34" spans="1:42" ht="15.75" x14ac:dyDescent="0.25">
      <c r="A34" s="98">
        <f t="shared" si="0"/>
        <v>34.5</v>
      </c>
      <c r="B34" s="99">
        <f t="shared" si="1"/>
        <v>265.69499999999999</v>
      </c>
      <c r="C34" s="100" t="str">
        <f t="shared" si="5"/>
        <v/>
      </c>
      <c r="D34" s="196"/>
      <c r="X34" s="111"/>
      <c r="Y34" s="112"/>
      <c r="Z34" s="113"/>
      <c r="AA34" s="114">
        <v>0.98799999999999999</v>
      </c>
      <c r="AB34" s="115"/>
      <c r="AC34" s="116" t="str">
        <f t="shared" si="18"/>
        <v/>
      </c>
      <c r="AD34" s="117">
        <f t="shared" si="23"/>
        <v>265.69499999999999</v>
      </c>
      <c r="AE34" s="118">
        <v>1</v>
      </c>
      <c r="AF34" s="117">
        <f t="shared" si="20"/>
        <v>34.5</v>
      </c>
      <c r="AG34" s="119"/>
      <c r="AH34" s="90">
        <f t="shared" si="2"/>
        <v>266.68299999999999</v>
      </c>
      <c r="AI34" s="90">
        <f t="shared" si="6"/>
        <v>266.68299999999999</v>
      </c>
      <c r="AJ34" s="90" t="str">
        <f t="shared" si="3"/>
        <v>NAOD</v>
      </c>
      <c r="AK34" s="97">
        <f t="shared" si="22"/>
        <v>265.69499999999999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7"/>
        <v>0</v>
      </c>
    </row>
    <row r="35" spans="1:42" ht="15.75" x14ac:dyDescent="0.25">
      <c r="A35" s="98">
        <f t="shared" si="0"/>
        <v>34.5</v>
      </c>
      <c r="B35" s="99">
        <f t="shared" si="1"/>
        <v>265.48099999999999</v>
      </c>
      <c r="C35" s="100" t="str">
        <f t="shared" si="5"/>
        <v/>
      </c>
      <c r="D35" s="196"/>
      <c r="X35" s="111" t="s">
        <v>51</v>
      </c>
      <c r="Y35" s="112"/>
      <c r="Z35" s="113">
        <v>4.7750000000000004</v>
      </c>
      <c r="AA35" s="114"/>
      <c r="AB35" s="115">
        <v>1.202</v>
      </c>
      <c r="AC35" s="116">
        <f t="shared" si="18"/>
        <v>270.25599999999997</v>
      </c>
      <c r="AD35" s="117">
        <f t="shared" si="23"/>
        <v>265.48099999999999</v>
      </c>
      <c r="AE35" s="118">
        <v>0</v>
      </c>
      <c r="AF35" s="117">
        <f t="shared" si="20"/>
        <v>34.5</v>
      </c>
      <c r="AG35" s="120"/>
      <c r="AH35" s="90">
        <f t="shared" si="2"/>
        <v>270.25599999999997</v>
      </c>
      <c r="AI35" s="90">
        <f t="shared" si="6"/>
        <v>270.25599999999997</v>
      </c>
      <c r="AJ35" s="90" t="str">
        <f t="shared" si="3"/>
        <v>NAOD</v>
      </c>
      <c r="AK35" s="97">
        <f t="shared" si="22"/>
        <v>265.48099999999999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7"/>
        <v>0</v>
      </c>
    </row>
    <row r="36" spans="1:42" ht="15.75" x14ac:dyDescent="0.25">
      <c r="A36" s="98">
        <f t="shared" si="0"/>
        <v>34.5</v>
      </c>
      <c r="B36" s="99">
        <f t="shared" si="1"/>
        <v>270.255</v>
      </c>
      <c r="C36" s="100" t="str">
        <f t="shared" si="5"/>
        <v>PRD</v>
      </c>
      <c r="D36" s="196"/>
      <c r="X36" s="111"/>
      <c r="Y36" s="112"/>
      <c r="Z36" s="113"/>
      <c r="AA36" s="114">
        <v>1E-3</v>
      </c>
      <c r="AB36" s="115"/>
      <c r="AC36" s="116" t="str">
        <f t="shared" si="18"/>
        <v/>
      </c>
      <c r="AD36" s="117">
        <f t="shared" si="23"/>
        <v>270.255</v>
      </c>
      <c r="AE36" s="118">
        <v>0</v>
      </c>
      <c r="AF36" s="117">
        <f t="shared" si="20"/>
        <v>34.5</v>
      </c>
      <c r="AG36" s="119" t="s">
        <v>5</v>
      </c>
      <c r="AH36" s="90">
        <f t="shared" si="2"/>
        <v>270.25599999999997</v>
      </c>
      <c r="AI36" s="90">
        <f t="shared" si="6"/>
        <v>270.25599999999997</v>
      </c>
      <c r="AJ36" s="90" t="str">
        <f t="shared" si="3"/>
        <v>PRD</v>
      </c>
      <c r="AK36" s="97">
        <f t="shared" si="22"/>
        <v>270.255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7"/>
        <v>0</v>
      </c>
    </row>
    <row r="37" spans="1:42" ht="15.75" x14ac:dyDescent="0.25">
      <c r="A37" s="98"/>
      <c r="B37" s="99"/>
      <c r="C37" s="100"/>
      <c r="D37" s="196"/>
      <c r="X37" s="111"/>
      <c r="Y37" s="112"/>
      <c r="Z37" s="113"/>
      <c r="AA37" s="114">
        <v>0.91700000000000004</v>
      </c>
      <c r="AB37" s="115"/>
      <c r="AC37" s="116" t="str">
        <f t="shared" si="18"/>
        <v/>
      </c>
      <c r="AD37" s="117">
        <f t="shared" si="23"/>
        <v>269.339</v>
      </c>
      <c r="AE37" s="118">
        <v>0</v>
      </c>
      <c r="AF37" s="117">
        <f t="shared" si="20"/>
        <v>34.5</v>
      </c>
      <c r="AG37" s="120" t="s">
        <v>49</v>
      </c>
      <c r="AH37" s="90">
        <f t="shared" si="2"/>
        <v>270.25599999999997</v>
      </c>
      <c r="AI37" s="90">
        <f t="shared" si="6"/>
        <v>270.25599999999997</v>
      </c>
      <c r="AJ37" s="90" t="str">
        <f t="shared" si="3"/>
        <v xml:space="preserve">S/BM </v>
      </c>
      <c r="AK37" s="97">
        <f t="shared" si="22"/>
        <v>269.339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7"/>
        <v>0</v>
      </c>
    </row>
    <row r="38" spans="1:42" ht="15.75" x14ac:dyDescent="0.25">
      <c r="A38" s="98"/>
      <c r="B38" s="99"/>
      <c r="C38" s="100"/>
      <c r="D38" s="196"/>
      <c r="X38" s="111"/>
      <c r="Y38" s="112"/>
      <c r="Z38" s="113"/>
      <c r="AA38" s="114"/>
      <c r="AB38" s="115"/>
      <c r="AC38" s="116"/>
      <c r="AD38" s="117"/>
      <c r="AE38" s="118"/>
      <c r="AF38" s="117"/>
      <c r="AG38" s="119"/>
      <c r="AH38" s="90">
        <f t="shared" si="2"/>
        <v>0</v>
      </c>
      <c r="AI38" s="90">
        <f t="shared" si="6"/>
        <v>0</v>
      </c>
      <c r="AJ38" s="90" t="str">
        <f t="shared" si="3"/>
        <v xml:space="preserve">S/BM </v>
      </c>
      <c r="AK38" s="97">
        <f t="shared" si="22"/>
        <v>0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7"/>
        <v>0</v>
      </c>
    </row>
    <row r="39" spans="1:42" ht="15.75" x14ac:dyDescent="0.25">
      <c r="A39" s="98"/>
      <c r="B39" s="99"/>
      <c r="C39" s="100"/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 xml:space="preserve">S/BM </v>
      </c>
      <c r="AK39" s="97">
        <f t="shared" si="22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7"/>
        <v>0</v>
      </c>
    </row>
    <row r="40" spans="1:42" ht="15.75" x14ac:dyDescent="0.25">
      <c r="A40" s="98"/>
      <c r="B40" s="99"/>
      <c r="C40" s="170"/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19"/>
      <c r="AH40" s="90">
        <f t="shared" si="2"/>
        <v>0</v>
      </c>
      <c r="AI40" s="90">
        <f t="shared" si="6"/>
        <v>0</v>
      </c>
      <c r="AJ40" s="90" t="str">
        <f t="shared" si="3"/>
        <v xml:space="preserve">S/BM </v>
      </c>
      <c r="AK40" s="97">
        <f t="shared" si="22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7"/>
        <v>0</v>
      </c>
    </row>
    <row r="41" spans="1:42" ht="15.75" x14ac:dyDescent="0.25">
      <c r="A41" s="98"/>
      <c r="B41" s="99"/>
      <c r="C41" s="170"/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 xml:space="preserve">S/BM </v>
      </c>
      <c r="AK41" s="97">
        <f t="shared" si="22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7"/>
        <v>0</v>
      </c>
    </row>
    <row r="42" spans="1:42" ht="15.75" x14ac:dyDescent="0.25">
      <c r="A42" s="98"/>
      <c r="B42" s="99"/>
      <c r="C42" s="170"/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 xml:space="preserve">S/BM </v>
      </c>
      <c r="AK42" s="97">
        <f t="shared" si="22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7"/>
        <v>0</v>
      </c>
    </row>
    <row r="43" spans="1:42" ht="15.75" x14ac:dyDescent="0.25">
      <c r="A43" s="98"/>
      <c r="B43" s="99"/>
      <c r="C43" s="170"/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19"/>
      <c r="AH43" s="90">
        <f t="shared" si="2"/>
        <v>0</v>
      </c>
      <c r="AI43" s="90">
        <f t="shared" si="6"/>
        <v>0</v>
      </c>
      <c r="AJ43" s="90" t="str">
        <f t="shared" si="3"/>
        <v xml:space="preserve">S/BM </v>
      </c>
      <c r="AK43" s="97">
        <f t="shared" si="22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7"/>
        <v>0</v>
      </c>
    </row>
    <row r="44" spans="1:42" ht="15.75" x14ac:dyDescent="0.25">
      <c r="A44" s="98"/>
      <c r="B44" s="99"/>
      <c r="C44" s="170"/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20"/>
      <c r="AH44" s="90">
        <f t="shared" si="2"/>
        <v>0</v>
      </c>
      <c r="AI44" s="90">
        <f t="shared" si="6"/>
        <v>0</v>
      </c>
      <c r="AJ44" s="90" t="str">
        <f t="shared" si="3"/>
        <v xml:space="preserve">S/BM </v>
      </c>
      <c r="AK44" s="97">
        <f t="shared" si="22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7"/>
        <v>0</v>
      </c>
    </row>
    <row r="45" spans="1:42" ht="15.75" x14ac:dyDescent="0.25">
      <c r="A45" s="98"/>
      <c r="B45" s="99"/>
      <c r="C45" s="170"/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22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7"/>
        <v>0</v>
      </c>
    </row>
    <row r="46" spans="1:42" ht="15.75" x14ac:dyDescent="0.25">
      <c r="A46" s="98"/>
      <c r="B46" s="99"/>
      <c r="C46" s="100"/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22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7"/>
        <v>0</v>
      </c>
    </row>
    <row r="47" spans="1:42" ht="15.75" x14ac:dyDescent="0.25">
      <c r="A47" s="98"/>
      <c r="B47" s="99"/>
      <c r="C47" s="100" t="str">
        <f t="shared" ref="C47:C51" si="24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24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25">IF(AJ47="S/BM",1,0)</f>
        <v>0</v>
      </c>
    </row>
    <row r="49" spans="1:42" ht="15.75" x14ac:dyDescent="0.25">
      <c r="A49" s="98"/>
      <c r="B49" s="99"/>
      <c r="C49" s="100" t="str">
        <f t="shared" si="24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25"/>
        <v>0</v>
      </c>
    </row>
    <row r="50" spans="1:42" ht="15.75" x14ac:dyDescent="0.25">
      <c r="A50" s="98"/>
      <c r="B50" s="99"/>
      <c r="C50" s="100" t="str">
        <f t="shared" si="24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25"/>
        <v>0</v>
      </c>
    </row>
    <row r="51" spans="1:42" ht="16.5" thickBot="1" x14ac:dyDescent="0.3">
      <c r="A51" s="126"/>
      <c r="B51" s="127"/>
      <c r="C51" s="100" t="str">
        <f t="shared" si="24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25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4.5</v>
      </c>
      <c r="B53" s="140">
        <f>AL4</f>
        <v>263.28800000000001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31</v>
      </c>
      <c r="B54" s="140">
        <f>AN4</f>
        <v>263.28800000000001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263.041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266.726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268.75599999999997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270.25599999999997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270.255</v>
      </c>
      <c r="C59" s="152" t="s">
        <v>7</v>
      </c>
      <c r="D59" s="153"/>
    </row>
    <row r="60" spans="1:42" ht="13.5" thickBot="1" x14ac:dyDescent="0.25">
      <c r="A60" s="154">
        <v>34.5</v>
      </c>
      <c r="B60" s="151">
        <v>270.255</v>
      </c>
      <c r="C60" s="152" t="s">
        <v>7</v>
      </c>
      <c r="D60" s="153"/>
    </row>
    <row r="61" spans="1:42" ht="18" x14ac:dyDescent="0.25">
      <c r="A61" s="155" t="s">
        <v>81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263.041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71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69</v>
      </c>
      <c r="C69" s="181"/>
    </row>
    <row r="70" spans="1:4" ht="14.25" x14ac:dyDescent="0.2">
      <c r="A70" s="161" t="s">
        <v>60</v>
      </c>
      <c r="B70" s="181" t="s">
        <v>69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43300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534" priority="127" stopIfTrue="1">
      <formula>$AP$47=1</formula>
    </cfRule>
  </conditionalFormatting>
  <conditionalFormatting sqref="AC46:AF46">
    <cfRule type="expression" dxfId="533" priority="126" stopIfTrue="1">
      <formula>$AP$46</formula>
    </cfRule>
  </conditionalFormatting>
  <conditionalFormatting sqref="AC50:AF50">
    <cfRule type="expression" dxfId="532" priority="125" stopIfTrue="1">
      <formula>$AP$50=1</formula>
    </cfRule>
  </conditionalFormatting>
  <conditionalFormatting sqref="AC51:AF51">
    <cfRule type="expression" dxfId="531" priority="124" stopIfTrue="1">
      <formula>$AP$51=1</formula>
    </cfRule>
  </conditionalFormatting>
  <conditionalFormatting sqref="AC49:AF49">
    <cfRule type="expression" dxfId="530" priority="123" stopIfTrue="1">
      <formula>$AP$49=1</formula>
    </cfRule>
  </conditionalFormatting>
  <conditionalFormatting sqref="AC48:AF48">
    <cfRule type="expression" dxfId="529" priority="122" stopIfTrue="1">
      <formula>$AP$48=1</formula>
    </cfRule>
  </conditionalFormatting>
  <conditionalFormatting sqref="AC45:AF45">
    <cfRule type="expression" dxfId="528" priority="121" stopIfTrue="1">
      <formula>$AP$45=1</formula>
    </cfRule>
  </conditionalFormatting>
  <conditionalFormatting sqref="AC44 AE44">
    <cfRule type="expression" dxfId="527" priority="120" stopIfTrue="1">
      <formula>$AP$44=1</formula>
    </cfRule>
  </conditionalFormatting>
  <conditionalFormatting sqref="AC43 AE43">
    <cfRule type="expression" dxfId="526" priority="119" stopIfTrue="1">
      <formula>$AP$43=1</formula>
    </cfRule>
  </conditionalFormatting>
  <conditionalFormatting sqref="AE42">
    <cfRule type="expression" dxfId="525" priority="118" stopIfTrue="1">
      <formula>$AP$42=1</formula>
    </cfRule>
  </conditionalFormatting>
  <conditionalFormatting sqref="AE41">
    <cfRule type="expression" dxfId="524" priority="117" stopIfTrue="1">
      <formula>$AP$41=1</formula>
    </cfRule>
  </conditionalFormatting>
  <conditionalFormatting sqref="AE40">
    <cfRule type="expression" dxfId="523" priority="116" stopIfTrue="1">
      <formula>$AP$40=1</formula>
    </cfRule>
  </conditionalFormatting>
  <conditionalFormatting sqref="AE39">
    <cfRule type="expression" dxfId="522" priority="115" stopIfTrue="1">
      <formula>$AP$39=1</formula>
    </cfRule>
  </conditionalFormatting>
  <conditionalFormatting sqref="AE38">
    <cfRule type="expression" dxfId="521" priority="114" stopIfTrue="1">
      <formula>$AP$38=1</formula>
    </cfRule>
  </conditionalFormatting>
  <conditionalFormatting sqref="AE37">
    <cfRule type="expression" dxfId="520" priority="113" stopIfTrue="1">
      <formula>$AP$37=1</formula>
    </cfRule>
  </conditionalFormatting>
  <conditionalFormatting sqref="AE36">
    <cfRule type="expression" dxfId="519" priority="112" stopIfTrue="1">
      <formula>$AP$36=1</formula>
    </cfRule>
  </conditionalFormatting>
  <conditionalFormatting sqref="AD35:AF36 AD30:AD44 AF30:AF44">
    <cfRule type="expression" dxfId="518" priority="110" stopIfTrue="1">
      <formula>$AP$35=1</formula>
    </cfRule>
    <cfRule type="expression" dxfId="517" priority="111" stopIfTrue="1">
      <formula>$AP$35=1</formula>
    </cfRule>
  </conditionalFormatting>
  <conditionalFormatting sqref="AD34:AF34">
    <cfRule type="expression" dxfId="516" priority="109" stopIfTrue="1">
      <formula>$AP$34=1</formula>
    </cfRule>
  </conditionalFormatting>
  <conditionalFormatting sqref="AE33:AF33">
    <cfRule type="expression" dxfId="515" priority="108" stopIfTrue="1">
      <formula>$AP$33=1</formula>
    </cfRule>
  </conditionalFormatting>
  <conditionalFormatting sqref="AD32:AF33 AD33:AD34">
    <cfRule type="expression" dxfId="514" priority="107" stopIfTrue="1">
      <formula>$AP$32=1</formula>
    </cfRule>
  </conditionalFormatting>
  <conditionalFormatting sqref="AD31:AF31">
    <cfRule type="expression" dxfId="513" priority="106" stopIfTrue="1">
      <formula>$AP$31=1</formula>
    </cfRule>
  </conditionalFormatting>
  <conditionalFormatting sqref="AD30:AF30">
    <cfRule type="expression" dxfId="512" priority="105" stopIfTrue="1">
      <formula>$AP$30</formula>
    </cfRule>
  </conditionalFormatting>
  <conditionalFormatting sqref="AD29 AF29">
    <cfRule type="expression" dxfId="511" priority="104" stopIfTrue="1">
      <formula>$AP$29=1</formula>
    </cfRule>
  </conditionalFormatting>
  <conditionalFormatting sqref="AD28 AF28">
    <cfRule type="expression" dxfId="510" priority="103" stopIfTrue="1">
      <formula>$AP$28=1</formula>
    </cfRule>
  </conditionalFormatting>
  <conditionalFormatting sqref="AD27 AF27">
    <cfRule type="expression" dxfId="509" priority="102" stopIfTrue="1">
      <formula>$AP$27=1</formula>
    </cfRule>
  </conditionalFormatting>
  <conditionalFormatting sqref="AD26 AF26">
    <cfRule type="expression" dxfId="508" priority="101" stopIfTrue="1">
      <formula>$AP$26=1</formula>
    </cfRule>
  </conditionalFormatting>
  <conditionalFormatting sqref="AD25 AF25">
    <cfRule type="expression" dxfId="507" priority="100" stopIfTrue="1">
      <formula>$AP$25=1</formula>
    </cfRule>
  </conditionalFormatting>
  <conditionalFormatting sqref="AD24 AF24">
    <cfRule type="expression" dxfId="506" priority="99" stopIfTrue="1">
      <formula>$AP$24=1</formula>
    </cfRule>
  </conditionalFormatting>
  <conditionalFormatting sqref="AD23 AF23">
    <cfRule type="expression" dxfId="505" priority="98" stopIfTrue="1">
      <formula>$AP$23=1</formula>
    </cfRule>
  </conditionalFormatting>
  <conditionalFormatting sqref="AD22 AF22">
    <cfRule type="expression" dxfId="504" priority="97" stopIfTrue="1">
      <formula>$AP$22=1</formula>
    </cfRule>
  </conditionalFormatting>
  <conditionalFormatting sqref="AD21 AF21">
    <cfRule type="expression" dxfId="503" priority="96" stopIfTrue="1">
      <formula>$AP$21=1</formula>
    </cfRule>
  </conditionalFormatting>
  <conditionalFormatting sqref="AD20 AF20">
    <cfRule type="expression" dxfId="502" priority="95" stopIfTrue="1">
      <formula>$AP$20=1</formula>
    </cfRule>
  </conditionalFormatting>
  <conditionalFormatting sqref="AD19 AF19">
    <cfRule type="expression" dxfId="501" priority="94" stopIfTrue="1">
      <formula>$AP$19=1</formula>
    </cfRule>
  </conditionalFormatting>
  <conditionalFormatting sqref="AD18 AF18">
    <cfRule type="expression" dxfId="500" priority="93" stopIfTrue="1">
      <formula>$AP$18=1</formula>
    </cfRule>
  </conditionalFormatting>
  <conditionalFormatting sqref="AD17 AF17">
    <cfRule type="expression" dxfId="499" priority="92" stopIfTrue="1">
      <formula>$AP$17=1</formula>
    </cfRule>
  </conditionalFormatting>
  <conditionalFormatting sqref="AD16 AF16">
    <cfRule type="expression" dxfId="498" priority="91" stopIfTrue="1">
      <formula>$AP$16=1</formula>
    </cfRule>
  </conditionalFormatting>
  <conditionalFormatting sqref="AD15 AF15">
    <cfRule type="expression" dxfId="497" priority="90" stopIfTrue="1">
      <formula>$AP$15=1</formula>
    </cfRule>
  </conditionalFormatting>
  <conditionalFormatting sqref="AD14 AF14">
    <cfRule type="expression" dxfId="496" priority="89" stopIfTrue="1">
      <formula>$AP$14=1</formula>
    </cfRule>
  </conditionalFormatting>
  <conditionalFormatting sqref="AD13 AF13">
    <cfRule type="expression" dxfId="495" priority="88" stopIfTrue="1">
      <formula>$AP$13=1</formula>
    </cfRule>
  </conditionalFormatting>
  <conditionalFormatting sqref="AD12:AF13 AE13:AE31">
    <cfRule type="expression" dxfId="494" priority="87" stopIfTrue="1">
      <formula>$AP$12=1</formula>
    </cfRule>
  </conditionalFormatting>
  <conditionalFormatting sqref="AD11:AF11">
    <cfRule type="expression" dxfId="493" priority="86" stopIfTrue="1">
      <formula>$AP$11=1</formula>
    </cfRule>
  </conditionalFormatting>
  <conditionalFormatting sqref="A51:B51">
    <cfRule type="expression" dxfId="492" priority="85" stopIfTrue="1">
      <formula>$AP$51=1</formula>
    </cfRule>
  </conditionalFormatting>
  <conditionalFormatting sqref="A50:B50">
    <cfRule type="expression" dxfId="491" priority="84" stopIfTrue="1">
      <formula>$AP$50=1</formula>
    </cfRule>
  </conditionalFormatting>
  <conditionalFormatting sqref="A49:B49">
    <cfRule type="expression" dxfId="490" priority="83" stopIfTrue="1">
      <formula>$AP$49=1</formula>
    </cfRule>
  </conditionalFormatting>
  <conditionalFormatting sqref="A48:B48">
    <cfRule type="expression" dxfId="489" priority="82" stopIfTrue="1">
      <formula>$AP$48=1</formula>
    </cfRule>
  </conditionalFormatting>
  <conditionalFormatting sqref="A47:B47">
    <cfRule type="expression" dxfId="488" priority="81" stopIfTrue="1">
      <formula>$AP$47=1</formula>
    </cfRule>
  </conditionalFormatting>
  <conditionalFormatting sqref="A46:B46">
    <cfRule type="expression" dxfId="487" priority="80" stopIfTrue="1">
      <formula>$AP$46=1</formula>
    </cfRule>
  </conditionalFormatting>
  <conditionalFormatting sqref="A40:B45">
    <cfRule type="expression" dxfId="486" priority="79" stopIfTrue="1">
      <formula>$AP$40=1</formula>
    </cfRule>
  </conditionalFormatting>
  <conditionalFormatting sqref="A39:B39">
    <cfRule type="expression" dxfId="485" priority="78" stopIfTrue="1">
      <formula>$AP$39=1</formula>
    </cfRule>
  </conditionalFormatting>
  <conditionalFormatting sqref="A38:B38">
    <cfRule type="expression" dxfId="484" priority="77" stopIfTrue="1">
      <formula>$AP$38=1</formula>
    </cfRule>
  </conditionalFormatting>
  <conditionalFormatting sqref="A37:B37">
    <cfRule type="expression" dxfId="483" priority="76" stopIfTrue="1">
      <formula>$AP$37=1</formula>
    </cfRule>
  </conditionalFormatting>
  <conditionalFormatting sqref="A33 A35">
    <cfRule type="expression" dxfId="482" priority="72" stopIfTrue="1">
      <formula>$AP$33=1</formula>
    </cfRule>
  </conditionalFormatting>
  <conditionalFormatting sqref="A32:B32 B33:B36 A34 A36">
    <cfRule type="expression" dxfId="481" priority="71" stopIfTrue="1">
      <formula>$AP$32=1</formula>
    </cfRule>
  </conditionalFormatting>
  <conditionalFormatting sqref="A31:B31">
    <cfRule type="expression" dxfId="480" priority="70" stopIfTrue="1">
      <formula>$AP$31=1</formula>
    </cfRule>
  </conditionalFormatting>
  <conditionalFormatting sqref="A30:B30">
    <cfRule type="expression" dxfId="479" priority="69" stopIfTrue="1">
      <formula>$AP$30=1</formula>
    </cfRule>
  </conditionalFormatting>
  <conditionalFormatting sqref="A29:B29">
    <cfRule type="expression" dxfId="478" priority="68" stopIfTrue="1">
      <formula>$AP$29=1</formula>
    </cfRule>
  </conditionalFormatting>
  <conditionalFormatting sqref="A28:B28">
    <cfRule type="expression" dxfId="477" priority="67" stopIfTrue="1">
      <formula>$AP$28=1</formula>
    </cfRule>
  </conditionalFormatting>
  <conditionalFormatting sqref="A27:B27">
    <cfRule type="expression" dxfId="476" priority="66" stopIfTrue="1">
      <formula>$AP$27=1</formula>
    </cfRule>
  </conditionalFormatting>
  <conditionalFormatting sqref="A26:B26">
    <cfRule type="expression" dxfId="475" priority="65" stopIfTrue="1">
      <formula>$AP$26=1</formula>
    </cfRule>
  </conditionalFormatting>
  <conditionalFormatting sqref="A25:B25">
    <cfRule type="expression" dxfId="474" priority="64" stopIfTrue="1">
      <formula>$AP$25=1</formula>
    </cfRule>
  </conditionalFormatting>
  <conditionalFormatting sqref="A24:B24">
    <cfRule type="expression" dxfId="473" priority="63" stopIfTrue="1">
      <formula>$AP$24=1</formula>
    </cfRule>
  </conditionalFormatting>
  <conditionalFormatting sqref="A23:B23">
    <cfRule type="expression" dxfId="472" priority="62" stopIfTrue="1">
      <formula>$AP$23=1</formula>
    </cfRule>
  </conditionalFormatting>
  <conditionalFormatting sqref="A22:B22">
    <cfRule type="expression" dxfId="471" priority="61" stopIfTrue="1">
      <formula>$AP$22=1</formula>
    </cfRule>
  </conditionalFormatting>
  <conditionalFormatting sqref="A21:B21">
    <cfRule type="expression" dxfId="470" priority="60" stopIfTrue="1">
      <formula>$AP$21=1</formula>
    </cfRule>
  </conditionalFormatting>
  <conditionalFormatting sqref="A20:B20">
    <cfRule type="expression" dxfId="469" priority="59" stopIfTrue="1">
      <formula>$AP$20=1</formula>
    </cfRule>
  </conditionalFormatting>
  <conditionalFormatting sqref="A19:B19">
    <cfRule type="expression" dxfId="468" priority="58" stopIfTrue="1">
      <formula>$AP$19=1</formula>
    </cfRule>
  </conditionalFormatting>
  <conditionalFormatting sqref="A18:B18">
    <cfRule type="expression" dxfId="467" priority="57" stopIfTrue="1">
      <formula>$AP$18=1</formula>
    </cfRule>
  </conditionalFormatting>
  <conditionalFormatting sqref="A17:B17">
    <cfRule type="expression" dxfId="466" priority="56" stopIfTrue="1">
      <formula>$AP$17=1</formula>
    </cfRule>
  </conditionalFormatting>
  <conditionalFormatting sqref="A16:B16">
    <cfRule type="expression" dxfId="465" priority="55" stopIfTrue="1">
      <formula>$AP$16=1</formula>
    </cfRule>
  </conditionalFormatting>
  <conditionalFormatting sqref="A15:B15">
    <cfRule type="expression" dxfId="464" priority="54" stopIfTrue="1">
      <formula>$AP$15=1</formula>
    </cfRule>
  </conditionalFormatting>
  <conditionalFormatting sqref="A14:B14">
    <cfRule type="expression" dxfId="463" priority="53" stopIfTrue="1">
      <formula>$AP$14=1</formula>
    </cfRule>
  </conditionalFormatting>
  <conditionalFormatting sqref="A13:B13">
    <cfRule type="expression" dxfId="462" priority="52" stopIfTrue="1">
      <formula>$AP$13=1</formula>
    </cfRule>
  </conditionalFormatting>
  <conditionalFormatting sqref="A12:B12">
    <cfRule type="expression" dxfId="461" priority="51" stopIfTrue="1">
      <formula>$AP$12=1</formula>
    </cfRule>
  </conditionalFormatting>
  <conditionalFormatting sqref="A11:B11">
    <cfRule type="expression" dxfId="460" priority="50" stopIfTrue="1">
      <formula>$AP$11=1</formula>
    </cfRule>
  </conditionalFormatting>
  <conditionalFormatting sqref="A10:B10">
    <cfRule type="expression" dxfId="459" priority="49" stopIfTrue="1">
      <formula>$AP$10=1</formula>
    </cfRule>
  </conditionalFormatting>
  <conditionalFormatting sqref="AE31">
    <cfRule type="expression" dxfId="458" priority="47" stopIfTrue="1">
      <formula>$AP$30</formula>
    </cfRule>
  </conditionalFormatting>
  <conditionalFormatting sqref="AC10:AF10 AC11:AC42">
    <cfRule type="expression" dxfId="457" priority="46" stopIfTrue="1">
      <formula>$AP$11=1</formula>
    </cfRule>
  </conditionalFormatting>
  <conditionalFormatting sqref="AC38 AE38">
    <cfRule type="expression" dxfId="456" priority="45" stopIfTrue="1">
      <formula>$AP$44=1</formula>
    </cfRule>
  </conditionalFormatting>
  <conditionalFormatting sqref="AC37 AE37">
    <cfRule type="expression" dxfId="455" priority="44" stopIfTrue="1">
      <formula>$AP$43=1</formula>
    </cfRule>
  </conditionalFormatting>
  <conditionalFormatting sqref="AE36">
    <cfRule type="expression" dxfId="454" priority="43" stopIfTrue="1">
      <formula>$AP$42=1</formula>
    </cfRule>
  </conditionalFormatting>
  <conditionalFormatting sqref="AE35">
    <cfRule type="expression" dxfId="453" priority="42" stopIfTrue="1">
      <formula>$AP$41=1</formula>
    </cfRule>
  </conditionalFormatting>
  <conditionalFormatting sqref="AE34">
    <cfRule type="expression" dxfId="452" priority="41" stopIfTrue="1">
      <formula>$AP$40=1</formula>
    </cfRule>
  </conditionalFormatting>
  <conditionalFormatting sqref="AE33">
    <cfRule type="expression" dxfId="451" priority="40" stopIfTrue="1">
      <formula>$AP$39=1</formula>
    </cfRule>
  </conditionalFormatting>
  <conditionalFormatting sqref="AE32">
    <cfRule type="expression" dxfId="450" priority="39" stopIfTrue="1">
      <formula>$AP$38=1</formula>
    </cfRule>
  </conditionalFormatting>
  <conditionalFormatting sqref="AE31">
    <cfRule type="expression" dxfId="449" priority="38" stopIfTrue="1">
      <formula>$AP$37=1</formula>
    </cfRule>
  </conditionalFormatting>
  <conditionalFormatting sqref="AE30">
    <cfRule type="expression" dxfId="448" priority="37" stopIfTrue="1">
      <formula>$AP$36=1</formula>
    </cfRule>
  </conditionalFormatting>
  <conditionalFormatting sqref="AE41">
    <cfRule type="expression" dxfId="447" priority="36" stopIfTrue="1">
      <formula>$AP$40=1</formula>
    </cfRule>
  </conditionalFormatting>
  <conditionalFormatting sqref="AE40">
    <cfRule type="expression" dxfId="446" priority="35" stopIfTrue="1">
      <formula>$AP$39=1</formula>
    </cfRule>
  </conditionalFormatting>
  <conditionalFormatting sqref="AE39">
    <cfRule type="expression" dxfId="445" priority="34" stopIfTrue="1">
      <formula>$AP$38=1</formula>
    </cfRule>
  </conditionalFormatting>
  <conditionalFormatting sqref="AE38">
    <cfRule type="expression" dxfId="444" priority="33" stopIfTrue="1">
      <formula>$AP$37=1</formula>
    </cfRule>
  </conditionalFormatting>
  <conditionalFormatting sqref="AE37">
    <cfRule type="expression" dxfId="443" priority="32" stopIfTrue="1">
      <formula>$AP$36=1</formula>
    </cfRule>
  </conditionalFormatting>
  <conditionalFormatting sqref="AD35:AF35">
    <cfRule type="expression" dxfId="442" priority="31" stopIfTrue="1">
      <formula>$AP$34=1</formula>
    </cfRule>
  </conditionalFormatting>
  <conditionalFormatting sqref="AE34:AF34">
    <cfRule type="expression" dxfId="441" priority="30" stopIfTrue="1">
      <formula>$AP$33=1</formula>
    </cfRule>
  </conditionalFormatting>
  <conditionalFormatting sqref="AD32:AF32">
    <cfRule type="expression" dxfId="440" priority="29" stopIfTrue="1">
      <formula>$AP$31=1</formula>
    </cfRule>
  </conditionalFormatting>
  <conditionalFormatting sqref="AD31:AF31">
    <cfRule type="expression" dxfId="439" priority="28" stopIfTrue="1">
      <formula>$AP$30</formula>
    </cfRule>
  </conditionalFormatting>
  <conditionalFormatting sqref="AD30 AF30">
    <cfRule type="expression" dxfId="438" priority="27" stopIfTrue="1">
      <formula>$AP$29=1</formula>
    </cfRule>
  </conditionalFormatting>
  <conditionalFormatting sqref="AD29 AF29">
    <cfRule type="expression" dxfId="437" priority="26" stopIfTrue="1">
      <formula>$AP$28=1</formula>
    </cfRule>
  </conditionalFormatting>
  <conditionalFormatting sqref="AD28 AF28">
    <cfRule type="expression" dxfId="436" priority="25" stopIfTrue="1">
      <formula>$AP$27=1</formula>
    </cfRule>
  </conditionalFormatting>
  <conditionalFormatting sqref="AD27 AF27">
    <cfRule type="expression" dxfId="435" priority="24" stopIfTrue="1">
      <formula>$AP$26=1</formula>
    </cfRule>
  </conditionalFormatting>
  <conditionalFormatting sqref="AD26 AF26">
    <cfRule type="expression" dxfId="434" priority="23" stopIfTrue="1">
      <formula>$AP$25=1</formula>
    </cfRule>
  </conditionalFormatting>
  <conditionalFormatting sqref="AD25 AF25">
    <cfRule type="expression" dxfId="433" priority="22" stopIfTrue="1">
      <formula>$AP$24=1</formula>
    </cfRule>
  </conditionalFormatting>
  <conditionalFormatting sqref="AD24 AF24">
    <cfRule type="expression" dxfId="432" priority="21" stopIfTrue="1">
      <formula>$AP$23=1</formula>
    </cfRule>
  </conditionalFormatting>
  <conditionalFormatting sqref="AD23 AF23">
    <cfRule type="expression" dxfId="431" priority="20" stopIfTrue="1">
      <formula>$AP$22=1</formula>
    </cfRule>
  </conditionalFormatting>
  <conditionalFormatting sqref="AD22 AF22">
    <cfRule type="expression" dxfId="430" priority="19" stopIfTrue="1">
      <formula>$AP$21=1</formula>
    </cfRule>
  </conditionalFormatting>
  <conditionalFormatting sqref="AD21 AF21">
    <cfRule type="expression" dxfId="429" priority="18" stopIfTrue="1">
      <formula>$AP$20=1</formula>
    </cfRule>
  </conditionalFormatting>
  <conditionalFormatting sqref="AD20 AF20">
    <cfRule type="expression" dxfId="428" priority="17" stopIfTrue="1">
      <formula>$AP$19=1</formula>
    </cfRule>
  </conditionalFormatting>
  <conditionalFormatting sqref="AD19 AF19">
    <cfRule type="expression" dxfId="427" priority="16" stopIfTrue="1">
      <formula>$AP$18=1</formula>
    </cfRule>
  </conditionalFormatting>
  <conditionalFormatting sqref="AD18 AF18">
    <cfRule type="expression" dxfId="426" priority="15" stopIfTrue="1">
      <formula>$AP$17=1</formula>
    </cfRule>
  </conditionalFormatting>
  <conditionalFormatting sqref="AD17 AF17">
    <cfRule type="expression" dxfId="425" priority="14" stopIfTrue="1">
      <formula>$AP$16=1</formula>
    </cfRule>
  </conditionalFormatting>
  <conditionalFormatting sqref="AD16 AF16">
    <cfRule type="expression" dxfId="424" priority="13" stopIfTrue="1">
      <formula>$AP$15=1</formula>
    </cfRule>
  </conditionalFormatting>
  <conditionalFormatting sqref="AD15 AF15">
    <cfRule type="expression" dxfId="423" priority="12" stopIfTrue="1">
      <formula>$AP$14=1</formula>
    </cfRule>
  </conditionalFormatting>
  <conditionalFormatting sqref="AD14 AF14">
    <cfRule type="expression" dxfId="422" priority="11" stopIfTrue="1">
      <formula>$AP$13=1</formula>
    </cfRule>
  </conditionalFormatting>
  <conditionalFormatting sqref="AE32">
    <cfRule type="expression" dxfId="421" priority="10" stopIfTrue="1">
      <formula>$AP$30</formula>
    </cfRule>
  </conditionalFormatting>
  <conditionalFormatting sqref="AC39 AE39">
    <cfRule type="expression" dxfId="420" priority="9" stopIfTrue="1">
      <formula>$AP$44=1</formula>
    </cfRule>
  </conditionalFormatting>
  <conditionalFormatting sqref="AC38 AE38">
    <cfRule type="expression" dxfId="419" priority="8" stopIfTrue="1">
      <formula>$AP$43=1</formula>
    </cfRule>
  </conditionalFormatting>
  <conditionalFormatting sqref="AE37">
    <cfRule type="expression" dxfId="418" priority="7" stopIfTrue="1">
      <formula>$AP$42=1</formula>
    </cfRule>
  </conditionalFormatting>
  <conditionalFormatting sqref="AE36">
    <cfRule type="expression" dxfId="417" priority="6" stopIfTrue="1">
      <formula>$AP$41=1</formula>
    </cfRule>
  </conditionalFormatting>
  <conditionalFormatting sqref="AE35">
    <cfRule type="expression" dxfId="416" priority="5" stopIfTrue="1">
      <formula>$AP$40=1</formula>
    </cfRule>
  </conditionalFormatting>
  <conditionalFormatting sqref="AE34">
    <cfRule type="expression" dxfId="415" priority="4" stopIfTrue="1">
      <formula>$AP$39=1</formula>
    </cfRule>
  </conditionalFormatting>
  <conditionalFormatting sqref="AE33">
    <cfRule type="expression" dxfId="414" priority="3" stopIfTrue="1">
      <formula>$AP$38=1</formula>
    </cfRule>
  </conditionalFormatting>
  <conditionalFormatting sqref="AE32">
    <cfRule type="expression" dxfId="413" priority="2" stopIfTrue="1">
      <formula>$AP$37=1</formula>
    </cfRule>
  </conditionalFormatting>
  <conditionalFormatting sqref="AE31">
    <cfRule type="expression" dxfId="412" priority="1" stopIfTrue="1">
      <formula>$AP$36=1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AP75"/>
  <sheetViews>
    <sheetView zoomScale="70" zoomScaleNormal="70" workbookViewId="0">
      <selection activeCell="AE17" sqref="AE17:AE33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197" t="s">
        <v>83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263.45500000000004</v>
      </c>
      <c r="AM4" s="97">
        <f>SUM(AM5:AM46)</f>
        <v>4.5</v>
      </c>
      <c r="AN4" s="97">
        <f>SUM(AN5:AN46)</f>
        <v>263.45500000000004</v>
      </c>
      <c r="AO4" s="97">
        <f>SUM(AO5:AO46)</f>
        <v>32.269999999999996</v>
      </c>
      <c r="AP4" s="90"/>
    </row>
    <row r="5" spans="1:42" ht="15.75" x14ac:dyDescent="0.25">
      <c r="A5" s="98">
        <f t="shared" ref="A5:A50" si="0">AF5</f>
        <v>0</v>
      </c>
      <c r="B5" s="99">
        <f t="shared" ref="B5:B50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4.9580000000000002</v>
      </c>
      <c r="AA5" s="104"/>
      <c r="AB5" s="105"/>
      <c r="AC5" s="106">
        <f>IF(AA5="",AD5+Z5,"")</f>
        <v>274.30800000000005</v>
      </c>
      <c r="AD5" s="107">
        <v>269.35000000000002</v>
      </c>
      <c r="AE5" s="108">
        <v>0</v>
      </c>
      <c r="AF5" s="109"/>
      <c r="AG5" s="175" t="s">
        <v>49</v>
      </c>
      <c r="AH5" s="90">
        <f t="shared" ref="AH5:AH46" si="2">IF(AND(AJ5="NAOI",AJ5=AJ6),AK5,AI5)</f>
        <v>274.30800000000005</v>
      </c>
      <c r="AI5" s="90">
        <f>IF(AA5="",AC5,AI4)</f>
        <v>274.30800000000005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273.89500000000004</v>
      </c>
      <c r="C6" s="100" t="str">
        <f t="shared" ref="C6:C50" si="5">IF(AG6="","",AG6)</f>
        <v/>
      </c>
      <c r="D6" s="196"/>
      <c r="X6" s="111"/>
      <c r="Y6" s="112"/>
      <c r="Z6" s="113">
        <v>2.4180000000000001</v>
      </c>
      <c r="AA6" s="114"/>
      <c r="AB6" s="115">
        <v>0.41299999999999998</v>
      </c>
      <c r="AC6" s="116">
        <f>IF(AA6="",AD6+Z6,"")</f>
        <v>276.31300000000005</v>
      </c>
      <c r="AD6" s="117">
        <f>IF(AA6="",AH5-AB6,AH5-AA6)</f>
        <v>273.89500000000004</v>
      </c>
      <c r="AE6" s="118">
        <v>0</v>
      </c>
      <c r="AF6" s="117">
        <f>AE6</f>
        <v>0</v>
      </c>
      <c r="AG6" s="119"/>
      <c r="AH6" s="90">
        <f t="shared" si="2"/>
        <v>276.31300000000005</v>
      </c>
      <c r="AI6" s="90">
        <f t="shared" ref="AI6:AI46" si="6">IF(AA6="",AC6,AI5)</f>
        <v>276.31300000000005</v>
      </c>
      <c r="AJ6" s="90" t="str">
        <f t="shared" si="3"/>
        <v xml:space="preserve">S/BM </v>
      </c>
      <c r="AK6" s="97">
        <f t="shared" si="4"/>
        <v>273.89500000000004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0</v>
      </c>
      <c r="B7" s="99">
        <f t="shared" si="1"/>
        <v>276.25100000000003</v>
      </c>
      <c r="C7" s="100" t="str">
        <f t="shared" si="5"/>
        <v>PRI</v>
      </c>
      <c r="D7" s="196"/>
      <c r="X7" s="111"/>
      <c r="Y7" s="112"/>
      <c r="Z7" s="113"/>
      <c r="AA7" s="114">
        <v>6.2E-2</v>
      </c>
      <c r="AB7" s="115"/>
      <c r="AC7" s="116" t="str">
        <f t="shared" ref="AC7:AC50" si="11">IF(AA7="",AD7+Z7,"")</f>
        <v/>
      </c>
      <c r="AD7" s="117">
        <f>IF(AA7="",AH6-AB7,AH6-AA7)</f>
        <v>276.25100000000003</v>
      </c>
      <c r="AE7" s="118">
        <v>0</v>
      </c>
      <c r="AF7" s="117">
        <f t="shared" ref="AF7:AF50" si="12">+AF6+AE7</f>
        <v>0</v>
      </c>
      <c r="AG7" s="119" t="s">
        <v>4</v>
      </c>
      <c r="AH7" s="90">
        <f t="shared" si="2"/>
        <v>276.31300000000005</v>
      </c>
      <c r="AI7" s="90">
        <f t="shared" si="6"/>
        <v>276.31300000000005</v>
      </c>
      <c r="AJ7" s="90" t="str">
        <f t="shared" si="3"/>
        <v>PRI</v>
      </c>
      <c r="AK7" s="97">
        <f t="shared" si="4"/>
        <v>276.25100000000003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0</v>
      </c>
      <c r="B8" s="99">
        <f t="shared" si="1"/>
        <v>271.33000000000004</v>
      </c>
      <c r="C8" s="100" t="str">
        <f t="shared" si="5"/>
        <v/>
      </c>
      <c r="D8" s="196"/>
      <c r="X8" s="111"/>
      <c r="Y8" s="112"/>
      <c r="Z8" s="113">
        <v>0.16400000000000001</v>
      </c>
      <c r="AA8" s="114"/>
      <c r="AB8" s="115">
        <v>4.9829999999999997</v>
      </c>
      <c r="AC8" s="116">
        <f t="shared" si="11"/>
        <v>271.49400000000003</v>
      </c>
      <c r="AD8" s="117">
        <f>IF(AA8="",AH7-AB8,AH7-AA8)</f>
        <v>271.33000000000004</v>
      </c>
      <c r="AE8" s="118">
        <v>0</v>
      </c>
      <c r="AF8" s="117">
        <f t="shared" si="12"/>
        <v>0</v>
      </c>
      <c r="AG8" s="120"/>
      <c r="AH8" s="90">
        <f t="shared" si="2"/>
        <v>271.49400000000003</v>
      </c>
      <c r="AI8" s="90">
        <f t="shared" si="6"/>
        <v>271.49400000000003</v>
      </c>
      <c r="AJ8" s="90" t="str">
        <f t="shared" si="3"/>
        <v>PRI</v>
      </c>
      <c r="AK8" s="97">
        <f t="shared" si="4"/>
        <v>271.33000000000004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0</v>
      </c>
      <c r="B9" s="99">
        <f t="shared" si="1"/>
        <v>269.25100000000003</v>
      </c>
      <c r="C9" s="100" t="str">
        <f t="shared" si="5"/>
        <v/>
      </c>
      <c r="D9" s="196"/>
      <c r="X9" s="111"/>
      <c r="Y9" s="112"/>
      <c r="Z9" s="113"/>
      <c r="AA9" s="114">
        <v>2.2429999999999999</v>
      </c>
      <c r="AB9" s="115"/>
      <c r="AC9" s="116" t="str">
        <f t="shared" si="11"/>
        <v/>
      </c>
      <c r="AD9" s="117">
        <f>IF(AA9="",AH8-AB9,AH8-AA9)</f>
        <v>269.25100000000003</v>
      </c>
      <c r="AE9" s="118">
        <v>0</v>
      </c>
      <c r="AF9" s="117">
        <f t="shared" si="12"/>
        <v>0</v>
      </c>
      <c r="AG9" s="119"/>
      <c r="AH9" s="90">
        <f t="shared" si="2"/>
        <v>271.49400000000003</v>
      </c>
      <c r="AI9" s="90">
        <f t="shared" si="6"/>
        <v>271.49400000000003</v>
      </c>
      <c r="AJ9" s="90" t="str">
        <f t="shared" si="3"/>
        <v>PRI</v>
      </c>
      <c r="AK9" s="97">
        <f t="shared" si="4"/>
        <v>269.25100000000003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3.4</v>
      </c>
      <c r="B10" s="99">
        <f t="shared" si="1"/>
        <v>269.25100000000003</v>
      </c>
      <c r="C10" s="100" t="str">
        <f t="shared" si="5"/>
        <v/>
      </c>
      <c r="D10" s="196"/>
      <c r="E10" s="88">
        <f>(B12+B35)/2</f>
        <v>264.92200000000003</v>
      </c>
      <c r="X10" s="111"/>
      <c r="Y10" s="112"/>
      <c r="Z10" s="113"/>
      <c r="AA10" s="114">
        <v>2.2429999999999999</v>
      </c>
      <c r="AB10" s="115"/>
      <c r="AC10" s="116" t="str">
        <f t="shared" si="11"/>
        <v/>
      </c>
      <c r="AD10" s="117">
        <f t="shared" ref="AD10:AD50" si="13">IF(AJ9="S/BM",AD9,IF(AA10="",AH9-AB10,AH9-AA10))</f>
        <v>269.25100000000003</v>
      </c>
      <c r="AE10" s="118">
        <v>3.4</v>
      </c>
      <c r="AF10" s="117">
        <f t="shared" si="12"/>
        <v>3.4</v>
      </c>
      <c r="AG10" s="120"/>
      <c r="AH10" s="90">
        <f t="shared" si="2"/>
        <v>271.49400000000003</v>
      </c>
      <c r="AI10" s="90">
        <f t="shared" si="6"/>
        <v>271.49400000000003</v>
      </c>
      <c r="AJ10" s="90" t="str">
        <f t="shared" si="3"/>
        <v>PRI</v>
      </c>
      <c r="AK10" s="97">
        <f t="shared" si="4"/>
        <v>269.25100000000003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3.4</v>
      </c>
      <c r="B11" s="99">
        <f t="shared" si="1"/>
        <v>268.40900000000005</v>
      </c>
      <c r="C11" s="100" t="str">
        <f t="shared" si="5"/>
        <v/>
      </c>
      <c r="D11" s="196"/>
      <c r="E11" s="121">
        <v>0.33</v>
      </c>
      <c r="X11" s="111"/>
      <c r="Y11" s="112"/>
      <c r="Z11" s="113"/>
      <c r="AA11" s="114">
        <v>3.085</v>
      </c>
      <c r="AB11" s="115"/>
      <c r="AC11" s="116" t="str">
        <f t="shared" si="11"/>
        <v/>
      </c>
      <c r="AD11" s="117">
        <f t="shared" si="13"/>
        <v>268.40900000000005</v>
      </c>
      <c r="AE11" s="118">
        <v>0</v>
      </c>
      <c r="AF11" s="117">
        <f t="shared" si="12"/>
        <v>3.4</v>
      </c>
      <c r="AG11" s="119"/>
      <c r="AH11" s="90">
        <f t="shared" si="2"/>
        <v>271.49400000000003</v>
      </c>
      <c r="AI11" s="90">
        <f t="shared" si="6"/>
        <v>271.49400000000003</v>
      </c>
      <c r="AJ11" s="90" t="str">
        <f t="shared" si="3"/>
        <v>PRI</v>
      </c>
      <c r="AK11" s="97">
        <f t="shared" si="4"/>
        <v>268.40900000000005</v>
      </c>
      <c r="AL11" s="90" t="str">
        <f t="shared" si="7"/>
        <v/>
      </c>
      <c r="AM11" s="97" t="str">
        <f t="shared" si="8"/>
        <v/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3.9</v>
      </c>
      <c r="B12" s="99">
        <f t="shared" si="1"/>
        <v>268.40900000000005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3.085</v>
      </c>
      <c r="AB12" s="115"/>
      <c r="AC12" s="116" t="str">
        <f>IF(AA12="",AD12+Z12,"")</f>
        <v/>
      </c>
      <c r="AD12" s="117">
        <f t="shared" si="13"/>
        <v>268.40900000000005</v>
      </c>
      <c r="AE12" s="118">
        <v>0.5</v>
      </c>
      <c r="AF12" s="117">
        <f t="shared" si="12"/>
        <v>3.9</v>
      </c>
      <c r="AG12" s="119"/>
      <c r="AH12" s="90">
        <f t="shared" si="2"/>
        <v>271.49400000000003</v>
      </c>
      <c r="AI12" s="90">
        <f t="shared" si="6"/>
        <v>271.49400000000003</v>
      </c>
      <c r="AJ12" s="90" t="str">
        <f t="shared" si="3"/>
        <v>PRI</v>
      </c>
      <c r="AK12" s="97">
        <f t="shared" si="4"/>
        <v>268.40900000000005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3.9</v>
      </c>
      <c r="B13" s="99">
        <f t="shared" si="1"/>
        <v>266.59900000000005</v>
      </c>
      <c r="C13" s="100" t="str">
        <f t="shared" si="5"/>
        <v/>
      </c>
      <c r="D13" s="196"/>
      <c r="E13" s="121">
        <v>0.35</v>
      </c>
      <c r="X13" s="111"/>
      <c r="Y13" s="112"/>
      <c r="Z13" s="113">
        <v>0.215</v>
      </c>
      <c r="AA13" s="114"/>
      <c r="AB13" s="115">
        <v>4.8949999999999996</v>
      </c>
      <c r="AC13" s="116">
        <f t="shared" si="11"/>
        <v>266.81400000000002</v>
      </c>
      <c r="AD13" s="117">
        <f>IF(AJ12="S/BM",AD12,IF(AA13="",AH12-AB13,AH12-AA13))</f>
        <v>266.59900000000005</v>
      </c>
      <c r="AE13" s="118">
        <v>0</v>
      </c>
      <c r="AF13" s="117">
        <f t="shared" si="12"/>
        <v>3.9</v>
      </c>
      <c r="AG13" s="120"/>
      <c r="AH13" s="90">
        <f t="shared" si="2"/>
        <v>266.81400000000002</v>
      </c>
      <c r="AI13" s="90">
        <f t="shared" si="6"/>
        <v>266.81400000000002</v>
      </c>
      <c r="AJ13" s="90" t="str">
        <f t="shared" si="3"/>
        <v>PRI</v>
      </c>
      <c r="AK13" s="97">
        <f t="shared" si="4"/>
        <v>266.59900000000005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3.9</v>
      </c>
      <c r="B14" s="99">
        <f t="shared" si="1"/>
        <v>265.36799999999999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1.446</v>
      </c>
      <c r="AB14" s="115"/>
      <c r="AC14" s="116" t="str">
        <f t="shared" si="11"/>
        <v/>
      </c>
      <c r="AD14" s="117">
        <f t="shared" si="13"/>
        <v>265.36799999999999</v>
      </c>
      <c r="AE14" s="118">
        <v>0</v>
      </c>
      <c r="AF14" s="117">
        <f t="shared" si="12"/>
        <v>3.9</v>
      </c>
      <c r="AG14" s="120"/>
      <c r="AH14" s="90">
        <f t="shared" si="2"/>
        <v>266.81400000000002</v>
      </c>
      <c r="AI14" s="90">
        <f t="shared" si="6"/>
        <v>266.81400000000002</v>
      </c>
      <c r="AJ14" s="90" t="str">
        <f t="shared" si="3"/>
        <v>PRI</v>
      </c>
      <c r="AK14" s="97">
        <f>IF(AND(AJ14="NAOI",AJ13="NAOI"),AK13,AD14)</f>
        <v>265.36799999999999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4.5</v>
      </c>
      <c r="B15" s="99">
        <f t="shared" si="1"/>
        <v>265.30600000000004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1.508</v>
      </c>
      <c r="AB15" s="115"/>
      <c r="AC15" s="116" t="str">
        <f t="shared" si="11"/>
        <v/>
      </c>
      <c r="AD15" s="117">
        <f t="shared" si="13"/>
        <v>265.30600000000004</v>
      </c>
      <c r="AE15" s="118">
        <v>0.6</v>
      </c>
      <c r="AF15" s="117">
        <f t="shared" si="12"/>
        <v>4.5</v>
      </c>
      <c r="AG15" s="119"/>
      <c r="AH15" s="90">
        <f t="shared" si="2"/>
        <v>266.81400000000002</v>
      </c>
      <c r="AI15" s="90">
        <f t="shared" si="6"/>
        <v>266.81400000000002</v>
      </c>
      <c r="AJ15" s="90" t="str">
        <f t="shared" si="3"/>
        <v>PRI</v>
      </c>
      <c r="AK15" s="97">
        <f>IF(AND(AJ15="NAOI",AJ14="NAOI"),AK14,AD15)</f>
        <v>265.30600000000004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4.5</v>
      </c>
      <c r="B16" s="99">
        <f t="shared" si="1"/>
        <v>263.45500000000004</v>
      </c>
      <c r="C16" s="100" t="str">
        <f t="shared" si="5"/>
        <v>NAOI</v>
      </c>
      <c r="D16" s="196"/>
      <c r="E16" s="121">
        <v>0.75</v>
      </c>
      <c r="X16" s="111"/>
      <c r="Y16" s="112"/>
      <c r="Z16" s="113"/>
      <c r="AA16" s="114">
        <v>3.359</v>
      </c>
      <c r="AB16" s="115"/>
      <c r="AC16" s="116" t="str">
        <f t="shared" si="11"/>
        <v/>
      </c>
      <c r="AD16" s="117">
        <f>IF(AJ15="S/BM",AD15,IF(AA16="",AH15-AB16,AH15-AA16))</f>
        <v>263.45500000000004</v>
      </c>
      <c r="AE16" s="118">
        <v>0</v>
      </c>
      <c r="AF16" s="117">
        <f t="shared" si="12"/>
        <v>4.5</v>
      </c>
      <c r="AG16" s="174" t="s">
        <v>9</v>
      </c>
      <c r="AH16" s="90">
        <f t="shared" si="2"/>
        <v>263.45500000000004</v>
      </c>
      <c r="AI16" s="90">
        <f t="shared" si="6"/>
        <v>266.81400000000002</v>
      </c>
      <c r="AJ16" s="90" t="str">
        <f t="shared" si="3"/>
        <v>NAOI</v>
      </c>
      <c r="AK16" s="97">
        <f>IF(AND(AJ16="NAOI",AJ15="NAOI"),AK15,AD16)</f>
        <v>263.45500000000004</v>
      </c>
      <c r="AL16" s="90">
        <f t="shared" si="7"/>
        <v>263.45500000000004</v>
      </c>
      <c r="AM16" s="97">
        <f t="shared" si="8"/>
        <v>4.5</v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4.5</v>
      </c>
      <c r="B17" s="99">
        <f t="shared" si="1"/>
        <v>261.65500000000003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1.8</v>
      </c>
      <c r="AB17" s="115"/>
      <c r="AC17" s="116" t="str">
        <f t="shared" si="11"/>
        <v/>
      </c>
      <c r="AD17" s="117">
        <f t="shared" si="13"/>
        <v>261.65500000000003</v>
      </c>
      <c r="AE17" s="118">
        <v>0</v>
      </c>
      <c r="AF17" s="117">
        <f t="shared" si="12"/>
        <v>4.5</v>
      </c>
      <c r="AG17" s="122"/>
      <c r="AH17" s="90">
        <f t="shared" si="2"/>
        <v>263.45500000000004</v>
      </c>
      <c r="AI17" s="90">
        <f t="shared" si="6"/>
        <v>266.81400000000002</v>
      </c>
      <c r="AJ17" s="90" t="str">
        <f t="shared" si="3"/>
        <v>NAOI</v>
      </c>
      <c r="AK17" s="97">
        <f t="shared" ref="AK17:AK46" si="15">IF(AND(AJ17="NAOI",AJ16="NAOI"),AK16,AD17)</f>
        <v>263.45500000000004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6.67</v>
      </c>
      <c r="B18" s="99">
        <f t="shared" si="1"/>
        <v>261.64500000000004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1.81</v>
      </c>
      <c r="AB18" s="115"/>
      <c r="AC18" s="116" t="str">
        <f t="shared" si="11"/>
        <v/>
      </c>
      <c r="AD18" s="117">
        <f t="shared" si="13"/>
        <v>261.64500000000004</v>
      </c>
      <c r="AE18" s="118">
        <v>2.17</v>
      </c>
      <c r="AF18" s="117">
        <f t="shared" si="12"/>
        <v>6.67</v>
      </c>
      <c r="AG18" s="122"/>
      <c r="AH18" s="90">
        <f t="shared" si="2"/>
        <v>263.45500000000004</v>
      </c>
      <c r="AI18" s="90">
        <f t="shared" si="6"/>
        <v>266.81400000000002</v>
      </c>
      <c r="AJ18" s="90" t="str">
        <f t="shared" si="3"/>
        <v>NAOI</v>
      </c>
      <c r="AK18" s="97">
        <f t="shared" si="15"/>
        <v>263.45500000000004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7.59</v>
      </c>
      <c r="B19" s="99">
        <f t="shared" si="1"/>
        <v>261.62500000000006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1.83</v>
      </c>
      <c r="AB19" s="115"/>
      <c r="AC19" s="116" t="str">
        <f t="shared" si="11"/>
        <v/>
      </c>
      <c r="AD19" s="117">
        <f t="shared" si="13"/>
        <v>261.62500000000006</v>
      </c>
      <c r="AE19" s="118">
        <v>0.92</v>
      </c>
      <c r="AF19" s="117">
        <f t="shared" si="12"/>
        <v>7.59</v>
      </c>
      <c r="AG19" s="122"/>
      <c r="AH19" s="90">
        <f t="shared" si="2"/>
        <v>263.45500000000004</v>
      </c>
      <c r="AI19" s="90">
        <f t="shared" si="6"/>
        <v>266.81400000000002</v>
      </c>
      <c r="AJ19" s="90" t="str">
        <f t="shared" si="3"/>
        <v>NAOI</v>
      </c>
      <c r="AK19" s="97">
        <f t="shared" si="15"/>
        <v>263.45500000000004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8.34</v>
      </c>
      <c r="B20" s="99">
        <f t="shared" si="1"/>
        <v>261.39500000000004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2.06</v>
      </c>
      <c r="AB20" s="115"/>
      <c r="AC20" s="116" t="str">
        <f t="shared" si="11"/>
        <v/>
      </c>
      <c r="AD20" s="117">
        <f t="shared" si="13"/>
        <v>261.39500000000004</v>
      </c>
      <c r="AE20" s="118">
        <v>0.75</v>
      </c>
      <c r="AF20" s="117">
        <f t="shared" si="12"/>
        <v>8.34</v>
      </c>
      <c r="AG20" s="122"/>
      <c r="AH20" s="90">
        <f t="shared" si="2"/>
        <v>263.45500000000004</v>
      </c>
      <c r="AI20" s="90">
        <f t="shared" si="6"/>
        <v>266.81400000000002</v>
      </c>
      <c r="AJ20" s="90" t="str">
        <f t="shared" si="3"/>
        <v>NAOI</v>
      </c>
      <c r="AK20" s="97">
        <f t="shared" si="15"/>
        <v>263.45500000000004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9.4499999999999993</v>
      </c>
      <c r="B21" s="99">
        <f t="shared" si="1"/>
        <v>261.53500000000003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1.92</v>
      </c>
      <c r="AB21" s="115"/>
      <c r="AC21" s="116" t="str">
        <f t="shared" si="11"/>
        <v/>
      </c>
      <c r="AD21" s="117">
        <f t="shared" si="13"/>
        <v>261.53500000000003</v>
      </c>
      <c r="AE21" s="118">
        <v>1.1100000000000001</v>
      </c>
      <c r="AF21" s="117">
        <f t="shared" si="12"/>
        <v>9.4499999999999993</v>
      </c>
      <c r="AG21" s="122"/>
      <c r="AH21" s="90">
        <f t="shared" si="2"/>
        <v>263.45500000000004</v>
      </c>
      <c r="AI21" s="90">
        <f t="shared" si="6"/>
        <v>266.81400000000002</v>
      </c>
      <c r="AJ21" s="90" t="str">
        <f t="shared" si="3"/>
        <v>NAOI</v>
      </c>
      <c r="AK21" s="97">
        <f t="shared" si="15"/>
        <v>263.45500000000004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10.29</v>
      </c>
      <c r="B22" s="99">
        <f t="shared" si="1"/>
        <v>261.43500000000006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2.02</v>
      </c>
      <c r="AB22" s="115"/>
      <c r="AC22" s="116" t="str">
        <f t="shared" si="11"/>
        <v/>
      </c>
      <c r="AD22" s="117">
        <f t="shared" si="13"/>
        <v>261.43500000000006</v>
      </c>
      <c r="AE22" s="118">
        <v>0.84</v>
      </c>
      <c r="AF22" s="117">
        <f t="shared" si="12"/>
        <v>10.29</v>
      </c>
      <c r="AG22" s="122"/>
      <c r="AH22" s="90">
        <f t="shared" si="2"/>
        <v>263.45500000000004</v>
      </c>
      <c r="AI22" s="90">
        <f t="shared" si="6"/>
        <v>266.81400000000002</v>
      </c>
      <c r="AJ22" s="90" t="str">
        <f t="shared" si="3"/>
        <v>NAOI</v>
      </c>
      <c r="AK22" s="97">
        <f t="shared" si="15"/>
        <v>263.45500000000004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10.969999999999999</v>
      </c>
      <c r="B23" s="99">
        <f t="shared" si="1"/>
        <v>261.34500000000003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2.11</v>
      </c>
      <c r="AB23" s="115"/>
      <c r="AC23" s="116" t="str">
        <f t="shared" si="11"/>
        <v/>
      </c>
      <c r="AD23" s="117">
        <f t="shared" si="13"/>
        <v>261.34500000000003</v>
      </c>
      <c r="AE23" s="118">
        <v>0.68</v>
      </c>
      <c r="AF23" s="117">
        <f t="shared" si="12"/>
        <v>10.969999999999999</v>
      </c>
      <c r="AG23" s="122"/>
      <c r="AH23" s="90">
        <f t="shared" si="2"/>
        <v>263.45500000000004</v>
      </c>
      <c r="AI23" s="90">
        <f t="shared" si="6"/>
        <v>266.81400000000002</v>
      </c>
      <c r="AJ23" s="90" t="str">
        <f t="shared" si="3"/>
        <v>NAOI</v>
      </c>
      <c r="AK23" s="97">
        <f t="shared" si="15"/>
        <v>263.45500000000004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11.95</v>
      </c>
      <c r="B24" s="99">
        <f t="shared" si="1"/>
        <v>261.40500000000003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2.0499999999999998</v>
      </c>
      <c r="AB24" s="115"/>
      <c r="AC24" s="116" t="str">
        <f t="shared" si="11"/>
        <v/>
      </c>
      <c r="AD24" s="117">
        <f t="shared" si="13"/>
        <v>261.40500000000003</v>
      </c>
      <c r="AE24" s="118">
        <v>0.98</v>
      </c>
      <c r="AF24" s="117">
        <f t="shared" si="12"/>
        <v>11.95</v>
      </c>
      <c r="AG24" s="122"/>
      <c r="AH24" s="90">
        <f t="shared" si="2"/>
        <v>263.45500000000004</v>
      </c>
      <c r="AI24" s="90">
        <f t="shared" si="6"/>
        <v>266.81400000000002</v>
      </c>
      <c r="AJ24" s="90" t="str">
        <f t="shared" si="3"/>
        <v>NAOI</v>
      </c>
      <c r="AK24" s="97">
        <f t="shared" si="15"/>
        <v>263.45500000000004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13.309999999999999</v>
      </c>
      <c r="B25" s="99">
        <f t="shared" si="1"/>
        <v>261.18500000000006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2.27</v>
      </c>
      <c r="AB25" s="115"/>
      <c r="AC25" s="116" t="str">
        <f t="shared" si="11"/>
        <v/>
      </c>
      <c r="AD25" s="117">
        <f t="shared" si="13"/>
        <v>261.18500000000006</v>
      </c>
      <c r="AE25" s="118">
        <v>1.36</v>
      </c>
      <c r="AF25" s="117">
        <f t="shared" si="12"/>
        <v>13.309999999999999</v>
      </c>
      <c r="AG25" s="122"/>
      <c r="AH25" s="90">
        <f t="shared" si="2"/>
        <v>263.45500000000004</v>
      </c>
      <c r="AI25" s="90">
        <f t="shared" si="6"/>
        <v>266.81400000000002</v>
      </c>
      <c r="AJ25" s="90" t="str">
        <f t="shared" si="3"/>
        <v>NAOI</v>
      </c>
      <c r="AK25" s="97">
        <f t="shared" si="15"/>
        <v>263.45500000000004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14.28</v>
      </c>
      <c r="B26" s="99">
        <f t="shared" si="1"/>
        <v>261.30500000000006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2.15</v>
      </c>
      <c r="AB26" s="115"/>
      <c r="AC26" s="116" t="str">
        <f t="shared" si="11"/>
        <v/>
      </c>
      <c r="AD26" s="117">
        <f t="shared" si="13"/>
        <v>261.30500000000006</v>
      </c>
      <c r="AE26" s="118">
        <v>0.97</v>
      </c>
      <c r="AF26" s="117">
        <f t="shared" si="12"/>
        <v>14.28</v>
      </c>
      <c r="AG26" s="122"/>
      <c r="AH26" s="90">
        <f t="shared" si="2"/>
        <v>263.45500000000004</v>
      </c>
      <c r="AI26" s="90">
        <f t="shared" si="6"/>
        <v>266.81400000000002</v>
      </c>
      <c r="AJ26" s="90" t="str">
        <f t="shared" si="3"/>
        <v>NAOI</v>
      </c>
      <c r="AK26" s="97">
        <f t="shared" si="15"/>
        <v>263.45500000000004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15.469999999999999</v>
      </c>
      <c r="B27" s="99">
        <f t="shared" si="1"/>
        <v>261.35500000000002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2.1</v>
      </c>
      <c r="AB27" s="115"/>
      <c r="AC27" s="116" t="str">
        <f t="shared" si="11"/>
        <v/>
      </c>
      <c r="AD27" s="117">
        <f t="shared" si="13"/>
        <v>261.35500000000002</v>
      </c>
      <c r="AE27" s="118">
        <v>1.19</v>
      </c>
      <c r="AF27" s="117">
        <f t="shared" si="12"/>
        <v>15.469999999999999</v>
      </c>
      <c r="AG27" s="122"/>
      <c r="AH27" s="90">
        <f t="shared" si="2"/>
        <v>263.45500000000004</v>
      </c>
      <c r="AI27" s="90">
        <f t="shared" si="6"/>
        <v>266.81400000000002</v>
      </c>
      <c r="AJ27" s="90" t="str">
        <f t="shared" si="3"/>
        <v>NAOI</v>
      </c>
      <c r="AK27" s="97">
        <f t="shared" si="15"/>
        <v>263.45500000000004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16.459999999999997</v>
      </c>
      <c r="B28" s="99">
        <f t="shared" si="1"/>
        <v>261.35500000000002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2.1</v>
      </c>
      <c r="AB28" s="115"/>
      <c r="AC28" s="116" t="str">
        <f t="shared" si="11"/>
        <v/>
      </c>
      <c r="AD28" s="117">
        <f t="shared" si="13"/>
        <v>261.35500000000002</v>
      </c>
      <c r="AE28" s="118">
        <v>0.99</v>
      </c>
      <c r="AF28" s="117">
        <f t="shared" si="12"/>
        <v>16.459999999999997</v>
      </c>
      <c r="AG28" s="122"/>
      <c r="AH28" s="90">
        <f t="shared" si="2"/>
        <v>263.45500000000004</v>
      </c>
      <c r="AI28" s="90">
        <f t="shared" si="6"/>
        <v>266.81400000000002</v>
      </c>
      <c r="AJ28" s="90" t="str">
        <f t="shared" si="3"/>
        <v>NAOI</v>
      </c>
      <c r="AK28" s="97">
        <f t="shared" si="15"/>
        <v>263.45500000000004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17.409999999999997</v>
      </c>
      <c r="B29" s="99">
        <f t="shared" si="1"/>
        <v>261.33500000000004</v>
      </c>
      <c r="C29" s="100" t="str">
        <f t="shared" si="5"/>
        <v/>
      </c>
      <c r="D29" s="196"/>
      <c r="E29" s="121">
        <v>1.2</v>
      </c>
      <c r="X29" s="111"/>
      <c r="Y29" s="112"/>
      <c r="Z29" s="113"/>
      <c r="AA29" s="114">
        <v>2.12</v>
      </c>
      <c r="AB29" s="115"/>
      <c r="AC29" s="116" t="str">
        <f t="shared" si="11"/>
        <v/>
      </c>
      <c r="AD29" s="117">
        <f t="shared" si="13"/>
        <v>261.33500000000004</v>
      </c>
      <c r="AE29" s="118">
        <v>0.95</v>
      </c>
      <c r="AF29" s="117">
        <f t="shared" si="12"/>
        <v>17.409999999999997</v>
      </c>
      <c r="AG29" s="122"/>
      <c r="AH29" s="90">
        <f t="shared" si="2"/>
        <v>263.45500000000004</v>
      </c>
      <c r="AI29" s="90">
        <f t="shared" si="6"/>
        <v>266.81400000000002</v>
      </c>
      <c r="AJ29" s="90" t="str">
        <f t="shared" si="3"/>
        <v>NAOI</v>
      </c>
      <c r="AK29" s="97">
        <f t="shared" si="15"/>
        <v>263.45500000000004</v>
      </c>
      <c r="AL29" s="90" t="str">
        <f t="shared" si="7"/>
        <v/>
      </c>
      <c r="AM29" s="97" t="str">
        <f t="shared" si="8"/>
        <v/>
      </c>
      <c r="AN29" s="90" t="str">
        <f t="shared" si="9"/>
        <v/>
      </c>
      <c r="AO29" s="90" t="str">
        <f t="shared" si="10"/>
        <v/>
      </c>
      <c r="AP29" s="90">
        <f t="shared" si="14"/>
        <v>0</v>
      </c>
    </row>
    <row r="30" spans="1:42" ht="15.75" x14ac:dyDescent="0.25">
      <c r="A30" s="98">
        <f t="shared" si="0"/>
        <v>18.389999999999997</v>
      </c>
      <c r="B30" s="99">
        <f t="shared" si="1"/>
        <v>261.30500000000006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2.15</v>
      </c>
      <c r="AB30" s="115"/>
      <c r="AC30" s="116" t="str">
        <f t="shared" si="11"/>
        <v/>
      </c>
      <c r="AD30" s="117">
        <f t="shared" si="13"/>
        <v>261.30500000000006</v>
      </c>
      <c r="AE30" s="118">
        <v>0.98</v>
      </c>
      <c r="AF30" s="117">
        <f t="shared" si="12"/>
        <v>18.389999999999997</v>
      </c>
      <c r="AG30" s="119"/>
      <c r="AH30" s="90">
        <f t="shared" si="2"/>
        <v>263.45500000000004</v>
      </c>
      <c r="AI30" s="90">
        <f t="shared" si="6"/>
        <v>266.81400000000002</v>
      </c>
      <c r="AJ30" s="90" t="str">
        <f t="shared" si="3"/>
        <v>NAOI</v>
      </c>
      <c r="AK30" s="97">
        <f t="shared" si="15"/>
        <v>263.45500000000004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19.479999999999997</v>
      </c>
      <c r="B31" s="99">
        <f t="shared" si="1"/>
        <v>261.36500000000007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2.09</v>
      </c>
      <c r="AB31" s="115"/>
      <c r="AC31" s="116" t="str">
        <f t="shared" si="11"/>
        <v/>
      </c>
      <c r="AD31" s="117">
        <f t="shared" si="13"/>
        <v>261.36500000000007</v>
      </c>
      <c r="AE31" s="118">
        <v>1.0900000000000001</v>
      </c>
      <c r="AF31" s="117">
        <f t="shared" si="12"/>
        <v>19.479999999999997</v>
      </c>
      <c r="AG31" s="119"/>
      <c r="AH31" s="90">
        <f t="shared" si="2"/>
        <v>263.45500000000004</v>
      </c>
      <c r="AI31" s="90">
        <f t="shared" si="6"/>
        <v>266.81400000000002</v>
      </c>
      <c r="AJ31" s="90" t="str">
        <f t="shared" si="3"/>
        <v>NAOI</v>
      </c>
      <c r="AK31" s="97">
        <f t="shared" si="15"/>
        <v>263.45500000000004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20.529999999999998</v>
      </c>
      <c r="B32" s="99">
        <f t="shared" si="1"/>
        <v>261.33500000000004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2.12</v>
      </c>
      <c r="AB32" s="115"/>
      <c r="AC32" s="116" t="str">
        <f t="shared" si="11"/>
        <v/>
      </c>
      <c r="AD32" s="117">
        <f t="shared" si="13"/>
        <v>261.33500000000004</v>
      </c>
      <c r="AE32" s="118">
        <v>1.05</v>
      </c>
      <c r="AF32" s="117">
        <f t="shared" si="12"/>
        <v>20.529999999999998</v>
      </c>
      <c r="AG32" s="122"/>
      <c r="AH32" s="90">
        <f t="shared" si="2"/>
        <v>263.45500000000004</v>
      </c>
      <c r="AI32" s="90">
        <f t="shared" si="6"/>
        <v>266.81400000000002</v>
      </c>
      <c r="AJ32" s="90" t="str">
        <f t="shared" si="3"/>
        <v>NAOI</v>
      </c>
      <c r="AK32" s="97">
        <f t="shared" si="15"/>
        <v>263.45500000000004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21.549999999999997</v>
      </c>
      <c r="B33" s="99">
        <f t="shared" si="1"/>
        <v>261.44500000000005</v>
      </c>
      <c r="C33" s="100" t="str">
        <f t="shared" si="5"/>
        <v/>
      </c>
      <c r="D33" s="196"/>
      <c r="X33" s="111"/>
      <c r="Y33" s="112"/>
      <c r="Z33" s="113"/>
      <c r="AA33" s="114">
        <v>2.0099999999999998</v>
      </c>
      <c r="AB33" s="115"/>
      <c r="AC33" s="116" t="str">
        <f t="shared" si="11"/>
        <v/>
      </c>
      <c r="AD33" s="117">
        <f t="shared" si="13"/>
        <v>261.44500000000005</v>
      </c>
      <c r="AE33" s="118">
        <v>1.02</v>
      </c>
      <c r="AF33" s="117">
        <f t="shared" si="12"/>
        <v>21.549999999999997</v>
      </c>
      <c r="AG33" s="119"/>
      <c r="AH33" s="90">
        <f t="shared" si="2"/>
        <v>263.45500000000004</v>
      </c>
      <c r="AI33" s="90">
        <f t="shared" si="6"/>
        <v>266.81400000000002</v>
      </c>
      <c r="AJ33" s="90" t="str">
        <f t="shared" si="3"/>
        <v>NAOI</v>
      </c>
      <c r="AK33" s="97">
        <f t="shared" si="15"/>
        <v>263.45500000000004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>
        <f t="shared" si="0"/>
        <v>22.549999999999997</v>
      </c>
      <c r="B34" s="99">
        <f t="shared" si="1"/>
        <v>261.50500000000005</v>
      </c>
      <c r="C34" s="100" t="str">
        <f t="shared" si="5"/>
        <v/>
      </c>
      <c r="D34" s="196"/>
      <c r="X34" s="111"/>
      <c r="Y34" s="112"/>
      <c r="Z34" s="113"/>
      <c r="AA34" s="114">
        <v>1.95</v>
      </c>
      <c r="AB34" s="115"/>
      <c r="AC34" s="116" t="str">
        <f t="shared" si="11"/>
        <v/>
      </c>
      <c r="AD34" s="117">
        <f t="shared" si="13"/>
        <v>261.50500000000005</v>
      </c>
      <c r="AE34" s="118">
        <v>1</v>
      </c>
      <c r="AF34" s="117">
        <f t="shared" si="12"/>
        <v>22.549999999999997</v>
      </c>
      <c r="AG34" s="119"/>
      <c r="AH34" s="90">
        <f t="shared" si="2"/>
        <v>263.45500000000004</v>
      </c>
      <c r="AI34" s="90">
        <f t="shared" si="6"/>
        <v>266.81400000000002</v>
      </c>
      <c r="AJ34" s="90" t="str">
        <f t="shared" si="3"/>
        <v>NAOI</v>
      </c>
      <c r="AK34" s="97">
        <f t="shared" si="15"/>
        <v>263.45500000000004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23.619999999999997</v>
      </c>
      <c r="B35" s="99">
        <f t="shared" si="1"/>
        <v>261.43500000000006</v>
      </c>
      <c r="C35" s="100" t="str">
        <f t="shared" si="5"/>
        <v/>
      </c>
      <c r="D35" s="196"/>
      <c r="X35" s="111"/>
      <c r="Y35" s="112"/>
      <c r="Z35" s="113"/>
      <c r="AA35" s="114">
        <v>2.02</v>
      </c>
      <c r="AB35" s="115"/>
      <c r="AC35" s="116" t="str">
        <f t="shared" si="11"/>
        <v/>
      </c>
      <c r="AD35" s="117">
        <f t="shared" si="13"/>
        <v>261.43500000000006</v>
      </c>
      <c r="AE35" s="118">
        <v>1.07</v>
      </c>
      <c r="AF35" s="117">
        <f t="shared" si="12"/>
        <v>23.619999999999997</v>
      </c>
      <c r="AG35" s="119"/>
      <c r="AH35" s="90">
        <f t="shared" si="2"/>
        <v>263.45500000000004</v>
      </c>
      <c r="AI35" s="90">
        <f t="shared" si="6"/>
        <v>266.81400000000002</v>
      </c>
      <c r="AJ35" s="90" t="str">
        <f t="shared" si="3"/>
        <v>NAOI</v>
      </c>
      <c r="AK35" s="97">
        <f t="shared" si="15"/>
        <v>263.45500000000004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>
        <f t="shared" si="0"/>
        <v>24.909999999999997</v>
      </c>
      <c r="B36" s="99">
        <f t="shared" si="1"/>
        <v>261.39500000000004</v>
      </c>
      <c r="C36" s="100" t="str">
        <f t="shared" si="5"/>
        <v/>
      </c>
      <c r="D36" s="196"/>
      <c r="X36" s="111"/>
      <c r="Y36" s="112"/>
      <c r="Z36" s="113"/>
      <c r="AA36" s="114">
        <v>2.06</v>
      </c>
      <c r="AB36" s="115"/>
      <c r="AC36" s="116" t="str">
        <f t="shared" si="11"/>
        <v/>
      </c>
      <c r="AD36" s="117">
        <f t="shared" si="13"/>
        <v>261.39500000000004</v>
      </c>
      <c r="AE36" s="118">
        <v>1.29</v>
      </c>
      <c r="AF36" s="117">
        <f t="shared" si="12"/>
        <v>24.909999999999997</v>
      </c>
      <c r="AG36" s="119"/>
      <c r="AH36" s="90">
        <f t="shared" si="2"/>
        <v>263.45500000000004</v>
      </c>
      <c r="AI36" s="90">
        <f t="shared" si="6"/>
        <v>266.81400000000002</v>
      </c>
      <c r="AJ36" s="90" t="str">
        <f t="shared" si="3"/>
        <v>NAOI</v>
      </c>
      <c r="AK36" s="97">
        <f t="shared" si="15"/>
        <v>263.45500000000004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>
        <f t="shared" si="0"/>
        <v>26.089999999999996</v>
      </c>
      <c r="B37" s="99">
        <f t="shared" si="1"/>
        <v>261.38500000000005</v>
      </c>
      <c r="C37" s="100" t="str">
        <f t="shared" si="5"/>
        <v/>
      </c>
      <c r="D37" s="196"/>
      <c r="X37" s="111"/>
      <c r="Y37" s="112"/>
      <c r="Z37" s="113"/>
      <c r="AA37" s="114">
        <v>2.0699999999999998</v>
      </c>
      <c r="AB37" s="115"/>
      <c r="AC37" s="116" t="str">
        <f t="shared" si="11"/>
        <v/>
      </c>
      <c r="AD37" s="117">
        <f t="shared" si="13"/>
        <v>261.38500000000005</v>
      </c>
      <c r="AE37" s="118">
        <v>1.18</v>
      </c>
      <c r="AF37" s="117">
        <f t="shared" si="12"/>
        <v>26.089999999999996</v>
      </c>
      <c r="AG37" s="119"/>
      <c r="AH37" s="90">
        <f t="shared" si="2"/>
        <v>263.45500000000004</v>
      </c>
      <c r="AI37" s="90">
        <f t="shared" si="6"/>
        <v>266.81400000000002</v>
      </c>
      <c r="AJ37" s="90" t="str">
        <f t="shared" si="3"/>
        <v>NAOI</v>
      </c>
      <c r="AK37" s="97">
        <f t="shared" si="15"/>
        <v>263.45500000000004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>
        <f t="shared" si="0"/>
        <v>27.259999999999998</v>
      </c>
      <c r="B38" s="99">
        <f t="shared" si="1"/>
        <v>261.30500000000006</v>
      </c>
      <c r="C38" s="100" t="str">
        <f t="shared" si="5"/>
        <v/>
      </c>
      <c r="D38" s="196"/>
      <c r="X38" s="111"/>
      <c r="Y38" s="112"/>
      <c r="Z38" s="113"/>
      <c r="AA38" s="114">
        <v>2.15</v>
      </c>
      <c r="AB38" s="115"/>
      <c r="AC38" s="116" t="str">
        <f t="shared" si="11"/>
        <v/>
      </c>
      <c r="AD38" s="117">
        <f t="shared" si="13"/>
        <v>261.30500000000006</v>
      </c>
      <c r="AE38" s="118">
        <v>1.17</v>
      </c>
      <c r="AF38" s="117">
        <f t="shared" si="12"/>
        <v>27.259999999999998</v>
      </c>
      <c r="AG38" s="120"/>
      <c r="AH38" s="90">
        <f t="shared" si="2"/>
        <v>263.45500000000004</v>
      </c>
      <c r="AI38" s="90">
        <f t="shared" si="6"/>
        <v>266.81400000000002</v>
      </c>
      <c r="AJ38" s="90" t="str">
        <f t="shared" si="3"/>
        <v>NAOI</v>
      </c>
      <c r="AK38" s="97">
        <f t="shared" si="15"/>
        <v>263.45500000000004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>
        <f t="shared" si="0"/>
        <v>28.319999999999997</v>
      </c>
      <c r="B39" s="99">
        <f t="shared" si="1"/>
        <v>261.50500000000005</v>
      </c>
      <c r="C39" s="100" t="str">
        <f t="shared" si="5"/>
        <v/>
      </c>
      <c r="D39" s="196"/>
      <c r="X39" s="111"/>
      <c r="Y39" s="112"/>
      <c r="Z39" s="113"/>
      <c r="AA39" s="114">
        <v>1.95</v>
      </c>
      <c r="AB39" s="115"/>
      <c r="AC39" s="116" t="str">
        <f t="shared" si="11"/>
        <v/>
      </c>
      <c r="AD39" s="117">
        <f t="shared" si="13"/>
        <v>261.50500000000005</v>
      </c>
      <c r="AE39" s="118">
        <v>1.06</v>
      </c>
      <c r="AF39" s="117">
        <f t="shared" si="12"/>
        <v>28.319999999999997</v>
      </c>
      <c r="AG39" s="119"/>
      <c r="AH39" s="90">
        <f t="shared" si="2"/>
        <v>263.45500000000004</v>
      </c>
      <c r="AI39" s="90">
        <f t="shared" si="6"/>
        <v>266.81400000000002</v>
      </c>
      <c r="AJ39" s="90" t="str">
        <f t="shared" si="3"/>
        <v>NAOI</v>
      </c>
      <c r="AK39" s="97">
        <f t="shared" si="15"/>
        <v>263.45500000000004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>
        <f t="shared" si="0"/>
        <v>29.199999999999996</v>
      </c>
      <c r="B40" s="99">
        <f t="shared" si="1"/>
        <v>262.24500000000006</v>
      </c>
      <c r="C40" s="100" t="str">
        <f t="shared" si="5"/>
        <v/>
      </c>
      <c r="D40" s="196"/>
      <c r="X40" s="111"/>
      <c r="Y40" s="112"/>
      <c r="Z40" s="113"/>
      <c r="AA40" s="114">
        <v>1.21</v>
      </c>
      <c r="AB40" s="115"/>
      <c r="AC40" s="116" t="str">
        <f t="shared" si="11"/>
        <v/>
      </c>
      <c r="AD40" s="117">
        <f t="shared" si="13"/>
        <v>262.24500000000006</v>
      </c>
      <c r="AE40" s="118">
        <v>0.88</v>
      </c>
      <c r="AF40" s="117">
        <f t="shared" si="12"/>
        <v>29.199999999999996</v>
      </c>
      <c r="AG40" s="120"/>
      <c r="AH40" s="90">
        <f t="shared" si="2"/>
        <v>263.45500000000004</v>
      </c>
      <c r="AI40" s="90">
        <f t="shared" si="6"/>
        <v>266.81400000000002</v>
      </c>
      <c r="AJ40" s="90" t="str">
        <f t="shared" si="3"/>
        <v>NAOI</v>
      </c>
      <c r="AK40" s="97">
        <f t="shared" si="15"/>
        <v>263.45500000000004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>
        <f t="shared" si="0"/>
        <v>30.029999999999994</v>
      </c>
      <c r="B41" s="99">
        <f t="shared" si="1"/>
        <v>262.63500000000005</v>
      </c>
      <c r="C41" s="100" t="str">
        <f t="shared" si="5"/>
        <v/>
      </c>
      <c r="D41" s="196"/>
      <c r="X41" s="111"/>
      <c r="Y41" s="112"/>
      <c r="Z41" s="113"/>
      <c r="AA41" s="114">
        <v>0.82</v>
      </c>
      <c r="AB41" s="115"/>
      <c r="AC41" s="116" t="str">
        <f t="shared" si="11"/>
        <v/>
      </c>
      <c r="AD41" s="117">
        <f t="shared" si="13"/>
        <v>262.63500000000005</v>
      </c>
      <c r="AE41" s="118">
        <v>0.83</v>
      </c>
      <c r="AF41" s="117">
        <f t="shared" si="12"/>
        <v>30.029999999999994</v>
      </c>
      <c r="AG41" s="120"/>
      <c r="AH41" s="90">
        <f t="shared" si="2"/>
        <v>266.81400000000002</v>
      </c>
      <c r="AI41" s="90">
        <f t="shared" si="6"/>
        <v>266.81400000000002</v>
      </c>
      <c r="AJ41" s="90" t="str">
        <f>IF(AG41="",AJ40,AG41)</f>
        <v>NAOI</v>
      </c>
      <c r="AK41" s="97">
        <f t="shared" si="15"/>
        <v>263.45500000000004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>
        <f t="shared" si="0"/>
        <v>32.269999999999996</v>
      </c>
      <c r="B42" s="99">
        <f t="shared" si="1"/>
        <v>263.45500000000004</v>
      </c>
      <c r="C42" s="100" t="str">
        <f t="shared" si="5"/>
        <v>NAOD</v>
      </c>
      <c r="D42" s="196"/>
      <c r="X42" s="111"/>
      <c r="Y42" s="112"/>
      <c r="Z42" s="113"/>
      <c r="AA42" s="114">
        <v>3.359</v>
      </c>
      <c r="AB42" s="115"/>
      <c r="AC42" s="116" t="str">
        <f t="shared" si="11"/>
        <v/>
      </c>
      <c r="AD42" s="117">
        <f t="shared" si="13"/>
        <v>263.45500000000004</v>
      </c>
      <c r="AE42" s="118">
        <v>2.2400000000000002</v>
      </c>
      <c r="AF42" s="117">
        <f t="shared" si="12"/>
        <v>32.269999999999996</v>
      </c>
      <c r="AG42" s="119" t="s">
        <v>10</v>
      </c>
      <c r="AH42" s="90">
        <f t="shared" si="2"/>
        <v>266.81400000000002</v>
      </c>
      <c r="AI42" s="90">
        <f t="shared" si="6"/>
        <v>266.81400000000002</v>
      </c>
      <c r="AJ42" s="90" t="str">
        <f>IF(AG42="",AJ41,AG42)</f>
        <v>NAOD</v>
      </c>
      <c r="AK42" s="97">
        <f t="shared" si="15"/>
        <v>263.45500000000004</v>
      </c>
      <c r="AL42" s="90" t="str">
        <f>IF(AG42="NAOI",AD42,"")</f>
        <v/>
      </c>
      <c r="AM42" s="97" t="str">
        <f>IF(AG42="NAOI",AF42,"")</f>
        <v/>
      </c>
      <c r="AN42" s="90">
        <f>IF(AG42="NAOD",AD42,"")</f>
        <v>263.45500000000004</v>
      </c>
      <c r="AO42" s="90">
        <f>IF(AG42="NAOD",AF42,"")</f>
        <v>32.269999999999996</v>
      </c>
      <c r="AP42" s="90">
        <f t="shared" si="14"/>
        <v>0</v>
      </c>
    </row>
    <row r="43" spans="1:42" ht="15.75" x14ac:dyDescent="0.25">
      <c r="A43" s="98">
        <f t="shared" si="0"/>
        <v>34.519999999999996</v>
      </c>
      <c r="B43" s="99">
        <f t="shared" si="1"/>
        <v>264.375</v>
      </c>
      <c r="C43" s="100" t="str">
        <f t="shared" si="5"/>
        <v/>
      </c>
      <c r="D43" s="196"/>
      <c r="X43" s="111"/>
      <c r="Y43" s="112"/>
      <c r="Z43" s="113"/>
      <c r="AA43" s="114">
        <v>2.4390000000000001</v>
      </c>
      <c r="AB43" s="115"/>
      <c r="AC43" s="116" t="str">
        <f t="shared" si="11"/>
        <v/>
      </c>
      <c r="AD43" s="117">
        <f t="shared" si="13"/>
        <v>264.375</v>
      </c>
      <c r="AE43" s="118">
        <v>2.25</v>
      </c>
      <c r="AF43" s="117">
        <f t="shared" si="12"/>
        <v>34.519999999999996</v>
      </c>
      <c r="AG43" s="119"/>
      <c r="AH43" s="90">
        <f t="shared" si="2"/>
        <v>266.81400000000002</v>
      </c>
      <c r="AI43" s="90">
        <f t="shared" si="6"/>
        <v>266.81400000000002</v>
      </c>
      <c r="AJ43" s="90" t="str">
        <f t="shared" si="3"/>
        <v>NAOD</v>
      </c>
      <c r="AK43" s="97">
        <f t="shared" si="15"/>
        <v>264.375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>
        <f t="shared" si="0"/>
        <v>34.519999999999996</v>
      </c>
      <c r="B44" s="99">
        <f t="shared" si="1"/>
        <v>265.69200000000001</v>
      </c>
      <c r="C44" s="100" t="str">
        <f t="shared" si="5"/>
        <v/>
      </c>
      <c r="D44" s="196"/>
      <c r="X44" s="111"/>
      <c r="Y44" s="112"/>
      <c r="Z44" s="113"/>
      <c r="AA44" s="114">
        <v>1.1220000000000001</v>
      </c>
      <c r="AB44" s="115"/>
      <c r="AC44" s="116" t="str">
        <f t="shared" si="11"/>
        <v/>
      </c>
      <c r="AD44" s="117">
        <f t="shared" si="13"/>
        <v>265.69200000000001</v>
      </c>
      <c r="AE44" s="118">
        <v>0</v>
      </c>
      <c r="AF44" s="117">
        <f t="shared" si="12"/>
        <v>34.519999999999996</v>
      </c>
      <c r="AG44" s="120"/>
      <c r="AH44" s="90">
        <f t="shared" si="2"/>
        <v>266.81400000000002</v>
      </c>
      <c r="AI44" s="90">
        <f t="shared" si="6"/>
        <v>266.81400000000002</v>
      </c>
      <c r="AJ44" s="90" t="str">
        <f t="shared" si="3"/>
        <v>NAOD</v>
      </c>
      <c r="AK44" s="97">
        <f t="shared" si="15"/>
        <v>265.69200000000001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>
        <f t="shared" si="0"/>
        <v>35.519999999999996</v>
      </c>
      <c r="B45" s="99">
        <f t="shared" si="1"/>
        <v>265.69200000000001</v>
      </c>
      <c r="C45" s="100" t="str">
        <f t="shared" si="5"/>
        <v/>
      </c>
      <c r="D45" s="196"/>
      <c r="X45" s="111"/>
      <c r="Y45" s="112"/>
      <c r="Z45" s="113"/>
      <c r="AA45" s="123">
        <v>1.1220000000000001</v>
      </c>
      <c r="AB45" s="124"/>
      <c r="AC45" s="116" t="str">
        <f t="shared" si="11"/>
        <v/>
      </c>
      <c r="AD45" s="117">
        <f t="shared" si="13"/>
        <v>265.69200000000001</v>
      </c>
      <c r="AE45" s="125">
        <v>1</v>
      </c>
      <c r="AF45" s="117">
        <f t="shared" si="12"/>
        <v>35.519999999999996</v>
      </c>
      <c r="AG45" s="119"/>
      <c r="AH45" s="90">
        <f t="shared" si="2"/>
        <v>266.81400000000002</v>
      </c>
      <c r="AI45" s="90">
        <f t="shared" si="6"/>
        <v>266.81400000000002</v>
      </c>
      <c r="AJ45" s="90" t="str">
        <f t="shared" si="3"/>
        <v>NAOD</v>
      </c>
      <c r="AK45" s="97">
        <f t="shared" si="15"/>
        <v>265.69200000000001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>
        <f t="shared" si="0"/>
        <v>35.519999999999996</v>
      </c>
      <c r="B46" s="99">
        <f t="shared" si="1"/>
        <v>266.67700000000002</v>
      </c>
      <c r="C46" s="100" t="str">
        <f t="shared" si="5"/>
        <v/>
      </c>
      <c r="D46" s="196"/>
      <c r="X46" s="111"/>
      <c r="Y46" s="112"/>
      <c r="Z46" s="113">
        <v>4.9260000000000002</v>
      </c>
      <c r="AA46" s="123"/>
      <c r="AB46" s="124">
        <v>0.13700000000000001</v>
      </c>
      <c r="AC46" s="116">
        <f t="shared" si="11"/>
        <v>271.60300000000001</v>
      </c>
      <c r="AD46" s="117">
        <f t="shared" si="13"/>
        <v>266.67700000000002</v>
      </c>
      <c r="AE46" s="125">
        <v>0</v>
      </c>
      <c r="AF46" s="117">
        <f t="shared" si="12"/>
        <v>35.519999999999996</v>
      </c>
      <c r="AG46" s="120"/>
      <c r="AH46" s="90">
        <f t="shared" si="2"/>
        <v>271.60300000000001</v>
      </c>
      <c r="AI46" s="90">
        <f t="shared" si="6"/>
        <v>271.60300000000001</v>
      </c>
      <c r="AJ46" s="90" t="str">
        <f t="shared" si="3"/>
        <v>NAOD</v>
      </c>
      <c r="AK46" s="97">
        <f t="shared" si="15"/>
        <v>266.67700000000002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>
        <f t="shared" si="0"/>
        <v>35.519999999999996</v>
      </c>
      <c r="B47" s="99">
        <f t="shared" si="1"/>
        <v>271.44200000000001</v>
      </c>
      <c r="C47" s="100" t="str">
        <f t="shared" si="5"/>
        <v/>
      </c>
      <c r="D47" s="196"/>
      <c r="X47" s="111"/>
      <c r="Y47" s="112"/>
      <c r="Z47" s="113">
        <v>4.9669999999999996</v>
      </c>
      <c r="AA47" s="123"/>
      <c r="AB47" s="124">
        <v>0.161</v>
      </c>
      <c r="AC47" s="116">
        <f t="shared" si="11"/>
        <v>276.40899999999999</v>
      </c>
      <c r="AD47" s="117">
        <f t="shared" si="13"/>
        <v>271.44200000000001</v>
      </c>
      <c r="AE47" s="125">
        <v>0</v>
      </c>
      <c r="AF47" s="117">
        <f t="shared" si="12"/>
        <v>35.519999999999996</v>
      </c>
      <c r="AG47" s="120"/>
      <c r="AH47" s="90">
        <f>IF(AND(AJ47="NAOI",AJ47=AJ48),AK47,AI47)</f>
        <v>276.40899999999999</v>
      </c>
      <c r="AI47" s="90">
        <f>IF(AA47="",AC47,AI46)</f>
        <v>276.40899999999999</v>
      </c>
      <c r="AJ47" s="90" t="str">
        <f t="shared" si="3"/>
        <v>NAOD</v>
      </c>
      <c r="AK47" s="97">
        <f>IF(AND(AJ47="NAOI",AJ46="NAOI"),AK46,AD47)</f>
        <v>271.44200000000001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>
        <f t="shared" si="0"/>
        <v>35.519999999999996</v>
      </c>
      <c r="B48" s="99">
        <f t="shared" si="1"/>
        <v>276.25</v>
      </c>
      <c r="C48" s="100" t="str">
        <f t="shared" si="5"/>
        <v>PRD</v>
      </c>
      <c r="D48" s="196"/>
      <c r="X48" s="111"/>
      <c r="Y48" s="112"/>
      <c r="Z48" s="113"/>
      <c r="AA48" s="123">
        <v>0.159</v>
      </c>
      <c r="AB48" s="124"/>
      <c r="AC48" s="116" t="str">
        <f t="shared" si="11"/>
        <v/>
      </c>
      <c r="AD48" s="117">
        <f t="shared" si="13"/>
        <v>276.25</v>
      </c>
      <c r="AE48" s="125">
        <v>0</v>
      </c>
      <c r="AF48" s="117">
        <f t="shared" si="12"/>
        <v>35.519999999999996</v>
      </c>
      <c r="AG48" s="119" t="s">
        <v>5</v>
      </c>
      <c r="AH48" s="90">
        <f>IF(AND(AJ48="NAOI",AJ48=AJ49),AK48,AI48)</f>
        <v>276.40899999999999</v>
      </c>
      <c r="AI48" s="90">
        <f>IF(AA48="",AC48,AI47)</f>
        <v>276.40899999999999</v>
      </c>
      <c r="AJ48" s="90" t="str">
        <f t="shared" si="3"/>
        <v>PRD</v>
      </c>
      <c r="AK48" s="97">
        <f>IF(AND(AJ48="NAOI",AJ47="NAOI"),AK47,AD48)</f>
        <v>276.25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6">IF(AJ47="S/BM",1,0)</f>
        <v>0</v>
      </c>
    </row>
    <row r="49" spans="1:42" ht="15.75" x14ac:dyDescent="0.25">
      <c r="A49" s="98">
        <f t="shared" si="0"/>
        <v>35.519999999999996</v>
      </c>
      <c r="B49" s="99">
        <f t="shared" si="1"/>
        <v>271.67399999999998</v>
      </c>
      <c r="C49" s="100" t="str">
        <f t="shared" si="5"/>
        <v/>
      </c>
      <c r="D49" s="196"/>
      <c r="X49" s="111"/>
      <c r="Y49" s="112"/>
      <c r="Z49" s="113">
        <v>0.52300000000000002</v>
      </c>
      <c r="AA49" s="123"/>
      <c r="AB49" s="124">
        <v>4.7350000000000003</v>
      </c>
      <c r="AC49" s="116">
        <f t="shared" si="11"/>
        <v>272.197</v>
      </c>
      <c r="AD49" s="117">
        <f t="shared" si="13"/>
        <v>271.67399999999998</v>
      </c>
      <c r="AE49" s="125">
        <v>0</v>
      </c>
      <c r="AF49" s="117">
        <f t="shared" si="12"/>
        <v>35.519999999999996</v>
      </c>
      <c r="AG49" s="120"/>
      <c r="AH49" s="90">
        <f>IF(AND(AJ49="NAOI",AJ49=AJ50),AK49,AI49)</f>
        <v>272.197</v>
      </c>
      <c r="AI49" s="90">
        <f>IF(AA49="",AC49,AI48)</f>
        <v>272.197</v>
      </c>
      <c r="AJ49" s="90" t="str">
        <f t="shared" si="3"/>
        <v>PRD</v>
      </c>
      <c r="AK49" s="97">
        <f>IF(AND(AJ49="NAOI",AJ48="NAOI"),AK48,AD49)</f>
        <v>271.67399999999998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6"/>
        <v>0</v>
      </c>
    </row>
    <row r="50" spans="1:42" ht="15.75" x14ac:dyDescent="0.25">
      <c r="A50" s="98">
        <f t="shared" si="0"/>
        <v>35.519999999999996</v>
      </c>
      <c r="B50" s="99">
        <f t="shared" si="1"/>
        <v>269.34899999999999</v>
      </c>
      <c r="C50" s="100" t="str">
        <f t="shared" si="5"/>
        <v xml:space="preserve">S/BM </v>
      </c>
      <c r="D50" s="196"/>
      <c r="X50" s="111"/>
      <c r="Y50" s="112"/>
      <c r="Z50" s="113"/>
      <c r="AA50" s="123">
        <v>2.8479999999999999</v>
      </c>
      <c r="AB50" s="124"/>
      <c r="AC50" s="116" t="str">
        <f t="shared" si="11"/>
        <v/>
      </c>
      <c r="AD50" s="117">
        <f t="shared" si="13"/>
        <v>269.34899999999999</v>
      </c>
      <c r="AE50" s="125">
        <v>0</v>
      </c>
      <c r="AF50" s="117">
        <f t="shared" si="12"/>
        <v>35.519999999999996</v>
      </c>
      <c r="AG50" s="119" t="s">
        <v>49</v>
      </c>
      <c r="AH50" s="90">
        <f>IF(AND(AJ50="NAOI",AJ50=AJ51),AK50,AI50)</f>
        <v>272.197</v>
      </c>
      <c r="AI50" s="90">
        <f>IF(AA50="",AC50,AI49)</f>
        <v>272.197</v>
      </c>
      <c r="AJ50" s="90" t="str">
        <f t="shared" si="3"/>
        <v xml:space="preserve">S/BM </v>
      </c>
      <c r="AK50" s="97">
        <f>IF(AND(AJ50="NAOI",AJ49="NAOI"),AK49,AD50)</f>
        <v>269.34899999999999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6"/>
        <v>0</v>
      </c>
    </row>
    <row r="51" spans="1:42" ht="16.5" thickBot="1" x14ac:dyDescent="0.3">
      <c r="A51" s="126"/>
      <c r="B51" s="127"/>
      <c r="C51" s="100" t="str">
        <f t="shared" ref="C51" si="17">IF(AG51="","",AG51)</f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6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4.5</v>
      </c>
      <c r="B53" s="140">
        <f>AL4</f>
        <v>263.45500000000004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32.269999999999996</v>
      </c>
      <c r="B54" s="140">
        <f>AN4</f>
        <v>263.45500000000004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263.726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266.726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268.75599999999997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270.25599999999997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276.25099999999998</v>
      </c>
      <c r="C59" s="152" t="s">
        <v>7</v>
      </c>
      <c r="D59" s="153"/>
    </row>
    <row r="60" spans="1:42" ht="13.5" thickBot="1" x14ac:dyDescent="0.25">
      <c r="A60" s="154">
        <v>35.520000000000003</v>
      </c>
      <c r="B60" s="151">
        <v>276.25</v>
      </c>
      <c r="C60" s="152" t="s">
        <v>7</v>
      </c>
      <c r="D60" s="153"/>
    </row>
    <row r="61" spans="1:42" ht="18" x14ac:dyDescent="0.25">
      <c r="A61" s="155" t="s">
        <v>78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263.726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72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82</v>
      </c>
      <c r="C69" s="181"/>
    </row>
    <row r="70" spans="1:4" ht="14.25" x14ac:dyDescent="0.2">
      <c r="A70" s="161" t="s">
        <v>60</v>
      </c>
      <c r="B70" s="181" t="s">
        <v>82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43609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E47">
    <cfRule type="expression" dxfId="411" priority="81" stopIfTrue="1">
      <formula>$AP$47=1</formula>
    </cfRule>
  </conditionalFormatting>
  <conditionalFormatting sqref="AE46">
    <cfRule type="expression" dxfId="410" priority="80" stopIfTrue="1">
      <formula>$AP$46</formula>
    </cfRule>
  </conditionalFormatting>
  <conditionalFormatting sqref="AE50">
    <cfRule type="expression" dxfId="409" priority="79" stopIfTrue="1">
      <formula>$AP$50=1</formula>
    </cfRule>
  </conditionalFormatting>
  <conditionalFormatting sqref="AC51:AF51">
    <cfRule type="expression" dxfId="408" priority="78" stopIfTrue="1">
      <formula>$AP$51=1</formula>
    </cfRule>
  </conditionalFormatting>
  <conditionalFormatting sqref="AE49">
    <cfRule type="expression" dxfId="407" priority="77" stopIfTrue="1">
      <formula>$AP$49=1</formula>
    </cfRule>
  </conditionalFormatting>
  <conditionalFormatting sqref="AE48">
    <cfRule type="expression" dxfId="406" priority="76" stopIfTrue="1">
      <formula>$AP$48=1</formula>
    </cfRule>
  </conditionalFormatting>
  <conditionalFormatting sqref="AE45">
    <cfRule type="expression" dxfId="405" priority="75" stopIfTrue="1">
      <formula>$AP$45=1</formula>
    </cfRule>
  </conditionalFormatting>
  <conditionalFormatting sqref="AE44">
    <cfRule type="expression" dxfId="404" priority="74" stopIfTrue="1">
      <formula>$AP$44=1</formula>
    </cfRule>
  </conditionalFormatting>
  <conditionalFormatting sqref="AE43">
    <cfRule type="expression" dxfId="403" priority="73" stopIfTrue="1">
      <formula>$AP$43=1</formula>
    </cfRule>
  </conditionalFormatting>
  <conditionalFormatting sqref="AE42">
    <cfRule type="expression" dxfId="402" priority="72" stopIfTrue="1">
      <formula>$AP$42=1</formula>
    </cfRule>
  </conditionalFormatting>
  <conditionalFormatting sqref="AE41">
    <cfRule type="expression" dxfId="401" priority="71" stopIfTrue="1">
      <formula>$AP$41=1</formula>
    </cfRule>
  </conditionalFormatting>
  <conditionalFormatting sqref="AE40">
    <cfRule type="expression" dxfId="400" priority="70" stopIfTrue="1">
      <formula>$AP$40=1</formula>
    </cfRule>
  </conditionalFormatting>
  <conditionalFormatting sqref="AE39">
    <cfRule type="expression" dxfId="399" priority="69" stopIfTrue="1">
      <formula>$AP$39=1</formula>
    </cfRule>
  </conditionalFormatting>
  <conditionalFormatting sqref="AE38">
    <cfRule type="expression" dxfId="398" priority="68" stopIfTrue="1">
      <formula>$AP$38=1</formula>
    </cfRule>
  </conditionalFormatting>
  <conditionalFormatting sqref="AE37">
    <cfRule type="expression" dxfId="397" priority="67" stopIfTrue="1">
      <formula>$AP$37=1</formula>
    </cfRule>
  </conditionalFormatting>
  <conditionalFormatting sqref="AE36">
    <cfRule type="expression" dxfId="396" priority="66" stopIfTrue="1">
      <formula>$AP$36=1</formula>
    </cfRule>
  </conditionalFormatting>
  <conditionalFormatting sqref="AD35:AF35 AD36:AD50 AF36:AF50">
    <cfRule type="expression" dxfId="395" priority="64" stopIfTrue="1">
      <formula>$AP$35=1</formula>
    </cfRule>
    <cfRule type="expression" dxfId="394" priority="65" stopIfTrue="1">
      <formula>$AP$35=1</formula>
    </cfRule>
  </conditionalFormatting>
  <conditionalFormatting sqref="AD34:AF34">
    <cfRule type="expression" dxfId="393" priority="63" stopIfTrue="1">
      <formula>$AP$34=1</formula>
    </cfRule>
  </conditionalFormatting>
  <conditionalFormatting sqref="AE33:AF33">
    <cfRule type="expression" dxfId="392" priority="62" stopIfTrue="1">
      <formula>$AP$33=1</formula>
    </cfRule>
  </conditionalFormatting>
  <conditionalFormatting sqref="AD32:AF32 AD33">
    <cfRule type="expression" dxfId="391" priority="61" stopIfTrue="1">
      <formula>$AP$32=1</formula>
    </cfRule>
  </conditionalFormatting>
  <conditionalFormatting sqref="AD31:AF31">
    <cfRule type="expression" dxfId="390" priority="60" stopIfTrue="1">
      <formula>$AP$31=1</formula>
    </cfRule>
  </conditionalFormatting>
  <conditionalFormatting sqref="AD30:AF30">
    <cfRule type="expression" dxfId="389" priority="59" stopIfTrue="1">
      <formula>$AP$30</formula>
    </cfRule>
  </conditionalFormatting>
  <conditionalFormatting sqref="AD29 AF29">
    <cfRule type="expression" dxfId="388" priority="58" stopIfTrue="1">
      <formula>$AP$29=1</formula>
    </cfRule>
  </conditionalFormatting>
  <conditionalFormatting sqref="AD28 AF28">
    <cfRule type="expression" dxfId="387" priority="57" stopIfTrue="1">
      <formula>$AP$28=1</formula>
    </cfRule>
  </conditionalFormatting>
  <conditionalFormatting sqref="AD27 AF27">
    <cfRule type="expression" dxfId="386" priority="56" stopIfTrue="1">
      <formula>$AP$27=1</formula>
    </cfRule>
  </conditionalFormatting>
  <conditionalFormatting sqref="AD26 AF26">
    <cfRule type="expression" dxfId="385" priority="55" stopIfTrue="1">
      <formula>$AP$26=1</formula>
    </cfRule>
  </conditionalFormatting>
  <conditionalFormatting sqref="AD25 AF25">
    <cfRule type="expression" dxfId="384" priority="54" stopIfTrue="1">
      <formula>$AP$25=1</formula>
    </cfRule>
  </conditionalFormatting>
  <conditionalFormatting sqref="AD24 AF24">
    <cfRule type="expression" dxfId="383" priority="53" stopIfTrue="1">
      <formula>$AP$24=1</formula>
    </cfRule>
  </conditionalFormatting>
  <conditionalFormatting sqref="AD23 AF23">
    <cfRule type="expression" dxfId="382" priority="52" stopIfTrue="1">
      <formula>$AP$23=1</formula>
    </cfRule>
  </conditionalFormatting>
  <conditionalFormatting sqref="AD22 AF22">
    <cfRule type="expression" dxfId="381" priority="51" stopIfTrue="1">
      <formula>$AP$22=1</formula>
    </cfRule>
  </conditionalFormatting>
  <conditionalFormatting sqref="AD21 AF21">
    <cfRule type="expression" dxfId="380" priority="50" stopIfTrue="1">
      <formula>$AP$21=1</formula>
    </cfRule>
  </conditionalFormatting>
  <conditionalFormatting sqref="AD20 AF20">
    <cfRule type="expression" dxfId="379" priority="49" stopIfTrue="1">
      <formula>$AP$20=1</formula>
    </cfRule>
  </conditionalFormatting>
  <conditionalFormatting sqref="AD19 AF19">
    <cfRule type="expression" dxfId="378" priority="48" stopIfTrue="1">
      <formula>$AP$19=1</formula>
    </cfRule>
  </conditionalFormatting>
  <conditionalFormatting sqref="AD18 AF18">
    <cfRule type="expression" dxfId="377" priority="47" stopIfTrue="1">
      <formula>$AP$18=1</formula>
    </cfRule>
  </conditionalFormatting>
  <conditionalFormatting sqref="AD17 AF17">
    <cfRule type="expression" dxfId="376" priority="46" stopIfTrue="1">
      <formula>$AP$17=1</formula>
    </cfRule>
  </conditionalFormatting>
  <conditionalFormatting sqref="AD16 AF16">
    <cfRule type="expression" dxfId="375" priority="45" stopIfTrue="1">
      <formula>$AP$16=1</formula>
    </cfRule>
  </conditionalFormatting>
  <conditionalFormatting sqref="AD15 AF15">
    <cfRule type="expression" dxfId="374" priority="44" stopIfTrue="1">
      <formula>$AP$15=1</formula>
    </cfRule>
  </conditionalFormatting>
  <conditionalFormatting sqref="AD14 AF14">
    <cfRule type="expression" dxfId="373" priority="43" stopIfTrue="1">
      <formula>$AP$14=1</formula>
    </cfRule>
  </conditionalFormatting>
  <conditionalFormatting sqref="AC13:AD13 AF13 AC14:AC50">
    <cfRule type="expression" dxfId="372" priority="42" stopIfTrue="1">
      <formula>$AP$13=1</formula>
    </cfRule>
  </conditionalFormatting>
  <conditionalFormatting sqref="AC12:AF12 AE13:AE30">
    <cfRule type="expression" dxfId="371" priority="41" stopIfTrue="1">
      <formula>$AP$12=1</formula>
    </cfRule>
  </conditionalFormatting>
  <conditionalFormatting sqref="AC11:AF11">
    <cfRule type="expression" dxfId="370" priority="40" stopIfTrue="1">
      <formula>$AP$11=1</formula>
    </cfRule>
  </conditionalFormatting>
  <conditionalFormatting sqref="A51:B51">
    <cfRule type="expression" dxfId="369" priority="39" stopIfTrue="1">
      <formula>$AP$51=1</formula>
    </cfRule>
  </conditionalFormatting>
  <conditionalFormatting sqref="AC10:AD10">
    <cfRule type="expression" dxfId="368" priority="2" stopIfTrue="1">
      <formula>$AP$11=1</formula>
    </cfRule>
  </conditionalFormatting>
  <conditionalFormatting sqref="AE31">
    <cfRule type="expression" dxfId="367" priority="1" stopIfTrue="1">
      <formula>$AP$30</formula>
    </cfRule>
  </conditionalFormatting>
  <pageMargins left="0.7" right="0.7" top="0.75" bottom="0.75" header="0.3" footer="0.3"/>
  <pageSetup paperSize="9" orientation="portrait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AP75"/>
  <sheetViews>
    <sheetView topLeftCell="A7" zoomScale="70" zoomScaleNormal="70" workbookViewId="0">
      <selection activeCell="AF11" sqref="AF11:AF29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203" t="s">
        <v>85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263.82000000000005</v>
      </c>
      <c r="AM4" s="97">
        <f>SUM(AM5:AM46)</f>
        <v>4</v>
      </c>
      <c r="AN4" s="97">
        <f>SUM(AN5:AN46)</f>
        <v>263.82000000000005</v>
      </c>
      <c r="AO4" s="97">
        <f>SUM(AO5:AO46)</f>
        <v>31</v>
      </c>
      <c r="AP4" s="90"/>
    </row>
    <row r="5" spans="1:42" ht="15.75" x14ac:dyDescent="0.25">
      <c r="A5" s="98">
        <f t="shared" ref="A5:A35" si="0">AF5</f>
        <v>0</v>
      </c>
      <c r="B5" s="99">
        <f t="shared" ref="B5:B35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0.91800000000000004</v>
      </c>
      <c r="AA5" s="104"/>
      <c r="AB5" s="105"/>
      <c r="AC5" s="106">
        <f>IF(AA5="",AD5+Z5,"")</f>
        <v>270.26800000000003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270.26800000000003</v>
      </c>
      <c r="AI5" s="90">
        <f>IF(AA5="",AC5,AI4)</f>
        <v>270.26800000000003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269.346</v>
      </c>
      <c r="C6" s="100" t="str">
        <f t="shared" ref="C6:C36" si="5">IF(AG6="","",AG6)</f>
        <v>PRI</v>
      </c>
      <c r="D6" s="196"/>
      <c r="X6" s="111"/>
      <c r="Y6" s="112"/>
      <c r="Z6" s="113"/>
      <c r="AA6" s="114">
        <v>0.92200000000000004</v>
      </c>
      <c r="AB6" s="115"/>
      <c r="AC6" s="116" t="str">
        <f>IF(AA6="",AD6+Z6,"")</f>
        <v/>
      </c>
      <c r="AD6" s="117">
        <f>IF(AA6="",AH5-AB6,AH5-AA6)</f>
        <v>269.346</v>
      </c>
      <c r="AE6" s="118">
        <v>0</v>
      </c>
      <c r="AF6" s="117">
        <f>AE6</f>
        <v>0</v>
      </c>
      <c r="AG6" s="119" t="s">
        <v>4</v>
      </c>
      <c r="AH6" s="90">
        <f t="shared" si="2"/>
        <v>270.26800000000003</v>
      </c>
      <c r="AI6" s="90">
        <f t="shared" ref="AI6:AI46" si="6">IF(AA6="",AC6,AI5)</f>
        <v>270.26800000000003</v>
      </c>
      <c r="AJ6" s="90" t="str">
        <f t="shared" si="3"/>
        <v>PRI</v>
      </c>
      <c r="AK6" s="97">
        <f t="shared" si="4"/>
        <v>269.346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3.5</v>
      </c>
      <c r="B7" s="99">
        <f t="shared" si="1"/>
        <v>269.16200000000003</v>
      </c>
      <c r="C7" s="100" t="str">
        <f t="shared" si="5"/>
        <v/>
      </c>
      <c r="D7" s="196"/>
      <c r="X7" s="111"/>
      <c r="Y7" s="112"/>
      <c r="Z7" s="113"/>
      <c r="AA7" s="114">
        <v>1.1060000000000001</v>
      </c>
      <c r="AB7" s="115"/>
      <c r="AC7" s="116" t="str">
        <f t="shared" ref="AC7:AC35" si="11">IF(AA7="",AD7+Z7,"")</f>
        <v/>
      </c>
      <c r="AD7" s="117">
        <f>IF(AA7="",AH6-AB7,AH6-AA7)</f>
        <v>269.16200000000003</v>
      </c>
      <c r="AE7" s="118">
        <v>3.5</v>
      </c>
      <c r="AF7" s="117">
        <f t="shared" ref="AF7:AF35" si="12">+AF6+AE7</f>
        <v>3.5</v>
      </c>
      <c r="AG7" s="120"/>
      <c r="AH7" s="90">
        <f t="shared" si="2"/>
        <v>270.26800000000003</v>
      </c>
      <c r="AI7" s="90">
        <f t="shared" si="6"/>
        <v>270.26800000000003</v>
      </c>
      <c r="AJ7" s="90" t="str">
        <f t="shared" si="3"/>
        <v>PRI</v>
      </c>
      <c r="AK7" s="97">
        <f t="shared" si="4"/>
        <v>269.16200000000003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3.5</v>
      </c>
      <c r="B8" s="99">
        <f t="shared" si="1"/>
        <v>268.42500000000001</v>
      </c>
      <c r="C8" s="100" t="str">
        <f t="shared" si="5"/>
        <v/>
      </c>
      <c r="D8" s="196"/>
      <c r="X8" s="111"/>
      <c r="Y8" s="112"/>
      <c r="Z8" s="113"/>
      <c r="AA8" s="114">
        <v>1.843</v>
      </c>
      <c r="AB8" s="115"/>
      <c r="AC8" s="116" t="str">
        <f t="shared" si="11"/>
        <v/>
      </c>
      <c r="AD8" s="117">
        <f>IF(AA8="",AH7-AB8,AH7-AA8)</f>
        <v>268.42500000000001</v>
      </c>
      <c r="AE8" s="118">
        <v>0</v>
      </c>
      <c r="AF8" s="117">
        <f t="shared" si="12"/>
        <v>3.5</v>
      </c>
      <c r="AG8" s="120"/>
      <c r="AH8" s="90">
        <f t="shared" si="2"/>
        <v>270.26800000000003</v>
      </c>
      <c r="AI8" s="90">
        <f t="shared" si="6"/>
        <v>270.26800000000003</v>
      </c>
      <c r="AJ8" s="90" t="str">
        <f t="shared" si="3"/>
        <v>PRI</v>
      </c>
      <c r="AK8" s="97">
        <f t="shared" si="4"/>
        <v>268.42500000000001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4</v>
      </c>
      <c r="B9" s="99">
        <f t="shared" si="1"/>
        <v>268.30100000000004</v>
      </c>
      <c r="C9" s="100" t="str">
        <f t="shared" si="5"/>
        <v/>
      </c>
      <c r="D9" s="196"/>
      <c r="X9" s="111"/>
      <c r="Y9" s="112"/>
      <c r="Z9" s="113"/>
      <c r="AA9" s="114">
        <v>1.9670000000000001</v>
      </c>
      <c r="AB9" s="115"/>
      <c r="AC9" s="116" t="str">
        <f t="shared" si="11"/>
        <v/>
      </c>
      <c r="AD9" s="117">
        <f>IF(AA9="",AH8-AB9,AH8-AA9)</f>
        <v>268.30100000000004</v>
      </c>
      <c r="AE9" s="118">
        <v>0.5</v>
      </c>
      <c r="AF9" s="117">
        <f t="shared" si="12"/>
        <v>4</v>
      </c>
      <c r="AG9" s="119"/>
      <c r="AH9" s="90">
        <f t="shared" si="2"/>
        <v>270.26800000000003</v>
      </c>
      <c r="AI9" s="90">
        <f t="shared" si="6"/>
        <v>270.26800000000003</v>
      </c>
      <c r="AJ9" s="90" t="str">
        <f t="shared" si="3"/>
        <v>PRI</v>
      </c>
      <c r="AK9" s="97">
        <f t="shared" si="4"/>
        <v>268.30100000000004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4</v>
      </c>
      <c r="B10" s="99">
        <f t="shared" si="1"/>
        <v>265.70600000000002</v>
      </c>
      <c r="C10" s="100" t="str">
        <f t="shared" si="5"/>
        <v/>
      </c>
      <c r="D10" s="196"/>
      <c r="E10" s="88">
        <f>(B12+B35)/2</f>
        <v>265.23700000000008</v>
      </c>
      <c r="X10" s="111" t="s">
        <v>50</v>
      </c>
      <c r="Y10" s="112"/>
      <c r="Z10" s="113">
        <v>1.05</v>
      </c>
      <c r="AA10" s="114"/>
      <c r="AB10" s="115">
        <v>4.5620000000000003</v>
      </c>
      <c r="AC10" s="116">
        <f t="shared" si="11"/>
        <v>266.75600000000003</v>
      </c>
      <c r="AD10" s="117">
        <f t="shared" ref="AD10:AD13" si="13">IF(AJ9="S/BM",AD9,IF(AA10="",AH9-AB10,AH9-AA10))</f>
        <v>265.70600000000002</v>
      </c>
      <c r="AE10" s="118">
        <v>0</v>
      </c>
      <c r="AF10" s="117">
        <f t="shared" si="12"/>
        <v>4</v>
      </c>
      <c r="AG10" s="120"/>
      <c r="AH10" s="90">
        <f t="shared" si="2"/>
        <v>266.75600000000003</v>
      </c>
      <c r="AI10" s="90">
        <f t="shared" si="6"/>
        <v>266.75600000000003</v>
      </c>
      <c r="AJ10" s="90" t="str">
        <f t="shared" si="3"/>
        <v>PRI</v>
      </c>
      <c r="AK10" s="97">
        <f t="shared" si="4"/>
        <v>265.70600000000002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4</v>
      </c>
      <c r="B11" s="99">
        <f t="shared" si="1"/>
        <v>263.82000000000005</v>
      </c>
      <c r="C11" s="100" t="str">
        <f t="shared" si="5"/>
        <v>NAOI</v>
      </c>
      <c r="D11" s="196"/>
      <c r="E11" s="121">
        <v>0.33</v>
      </c>
      <c r="X11" s="111"/>
      <c r="Y11" s="112"/>
      <c r="Z11" s="113"/>
      <c r="AA11" s="114">
        <v>2.9359999999999999</v>
      </c>
      <c r="AB11" s="115"/>
      <c r="AC11" s="116" t="str">
        <f t="shared" si="11"/>
        <v/>
      </c>
      <c r="AD11" s="117">
        <f t="shared" si="13"/>
        <v>263.82000000000005</v>
      </c>
      <c r="AE11" s="118">
        <v>0</v>
      </c>
      <c r="AF11" s="117">
        <f t="shared" si="12"/>
        <v>4</v>
      </c>
      <c r="AG11" s="119" t="s">
        <v>9</v>
      </c>
      <c r="AH11" s="90">
        <f t="shared" si="2"/>
        <v>263.82000000000005</v>
      </c>
      <c r="AI11" s="90">
        <f t="shared" si="6"/>
        <v>266.75600000000003</v>
      </c>
      <c r="AJ11" s="90" t="str">
        <f t="shared" si="3"/>
        <v>NAOI</v>
      </c>
      <c r="AK11" s="97">
        <f t="shared" si="4"/>
        <v>263.82000000000005</v>
      </c>
      <c r="AL11" s="90">
        <f t="shared" si="7"/>
        <v>263.82000000000005</v>
      </c>
      <c r="AM11" s="97">
        <f t="shared" si="8"/>
        <v>4</v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4</v>
      </c>
      <c r="B12" s="99">
        <f t="shared" si="1"/>
        <v>261.11000000000007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2.71</v>
      </c>
      <c r="AB12" s="115"/>
      <c r="AC12" s="116" t="str">
        <f t="shared" si="11"/>
        <v/>
      </c>
      <c r="AD12" s="117">
        <f t="shared" si="13"/>
        <v>261.11000000000007</v>
      </c>
      <c r="AE12" s="118">
        <v>0</v>
      </c>
      <c r="AF12" s="117">
        <f t="shared" si="12"/>
        <v>4</v>
      </c>
      <c r="AG12" s="119"/>
      <c r="AH12" s="90">
        <f t="shared" si="2"/>
        <v>263.82000000000005</v>
      </c>
      <c r="AI12" s="90">
        <f t="shared" si="6"/>
        <v>266.75600000000003</v>
      </c>
      <c r="AJ12" s="90" t="str">
        <f t="shared" si="3"/>
        <v>NAOI</v>
      </c>
      <c r="AK12" s="97">
        <f t="shared" si="4"/>
        <v>263.82000000000005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6</v>
      </c>
      <c r="B13" s="99">
        <f t="shared" si="1"/>
        <v>261.10000000000002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2.72</v>
      </c>
      <c r="AB13" s="115"/>
      <c r="AC13" s="116" t="str">
        <f t="shared" si="11"/>
        <v/>
      </c>
      <c r="AD13" s="117">
        <f t="shared" si="13"/>
        <v>261.10000000000002</v>
      </c>
      <c r="AE13" s="118">
        <v>2</v>
      </c>
      <c r="AF13" s="117">
        <f t="shared" si="12"/>
        <v>6</v>
      </c>
      <c r="AG13" s="119"/>
      <c r="AH13" s="90">
        <f t="shared" si="2"/>
        <v>263.82000000000005</v>
      </c>
      <c r="AI13" s="90">
        <f t="shared" si="6"/>
        <v>266.75600000000003</v>
      </c>
      <c r="AJ13" s="90" t="str">
        <f t="shared" si="3"/>
        <v>NAOI</v>
      </c>
      <c r="AK13" s="97">
        <f t="shared" si="4"/>
        <v>263.82000000000005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7.5</v>
      </c>
      <c r="B14" s="99">
        <f t="shared" si="1"/>
        <v>261.09000000000003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2.73</v>
      </c>
      <c r="AB14" s="115"/>
      <c r="AC14" s="116" t="str">
        <f t="shared" si="11"/>
        <v/>
      </c>
      <c r="AD14" s="117">
        <f>IF(AJ13="S/BM",AD13,IF(AA14="",AH13-AB14,AH13-AA14))</f>
        <v>261.09000000000003</v>
      </c>
      <c r="AE14" s="118">
        <v>1.5</v>
      </c>
      <c r="AF14" s="117">
        <f t="shared" si="12"/>
        <v>7.5</v>
      </c>
      <c r="AG14" s="120"/>
      <c r="AH14" s="90">
        <f t="shared" si="2"/>
        <v>263.82000000000005</v>
      </c>
      <c r="AI14" s="90">
        <f t="shared" si="6"/>
        <v>266.75600000000003</v>
      </c>
      <c r="AJ14" s="90" t="str">
        <f t="shared" si="3"/>
        <v>NAOI</v>
      </c>
      <c r="AK14" s="97">
        <f>IF(AND(AJ14="NAOI",AJ13="NAOI"),AK13,AD14)</f>
        <v>263.82000000000005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9</v>
      </c>
      <c r="B15" s="99">
        <f t="shared" si="1"/>
        <v>261.02000000000004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2.8</v>
      </c>
      <c r="AB15" s="115"/>
      <c r="AC15" s="116" t="str">
        <f t="shared" si="11"/>
        <v/>
      </c>
      <c r="AD15" s="117">
        <f t="shared" ref="AD15:AD16" si="15">IF(AJ14="S/BM",AD14,IF(AA15="",AH14-AB15,AH14-AA15))</f>
        <v>261.02000000000004</v>
      </c>
      <c r="AE15" s="118">
        <v>1.5</v>
      </c>
      <c r="AF15" s="117">
        <f t="shared" si="12"/>
        <v>9</v>
      </c>
      <c r="AG15" s="120"/>
      <c r="AH15" s="90">
        <f t="shared" si="2"/>
        <v>263.82000000000005</v>
      </c>
      <c r="AI15" s="90">
        <f t="shared" si="6"/>
        <v>266.75600000000003</v>
      </c>
      <c r="AJ15" s="90" t="str">
        <f t="shared" si="3"/>
        <v>NAOI</v>
      </c>
      <c r="AK15" s="97">
        <f>IF(AND(AJ15="NAOI",AJ14="NAOI"),AK14,AD15)</f>
        <v>263.82000000000005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10.5</v>
      </c>
      <c r="B16" s="99">
        <f t="shared" si="1"/>
        <v>261.13000000000005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2.69</v>
      </c>
      <c r="AB16" s="115"/>
      <c r="AC16" s="116" t="str">
        <f t="shared" si="11"/>
        <v/>
      </c>
      <c r="AD16" s="117">
        <f t="shared" si="15"/>
        <v>261.13000000000005</v>
      </c>
      <c r="AE16" s="118">
        <v>1.5</v>
      </c>
      <c r="AF16" s="117">
        <f t="shared" si="12"/>
        <v>10.5</v>
      </c>
      <c r="AG16" s="119"/>
      <c r="AH16" s="90">
        <f t="shared" si="2"/>
        <v>263.82000000000005</v>
      </c>
      <c r="AI16" s="90">
        <f t="shared" si="6"/>
        <v>266.75600000000003</v>
      </c>
      <c r="AJ16" s="90" t="str">
        <f t="shared" si="3"/>
        <v>NAOI</v>
      </c>
      <c r="AK16" s="97">
        <f>IF(AND(AJ16="NAOI",AJ15="NAOI"),AK15,AD16)</f>
        <v>263.82000000000005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12</v>
      </c>
      <c r="B17" s="99">
        <f t="shared" si="1"/>
        <v>261.21000000000004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2.61</v>
      </c>
      <c r="AB17" s="115"/>
      <c r="AC17" s="116" t="str">
        <f t="shared" si="11"/>
        <v/>
      </c>
      <c r="AD17" s="117">
        <f>IF(AJ16="S/BM",AD16,IF(AA17="",AH16-AB17,AH16-AA17))</f>
        <v>261.21000000000004</v>
      </c>
      <c r="AE17" s="118">
        <v>1.5</v>
      </c>
      <c r="AF17" s="117">
        <f t="shared" si="12"/>
        <v>12</v>
      </c>
      <c r="AG17" s="122"/>
      <c r="AH17" s="90">
        <f t="shared" si="2"/>
        <v>263.82000000000005</v>
      </c>
      <c r="AI17" s="90">
        <f t="shared" si="6"/>
        <v>266.75600000000003</v>
      </c>
      <c r="AJ17" s="90" t="str">
        <f t="shared" si="3"/>
        <v>NAOI</v>
      </c>
      <c r="AK17" s="97">
        <f t="shared" ref="AK17:AK46" si="16">IF(AND(AJ17="NAOI",AJ16="NAOI"),AK16,AD17)</f>
        <v>263.82000000000005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13.5</v>
      </c>
      <c r="B18" s="99">
        <f t="shared" si="1"/>
        <v>261.17000000000007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2.65</v>
      </c>
      <c r="AB18" s="115"/>
      <c r="AC18" s="116" t="str">
        <f t="shared" si="11"/>
        <v/>
      </c>
      <c r="AD18" s="117">
        <f t="shared" ref="AD18:AD35" si="17">IF(AJ17="S/BM",AD17,IF(AA18="",AH17-AB18,AH17-AA18))</f>
        <v>261.17000000000007</v>
      </c>
      <c r="AE18" s="118">
        <v>1.5</v>
      </c>
      <c r="AF18" s="117">
        <f t="shared" si="12"/>
        <v>13.5</v>
      </c>
      <c r="AG18" s="122"/>
      <c r="AH18" s="90">
        <f t="shared" si="2"/>
        <v>263.82000000000005</v>
      </c>
      <c r="AI18" s="90">
        <f t="shared" si="6"/>
        <v>266.75600000000003</v>
      </c>
      <c r="AJ18" s="90" t="str">
        <f t="shared" si="3"/>
        <v>NAOI</v>
      </c>
      <c r="AK18" s="97">
        <f t="shared" si="16"/>
        <v>263.82000000000005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15</v>
      </c>
      <c r="B19" s="99">
        <f t="shared" si="1"/>
        <v>261.24000000000007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2.58</v>
      </c>
      <c r="AB19" s="115"/>
      <c r="AC19" s="116" t="str">
        <f t="shared" si="11"/>
        <v/>
      </c>
      <c r="AD19" s="117">
        <f t="shared" si="17"/>
        <v>261.24000000000007</v>
      </c>
      <c r="AE19" s="118">
        <v>1.5</v>
      </c>
      <c r="AF19" s="117">
        <f t="shared" si="12"/>
        <v>15</v>
      </c>
      <c r="AG19" s="122"/>
      <c r="AH19" s="90">
        <f t="shared" si="2"/>
        <v>263.82000000000005</v>
      </c>
      <c r="AI19" s="90">
        <f t="shared" si="6"/>
        <v>266.75600000000003</v>
      </c>
      <c r="AJ19" s="90" t="str">
        <f t="shared" si="3"/>
        <v>NAOI</v>
      </c>
      <c r="AK19" s="97">
        <f t="shared" si="16"/>
        <v>263.82000000000005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16.5</v>
      </c>
      <c r="B20" s="99">
        <f t="shared" si="1"/>
        <v>261.22000000000003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2.6</v>
      </c>
      <c r="AB20" s="115"/>
      <c r="AC20" s="116" t="str">
        <f t="shared" si="11"/>
        <v/>
      </c>
      <c r="AD20" s="117">
        <f t="shared" si="17"/>
        <v>261.22000000000003</v>
      </c>
      <c r="AE20" s="118">
        <v>1.5</v>
      </c>
      <c r="AF20" s="117">
        <f t="shared" si="12"/>
        <v>16.5</v>
      </c>
      <c r="AG20" s="122"/>
      <c r="AH20" s="90">
        <f t="shared" si="2"/>
        <v>263.82000000000005</v>
      </c>
      <c r="AI20" s="90">
        <f t="shared" si="6"/>
        <v>266.75600000000003</v>
      </c>
      <c r="AJ20" s="90" t="str">
        <f t="shared" si="3"/>
        <v>NAOI</v>
      </c>
      <c r="AK20" s="97">
        <f t="shared" si="16"/>
        <v>263.82000000000005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18</v>
      </c>
      <c r="B21" s="99">
        <f t="shared" si="1"/>
        <v>260.99000000000007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2.83</v>
      </c>
      <c r="AB21" s="115"/>
      <c r="AC21" s="116" t="str">
        <f t="shared" si="11"/>
        <v/>
      </c>
      <c r="AD21" s="117">
        <f t="shared" si="17"/>
        <v>260.99000000000007</v>
      </c>
      <c r="AE21" s="118">
        <v>1.5</v>
      </c>
      <c r="AF21" s="117">
        <f t="shared" si="12"/>
        <v>18</v>
      </c>
      <c r="AG21" s="122"/>
      <c r="AH21" s="90">
        <f t="shared" si="2"/>
        <v>263.82000000000005</v>
      </c>
      <c r="AI21" s="90">
        <f t="shared" si="6"/>
        <v>266.75600000000003</v>
      </c>
      <c r="AJ21" s="90" t="str">
        <f t="shared" si="3"/>
        <v>NAOI</v>
      </c>
      <c r="AK21" s="97">
        <f t="shared" si="16"/>
        <v>263.82000000000005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19.5</v>
      </c>
      <c r="B22" s="99">
        <f t="shared" si="1"/>
        <v>260.99000000000007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2.83</v>
      </c>
      <c r="AB22" s="115"/>
      <c r="AC22" s="116" t="str">
        <f t="shared" si="11"/>
        <v/>
      </c>
      <c r="AD22" s="117">
        <f t="shared" si="17"/>
        <v>260.99000000000007</v>
      </c>
      <c r="AE22" s="118">
        <v>1.5</v>
      </c>
      <c r="AF22" s="117">
        <f t="shared" si="12"/>
        <v>19.5</v>
      </c>
      <c r="AG22" s="122"/>
      <c r="AH22" s="90">
        <f t="shared" si="2"/>
        <v>263.82000000000005</v>
      </c>
      <c r="AI22" s="90">
        <f t="shared" si="6"/>
        <v>266.75600000000003</v>
      </c>
      <c r="AJ22" s="90" t="str">
        <f t="shared" si="3"/>
        <v>NAOI</v>
      </c>
      <c r="AK22" s="97">
        <f t="shared" si="16"/>
        <v>263.82000000000005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21</v>
      </c>
      <c r="B23" s="99">
        <f t="shared" si="1"/>
        <v>261.13000000000005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2.69</v>
      </c>
      <c r="AB23" s="115"/>
      <c r="AC23" s="116" t="str">
        <f t="shared" si="11"/>
        <v/>
      </c>
      <c r="AD23" s="117">
        <f t="shared" si="17"/>
        <v>261.13000000000005</v>
      </c>
      <c r="AE23" s="118">
        <v>1.5</v>
      </c>
      <c r="AF23" s="117">
        <f t="shared" si="12"/>
        <v>21</v>
      </c>
      <c r="AG23" s="122"/>
      <c r="AH23" s="90">
        <f t="shared" si="2"/>
        <v>263.82000000000005</v>
      </c>
      <c r="AI23" s="90">
        <f t="shared" si="6"/>
        <v>266.75600000000003</v>
      </c>
      <c r="AJ23" s="90" t="str">
        <f t="shared" si="3"/>
        <v>NAOI</v>
      </c>
      <c r="AK23" s="97">
        <f t="shared" si="16"/>
        <v>263.82000000000005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22.5</v>
      </c>
      <c r="B24" s="99">
        <f t="shared" si="1"/>
        <v>261.00000000000006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2.82</v>
      </c>
      <c r="AB24" s="115"/>
      <c r="AC24" s="116" t="str">
        <f t="shared" si="11"/>
        <v/>
      </c>
      <c r="AD24" s="117">
        <f t="shared" si="17"/>
        <v>261.00000000000006</v>
      </c>
      <c r="AE24" s="118">
        <v>1.5</v>
      </c>
      <c r="AF24" s="117">
        <f t="shared" si="12"/>
        <v>22.5</v>
      </c>
      <c r="AG24" s="122"/>
      <c r="AH24" s="90">
        <f t="shared" si="2"/>
        <v>263.82000000000005</v>
      </c>
      <c r="AI24" s="90">
        <f t="shared" si="6"/>
        <v>266.75600000000003</v>
      </c>
      <c r="AJ24" s="90" t="str">
        <f t="shared" si="3"/>
        <v>NAOI</v>
      </c>
      <c r="AK24" s="97">
        <f t="shared" si="16"/>
        <v>263.82000000000005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24</v>
      </c>
      <c r="B25" s="99">
        <f t="shared" si="1"/>
        <v>261.09000000000003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2.73</v>
      </c>
      <c r="AB25" s="115"/>
      <c r="AC25" s="116" t="str">
        <f t="shared" si="11"/>
        <v/>
      </c>
      <c r="AD25" s="117">
        <f t="shared" si="17"/>
        <v>261.09000000000003</v>
      </c>
      <c r="AE25" s="118">
        <v>1.5</v>
      </c>
      <c r="AF25" s="117">
        <f t="shared" si="12"/>
        <v>24</v>
      </c>
      <c r="AG25" s="122"/>
      <c r="AH25" s="90">
        <f t="shared" si="2"/>
        <v>263.82000000000005</v>
      </c>
      <c r="AI25" s="90">
        <f t="shared" si="6"/>
        <v>266.75600000000003</v>
      </c>
      <c r="AJ25" s="90" t="str">
        <f t="shared" si="3"/>
        <v>NAOI</v>
      </c>
      <c r="AK25" s="97">
        <f t="shared" si="16"/>
        <v>263.82000000000005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25.5</v>
      </c>
      <c r="B26" s="99">
        <f t="shared" si="1"/>
        <v>261.11000000000007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2.71</v>
      </c>
      <c r="AB26" s="115"/>
      <c r="AC26" s="116" t="str">
        <f t="shared" si="11"/>
        <v/>
      </c>
      <c r="AD26" s="117">
        <f t="shared" si="17"/>
        <v>261.11000000000007</v>
      </c>
      <c r="AE26" s="118">
        <v>1.5</v>
      </c>
      <c r="AF26" s="117">
        <f t="shared" si="12"/>
        <v>25.5</v>
      </c>
      <c r="AG26" s="122"/>
      <c r="AH26" s="90">
        <f t="shared" si="2"/>
        <v>263.82000000000005</v>
      </c>
      <c r="AI26" s="90">
        <f t="shared" si="6"/>
        <v>266.75600000000003</v>
      </c>
      <c r="AJ26" s="90" t="str">
        <f t="shared" si="3"/>
        <v>NAOI</v>
      </c>
      <c r="AK26" s="97">
        <f t="shared" si="16"/>
        <v>263.82000000000005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27</v>
      </c>
      <c r="B27" s="99">
        <f t="shared" si="1"/>
        <v>261.36000000000007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2.46</v>
      </c>
      <c r="AB27" s="115"/>
      <c r="AC27" s="116" t="str">
        <f t="shared" si="11"/>
        <v/>
      </c>
      <c r="AD27" s="117">
        <f t="shared" si="17"/>
        <v>261.36000000000007</v>
      </c>
      <c r="AE27" s="118">
        <v>1.5</v>
      </c>
      <c r="AF27" s="117">
        <f t="shared" si="12"/>
        <v>27</v>
      </c>
      <c r="AG27" s="122"/>
      <c r="AH27" s="90">
        <f t="shared" si="2"/>
        <v>263.82000000000005</v>
      </c>
      <c r="AI27" s="90">
        <f t="shared" si="6"/>
        <v>266.75600000000003</v>
      </c>
      <c r="AJ27" s="90" t="str">
        <f t="shared" si="3"/>
        <v>NAOI</v>
      </c>
      <c r="AK27" s="97">
        <f t="shared" si="16"/>
        <v>263.82000000000005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29</v>
      </c>
      <c r="B28" s="99">
        <f t="shared" si="1"/>
        <v>262.83000000000004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0.99</v>
      </c>
      <c r="AB28" s="115"/>
      <c r="AC28" s="116" t="str">
        <f t="shared" si="11"/>
        <v/>
      </c>
      <c r="AD28" s="117">
        <f t="shared" si="17"/>
        <v>262.83000000000004</v>
      </c>
      <c r="AE28" s="118">
        <v>2</v>
      </c>
      <c r="AF28" s="117">
        <f t="shared" si="12"/>
        <v>29</v>
      </c>
      <c r="AG28" s="122"/>
      <c r="AH28" s="90">
        <f t="shared" si="2"/>
        <v>266.75600000000003</v>
      </c>
      <c r="AI28" s="90">
        <f t="shared" si="6"/>
        <v>266.75600000000003</v>
      </c>
      <c r="AJ28" s="90" t="str">
        <f t="shared" si="3"/>
        <v>NAOI</v>
      </c>
      <c r="AK28" s="97">
        <f t="shared" si="16"/>
        <v>263.82000000000005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31</v>
      </c>
      <c r="B29" s="99">
        <f t="shared" si="1"/>
        <v>263.82000000000005</v>
      </c>
      <c r="C29" s="100" t="str">
        <f t="shared" si="5"/>
        <v>NAOD</v>
      </c>
      <c r="D29" s="196"/>
      <c r="E29" s="121">
        <v>1.2</v>
      </c>
      <c r="X29" s="111"/>
      <c r="Y29" s="112"/>
      <c r="Z29" s="113"/>
      <c r="AA29" s="114">
        <v>2.9359999999999999</v>
      </c>
      <c r="AB29" s="115"/>
      <c r="AC29" s="116" t="str">
        <f t="shared" si="11"/>
        <v/>
      </c>
      <c r="AD29" s="117">
        <f t="shared" si="17"/>
        <v>263.82000000000005</v>
      </c>
      <c r="AE29" s="118">
        <v>2</v>
      </c>
      <c r="AF29" s="117">
        <f t="shared" si="12"/>
        <v>31</v>
      </c>
      <c r="AG29" s="119" t="s">
        <v>10</v>
      </c>
      <c r="AH29" s="90">
        <f t="shared" si="2"/>
        <v>266.75600000000003</v>
      </c>
      <c r="AI29" s="90">
        <f t="shared" si="6"/>
        <v>266.75600000000003</v>
      </c>
      <c r="AJ29" s="90" t="str">
        <f t="shared" si="3"/>
        <v>NAOD</v>
      </c>
      <c r="AK29" s="97">
        <f t="shared" si="16"/>
        <v>263.82000000000005</v>
      </c>
      <c r="AL29" s="90" t="str">
        <f t="shared" si="7"/>
        <v/>
      </c>
      <c r="AM29" s="97" t="str">
        <f t="shared" si="8"/>
        <v/>
      </c>
      <c r="AN29" s="90">
        <f t="shared" si="9"/>
        <v>263.82000000000005</v>
      </c>
      <c r="AO29" s="90">
        <f t="shared" si="10"/>
        <v>31</v>
      </c>
      <c r="AP29" s="90">
        <f t="shared" si="14"/>
        <v>0</v>
      </c>
    </row>
    <row r="30" spans="1:42" ht="15.75" x14ac:dyDescent="0.25">
      <c r="A30" s="98">
        <f t="shared" si="0"/>
        <v>32.5</v>
      </c>
      <c r="B30" s="99">
        <f t="shared" si="1"/>
        <v>264.27600000000001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2.48</v>
      </c>
      <c r="AB30" s="115"/>
      <c r="AC30" s="116" t="str">
        <f t="shared" si="11"/>
        <v/>
      </c>
      <c r="AD30" s="117">
        <f t="shared" si="17"/>
        <v>264.27600000000001</v>
      </c>
      <c r="AE30" s="118">
        <v>1.5</v>
      </c>
      <c r="AF30" s="117">
        <f t="shared" si="12"/>
        <v>32.5</v>
      </c>
      <c r="AG30" s="119"/>
      <c r="AH30" s="90">
        <f t="shared" si="2"/>
        <v>266.75600000000003</v>
      </c>
      <c r="AI30" s="90">
        <f t="shared" si="6"/>
        <v>266.75600000000003</v>
      </c>
      <c r="AJ30" s="90" t="str">
        <f t="shared" si="3"/>
        <v>NAOD</v>
      </c>
      <c r="AK30" s="97">
        <f t="shared" si="16"/>
        <v>264.27600000000001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32.5</v>
      </c>
      <c r="B31" s="99">
        <f t="shared" si="1"/>
        <v>265.70600000000002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1.05</v>
      </c>
      <c r="AB31" s="115"/>
      <c r="AC31" s="116" t="str">
        <f t="shared" si="11"/>
        <v/>
      </c>
      <c r="AD31" s="117">
        <f t="shared" si="17"/>
        <v>265.70600000000002</v>
      </c>
      <c r="AE31" s="118">
        <v>0</v>
      </c>
      <c r="AF31" s="117">
        <f t="shared" si="12"/>
        <v>32.5</v>
      </c>
      <c r="AG31" s="119"/>
      <c r="AH31" s="90">
        <f t="shared" si="2"/>
        <v>266.75600000000003</v>
      </c>
      <c r="AI31" s="90">
        <f t="shared" si="6"/>
        <v>266.75600000000003</v>
      </c>
      <c r="AJ31" s="90" t="str">
        <f t="shared" si="3"/>
        <v>NAOD</v>
      </c>
      <c r="AK31" s="97">
        <f t="shared" si="16"/>
        <v>265.70600000000002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33.5</v>
      </c>
      <c r="B32" s="99">
        <f t="shared" si="1"/>
        <v>265.70100000000002</v>
      </c>
      <c r="C32" s="100" t="str">
        <f t="shared" si="5"/>
        <v/>
      </c>
      <c r="D32" s="196"/>
      <c r="E32" s="121">
        <v>0.35</v>
      </c>
      <c r="X32" s="111"/>
      <c r="Y32" s="112"/>
      <c r="Z32" s="113"/>
      <c r="AA32" s="114">
        <v>1.0549999999999999</v>
      </c>
      <c r="AB32" s="115"/>
      <c r="AC32" s="116" t="str">
        <f t="shared" si="11"/>
        <v/>
      </c>
      <c r="AD32" s="117">
        <f t="shared" si="17"/>
        <v>265.70100000000002</v>
      </c>
      <c r="AE32" s="118">
        <v>1</v>
      </c>
      <c r="AF32" s="117">
        <f t="shared" si="12"/>
        <v>33.5</v>
      </c>
      <c r="AG32" s="119"/>
      <c r="AH32" s="90">
        <f t="shared" si="2"/>
        <v>266.75600000000003</v>
      </c>
      <c r="AI32" s="90">
        <f t="shared" si="6"/>
        <v>266.75600000000003</v>
      </c>
      <c r="AJ32" s="90" t="str">
        <f t="shared" si="3"/>
        <v>NAOD</v>
      </c>
      <c r="AK32" s="97">
        <f t="shared" si="16"/>
        <v>265.70100000000002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33.5</v>
      </c>
      <c r="B33" s="99">
        <f t="shared" si="1"/>
        <v>266.74600000000004</v>
      </c>
      <c r="C33" s="100" t="str">
        <f t="shared" si="5"/>
        <v>PRD</v>
      </c>
      <c r="D33" s="196"/>
      <c r="X33" s="111"/>
      <c r="Y33" s="112"/>
      <c r="Z33" s="113"/>
      <c r="AA33" s="114">
        <v>0.01</v>
      </c>
      <c r="AB33" s="115"/>
      <c r="AC33" s="116" t="str">
        <f t="shared" si="11"/>
        <v/>
      </c>
      <c r="AD33" s="117">
        <f t="shared" si="17"/>
        <v>266.74600000000004</v>
      </c>
      <c r="AE33" s="118">
        <v>0</v>
      </c>
      <c r="AF33" s="117">
        <f t="shared" si="12"/>
        <v>33.5</v>
      </c>
      <c r="AG33" s="119" t="s">
        <v>5</v>
      </c>
      <c r="AH33" s="90">
        <f t="shared" si="2"/>
        <v>266.75600000000003</v>
      </c>
      <c r="AI33" s="90">
        <f t="shared" si="6"/>
        <v>266.75600000000003</v>
      </c>
      <c r="AJ33" s="90" t="str">
        <f t="shared" si="3"/>
        <v>PRD</v>
      </c>
      <c r="AK33" s="97">
        <f t="shared" si="16"/>
        <v>266.74600000000004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>
        <f t="shared" si="0"/>
        <v>33.5</v>
      </c>
      <c r="B34" s="99">
        <f t="shared" si="1"/>
        <v>265.42800000000005</v>
      </c>
      <c r="C34" s="100" t="str">
        <f t="shared" si="5"/>
        <v/>
      </c>
      <c r="D34" s="196"/>
      <c r="X34" s="111" t="s">
        <v>51</v>
      </c>
      <c r="Y34" s="112"/>
      <c r="Z34" s="113">
        <v>4.681</v>
      </c>
      <c r="AA34" s="114"/>
      <c r="AB34" s="115">
        <v>1.3280000000000001</v>
      </c>
      <c r="AC34" s="116">
        <f t="shared" si="11"/>
        <v>270.10900000000004</v>
      </c>
      <c r="AD34" s="117">
        <f t="shared" si="17"/>
        <v>265.42800000000005</v>
      </c>
      <c r="AE34" s="118">
        <v>0</v>
      </c>
      <c r="AF34" s="117">
        <f t="shared" si="12"/>
        <v>33.5</v>
      </c>
      <c r="AG34" s="119"/>
      <c r="AH34" s="90">
        <f t="shared" si="2"/>
        <v>270.10900000000004</v>
      </c>
      <c r="AI34" s="90">
        <f t="shared" si="6"/>
        <v>270.10900000000004</v>
      </c>
      <c r="AJ34" s="90" t="str">
        <f t="shared" si="3"/>
        <v>PRD</v>
      </c>
      <c r="AK34" s="97">
        <f t="shared" si="16"/>
        <v>265.42800000000005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33.5</v>
      </c>
      <c r="B35" s="99">
        <f t="shared" si="1"/>
        <v>269.36400000000003</v>
      </c>
      <c r="C35" s="100" t="str">
        <f t="shared" si="5"/>
        <v xml:space="preserve">S/BM </v>
      </c>
      <c r="D35" s="196"/>
      <c r="X35" s="111"/>
      <c r="Y35" s="112"/>
      <c r="Z35" s="113"/>
      <c r="AA35" s="114">
        <v>0.745</v>
      </c>
      <c r="AB35" s="115"/>
      <c r="AC35" s="116" t="str">
        <f t="shared" si="11"/>
        <v/>
      </c>
      <c r="AD35" s="117">
        <f t="shared" si="17"/>
        <v>269.36400000000003</v>
      </c>
      <c r="AE35" s="118">
        <v>0</v>
      </c>
      <c r="AF35" s="117">
        <f t="shared" si="12"/>
        <v>33.5</v>
      </c>
      <c r="AG35" s="120" t="s">
        <v>49</v>
      </c>
      <c r="AH35" s="90">
        <f t="shared" si="2"/>
        <v>270.10900000000004</v>
      </c>
      <c r="AI35" s="90">
        <f t="shared" si="6"/>
        <v>270.10900000000004</v>
      </c>
      <c r="AJ35" s="90" t="str">
        <f t="shared" si="3"/>
        <v xml:space="preserve">S/BM </v>
      </c>
      <c r="AK35" s="97">
        <f t="shared" si="16"/>
        <v>269.36400000000003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/>
      <c r="B36" s="99"/>
      <c r="C36" s="100" t="str">
        <f t="shared" si="5"/>
        <v/>
      </c>
      <c r="D36" s="196"/>
      <c r="X36" s="111"/>
      <c r="Y36" s="112"/>
      <c r="Z36" s="113"/>
      <c r="AA36" s="114"/>
      <c r="AB36" s="115"/>
      <c r="AC36" s="116"/>
      <c r="AD36" s="117"/>
      <c r="AE36" s="118"/>
      <c r="AF36" s="117"/>
      <c r="AG36" s="120"/>
      <c r="AH36" s="90">
        <f t="shared" si="2"/>
        <v>0</v>
      </c>
      <c r="AI36" s="90">
        <f t="shared" si="6"/>
        <v>0</v>
      </c>
      <c r="AJ36" s="90" t="str">
        <f t="shared" si="3"/>
        <v xml:space="preserve">S/BM </v>
      </c>
      <c r="AK36" s="97">
        <f t="shared" si="16"/>
        <v>0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/>
      <c r="B37" s="99"/>
      <c r="C37" s="100"/>
      <c r="D37" s="196"/>
      <c r="X37" s="111"/>
      <c r="Y37" s="112"/>
      <c r="Z37" s="113"/>
      <c r="AA37" s="114"/>
      <c r="AB37" s="115"/>
      <c r="AC37" s="116"/>
      <c r="AD37" s="117"/>
      <c r="AE37" s="118"/>
      <c r="AF37" s="117"/>
      <c r="AG37" s="120"/>
      <c r="AH37" s="90">
        <f t="shared" si="2"/>
        <v>0</v>
      </c>
      <c r="AI37" s="90">
        <f t="shared" si="6"/>
        <v>0</v>
      </c>
      <c r="AJ37" s="90" t="str">
        <f t="shared" si="3"/>
        <v xml:space="preserve">S/BM </v>
      </c>
      <c r="AK37" s="97">
        <f t="shared" si="16"/>
        <v>0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/>
      <c r="B38" s="99"/>
      <c r="C38" s="100"/>
      <c r="D38" s="196"/>
      <c r="X38" s="111"/>
      <c r="Y38" s="112"/>
      <c r="Z38" s="113"/>
      <c r="AA38" s="114"/>
      <c r="AB38" s="115"/>
      <c r="AC38" s="116"/>
      <c r="AD38" s="117"/>
      <c r="AE38" s="118"/>
      <c r="AF38" s="117"/>
      <c r="AG38" s="119"/>
      <c r="AH38" s="90">
        <f t="shared" si="2"/>
        <v>0</v>
      </c>
      <c r="AI38" s="90">
        <f t="shared" si="6"/>
        <v>0</v>
      </c>
      <c r="AJ38" s="90" t="str">
        <f t="shared" si="3"/>
        <v xml:space="preserve">S/BM </v>
      </c>
      <c r="AK38" s="97">
        <f t="shared" si="16"/>
        <v>0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/>
      <c r="B39" s="99"/>
      <c r="C39" s="100"/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 xml:space="preserve">S/BM </v>
      </c>
      <c r="AK39" s="97">
        <f t="shared" si="16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/>
      <c r="B40" s="99"/>
      <c r="C40" s="170"/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19"/>
      <c r="AH40" s="90">
        <f t="shared" si="2"/>
        <v>0</v>
      </c>
      <c r="AI40" s="90">
        <f t="shared" si="6"/>
        <v>0</v>
      </c>
      <c r="AJ40" s="90" t="str">
        <f t="shared" si="3"/>
        <v xml:space="preserve">S/BM </v>
      </c>
      <c r="AK40" s="97">
        <f t="shared" si="16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/>
      <c r="B41" s="99"/>
      <c r="C41" s="170"/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 xml:space="preserve">S/BM </v>
      </c>
      <c r="AK41" s="97">
        <f t="shared" si="16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/>
      <c r="B42" s="99"/>
      <c r="C42" s="170"/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 xml:space="preserve">S/BM </v>
      </c>
      <c r="AK42" s="97">
        <f t="shared" si="16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0</v>
      </c>
    </row>
    <row r="43" spans="1:42" ht="15.75" x14ac:dyDescent="0.25">
      <c r="A43" s="98"/>
      <c r="B43" s="99"/>
      <c r="C43" s="170"/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19"/>
      <c r="AH43" s="90">
        <f t="shared" si="2"/>
        <v>0</v>
      </c>
      <c r="AI43" s="90">
        <f t="shared" si="6"/>
        <v>0</v>
      </c>
      <c r="AJ43" s="90" t="str">
        <f t="shared" si="3"/>
        <v xml:space="preserve">S/BM </v>
      </c>
      <c r="AK43" s="97">
        <f t="shared" si="16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/>
      <c r="B44" s="99"/>
      <c r="C44" s="170"/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20"/>
      <c r="AH44" s="90">
        <f t="shared" si="2"/>
        <v>0</v>
      </c>
      <c r="AI44" s="90">
        <f t="shared" si="6"/>
        <v>0</v>
      </c>
      <c r="AJ44" s="90" t="str">
        <f t="shared" si="3"/>
        <v xml:space="preserve">S/BM </v>
      </c>
      <c r="AK44" s="97">
        <f t="shared" si="16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/>
      <c r="B45" s="99"/>
      <c r="C45" s="170"/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16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/>
      <c r="B46" s="99"/>
      <c r="C46" s="100"/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16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/>
      <c r="B47" s="99"/>
      <c r="C47" s="100" t="str">
        <f t="shared" ref="C47:C51" si="18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8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0</v>
      </c>
    </row>
    <row r="49" spans="1:42" ht="15.75" x14ac:dyDescent="0.25">
      <c r="A49" s="98"/>
      <c r="B49" s="99"/>
      <c r="C49" s="100" t="str">
        <f t="shared" si="18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0</v>
      </c>
    </row>
    <row r="50" spans="1:42" ht="15.75" x14ac:dyDescent="0.25">
      <c r="A50" s="98"/>
      <c r="B50" s="99"/>
      <c r="C50" s="100" t="str">
        <f t="shared" si="18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0</v>
      </c>
    </row>
    <row r="51" spans="1:42" ht="16.5" thickBot="1" x14ac:dyDescent="0.3">
      <c r="A51" s="126"/>
      <c r="B51" s="127"/>
      <c r="C51" s="100" t="str">
        <f t="shared" si="18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4</v>
      </c>
      <c r="B53" s="140">
        <f>AL4</f>
        <v>263.82000000000005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31</v>
      </c>
      <c r="B54" s="140">
        <f>AN4</f>
        <v>263.82000000000005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261.36599999999999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266.36599999999999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267.80200000000002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269.30200000000002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270.255</v>
      </c>
      <c r="C59" s="152" t="s">
        <v>7</v>
      </c>
      <c r="D59" s="153"/>
    </row>
    <row r="60" spans="1:42" ht="13.5" thickBot="1" x14ac:dyDescent="0.25">
      <c r="A60" s="154">
        <v>33.5</v>
      </c>
      <c r="B60" s="151">
        <v>270.255</v>
      </c>
      <c r="C60" s="152" t="s">
        <v>7</v>
      </c>
      <c r="D60" s="153"/>
    </row>
    <row r="61" spans="1:42" ht="18" x14ac:dyDescent="0.25">
      <c r="A61" s="155" t="s">
        <v>86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261.36599999999999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73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69</v>
      </c>
      <c r="C69" s="181"/>
    </row>
    <row r="70" spans="1:4" ht="14.25" x14ac:dyDescent="0.2">
      <c r="A70" s="161" t="s">
        <v>60</v>
      </c>
      <c r="B70" s="181" t="s">
        <v>69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43300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366" priority="123" stopIfTrue="1">
      <formula>$AP$47=1</formula>
    </cfRule>
  </conditionalFormatting>
  <conditionalFormatting sqref="AC46:AF46">
    <cfRule type="expression" dxfId="365" priority="122" stopIfTrue="1">
      <formula>$AP$46</formula>
    </cfRule>
  </conditionalFormatting>
  <conditionalFormatting sqref="AC50:AF50">
    <cfRule type="expression" dxfId="364" priority="121" stopIfTrue="1">
      <formula>$AP$50=1</formula>
    </cfRule>
  </conditionalFormatting>
  <conditionalFormatting sqref="AC51:AF51">
    <cfRule type="expression" dxfId="363" priority="120" stopIfTrue="1">
      <formula>$AP$51=1</formula>
    </cfRule>
  </conditionalFormatting>
  <conditionalFormatting sqref="AC49:AF49">
    <cfRule type="expression" dxfId="362" priority="119" stopIfTrue="1">
      <formula>$AP$49=1</formula>
    </cfRule>
  </conditionalFormatting>
  <conditionalFormatting sqref="AC48:AF48">
    <cfRule type="expression" dxfId="361" priority="118" stopIfTrue="1">
      <formula>$AP$48=1</formula>
    </cfRule>
  </conditionalFormatting>
  <conditionalFormatting sqref="AC45:AF45">
    <cfRule type="expression" dxfId="360" priority="117" stopIfTrue="1">
      <formula>$AP$45=1</formula>
    </cfRule>
  </conditionalFormatting>
  <conditionalFormatting sqref="AC44 AE44">
    <cfRule type="expression" dxfId="359" priority="116" stopIfTrue="1">
      <formula>$AP$44=1</formula>
    </cfRule>
  </conditionalFormatting>
  <conditionalFormatting sqref="AC43 AE43">
    <cfRule type="expression" dxfId="358" priority="115" stopIfTrue="1">
      <formula>$AP$43=1</formula>
    </cfRule>
  </conditionalFormatting>
  <conditionalFormatting sqref="AE42">
    <cfRule type="expression" dxfId="357" priority="114" stopIfTrue="1">
      <formula>$AP$42=1</formula>
    </cfRule>
  </conditionalFormatting>
  <conditionalFormatting sqref="AE41">
    <cfRule type="expression" dxfId="356" priority="113" stopIfTrue="1">
      <formula>$AP$41=1</formula>
    </cfRule>
  </conditionalFormatting>
  <conditionalFormatting sqref="AE40">
    <cfRule type="expression" dxfId="355" priority="112" stopIfTrue="1">
      <formula>$AP$40=1</formula>
    </cfRule>
  </conditionalFormatting>
  <conditionalFormatting sqref="AE39">
    <cfRule type="expression" dxfId="354" priority="111" stopIfTrue="1">
      <formula>$AP$39=1</formula>
    </cfRule>
  </conditionalFormatting>
  <conditionalFormatting sqref="AE38">
    <cfRule type="expression" dxfId="353" priority="110" stopIfTrue="1">
      <formula>$AP$38=1</formula>
    </cfRule>
  </conditionalFormatting>
  <conditionalFormatting sqref="AE37">
    <cfRule type="expression" dxfId="352" priority="109" stopIfTrue="1">
      <formula>$AP$37=1</formula>
    </cfRule>
  </conditionalFormatting>
  <conditionalFormatting sqref="AE36">
    <cfRule type="expression" dxfId="351" priority="108" stopIfTrue="1">
      <formula>$AP$36=1</formula>
    </cfRule>
  </conditionalFormatting>
  <conditionalFormatting sqref="AD35:AF36 AD30:AD34 AD37:AD44 AF30:AF34 AF37:AF44">
    <cfRule type="expression" dxfId="350" priority="106" stopIfTrue="1">
      <formula>$AP$35=1</formula>
    </cfRule>
    <cfRule type="expression" dxfId="349" priority="107" stopIfTrue="1">
      <formula>$AP$35=1</formula>
    </cfRule>
  </conditionalFormatting>
  <conditionalFormatting sqref="AD34:AF34">
    <cfRule type="expression" dxfId="348" priority="105" stopIfTrue="1">
      <formula>$AP$34=1</formula>
    </cfRule>
  </conditionalFormatting>
  <conditionalFormatting sqref="AE33:AF33">
    <cfRule type="expression" dxfId="347" priority="104" stopIfTrue="1">
      <formula>$AP$33=1</formula>
    </cfRule>
  </conditionalFormatting>
  <conditionalFormatting sqref="AD32:AF33 AD34">
    <cfRule type="expression" dxfId="346" priority="103" stopIfTrue="1">
      <formula>$AP$32=1</formula>
    </cfRule>
  </conditionalFormatting>
  <conditionalFormatting sqref="AD31:AF31">
    <cfRule type="expression" dxfId="345" priority="102" stopIfTrue="1">
      <formula>$AP$31=1</formula>
    </cfRule>
  </conditionalFormatting>
  <conditionalFormatting sqref="AD30:AF30">
    <cfRule type="expression" dxfId="344" priority="101" stopIfTrue="1">
      <formula>$AP$30</formula>
    </cfRule>
  </conditionalFormatting>
  <conditionalFormatting sqref="AD29 AF29">
    <cfRule type="expression" dxfId="343" priority="100" stopIfTrue="1">
      <formula>$AP$29=1</formula>
    </cfRule>
  </conditionalFormatting>
  <conditionalFormatting sqref="AD28 AF28">
    <cfRule type="expression" dxfId="342" priority="99" stopIfTrue="1">
      <formula>$AP$28=1</formula>
    </cfRule>
  </conditionalFormatting>
  <conditionalFormatting sqref="AD27 AF27">
    <cfRule type="expression" dxfId="341" priority="98" stopIfTrue="1">
      <formula>$AP$27=1</formula>
    </cfRule>
  </conditionalFormatting>
  <conditionalFormatting sqref="AD26 AF26">
    <cfRule type="expression" dxfId="340" priority="97" stopIfTrue="1">
      <formula>$AP$26=1</formula>
    </cfRule>
  </conditionalFormatting>
  <conditionalFormatting sqref="AD25 AF25">
    <cfRule type="expression" dxfId="339" priority="96" stopIfTrue="1">
      <formula>$AP$25=1</formula>
    </cfRule>
  </conditionalFormatting>
  <conditionalFormatting sqref="AD24 AF24">
    <cfRule type="expression" dxfId="338" priority="95" stopIfTrue="1">
      <formula>$AP$24=1</formula>
    </cfRule>
  </conditionalFormatting>
  <conditionalFormatting sqref="AD23 AF23">
    <cfRule type="expression" dxfId="337" priority="94" stopIfTrue="1">
      <formula>$AP$23=1</formula>
    </cfRule>
  </conditionalFormatting>
  <conditionalFormatting sqref="AD22 AF22">
    <cfRule type="expression" dxfId="336" priority="93" stopIfTrue="1">
      <formula>$AP$22=1</formula>
    </cfRule>
  </conditionalFormatting>
  <conditionalFormatting sqref="AD21 AF21">
    <cfRule type="expression" dxfId="335" priority="92" stopIfTrue="1">
      <formula>$AP$21=1</formula>
    </cfRule>
  </conditionalFormatting>
  <conditionalFormatting sqref="AD20 AF20">
    <cfRule type="expression" dxfId="334" priority="91" stopIfTrue="1">
      <formula>$AP$20=1</formula>
    </cfRule>
  </conditionalFormatting>
  <conditionalFormatting sqref="AD19 AF19">
    <cfRule type="expression" dxfId="333" priority="90" stopIfTrue="1">
      <formula>$AP$19=1</formula>
    </cfRule>
  </conditionalFormatting>
  <conditionalFormatting sqref="AD18 AF18">
    <cfRule type="expression" dxfId="332" priority="89" stopIfTrue="1">
      <formula>$AP$18=1</formula>
    </cfRule>
  </conditionalFormatting>
  <conditionalFormatting sqref="AD17 AF17">
    <cfRule type="expression" dxfId="331" priority="88" stopIfTrue="1">
      <formula>$AP$17=1</formula>
    </cfRule>
  </conditionalFormatting>
  <conditionalFormatting sqref="AD16 AF16">
    <cfRule type="expression" dxfId="330" priority="87" stopIfTrue="1">
      <formula>$AP$16=1</formula>
    </cfRule>
  </conditionalFormatting>
  <conditionalFormatting sqref="AD15 AF15">
    <cfRule type="expression" dxfId="329" priority="86" stopIfTrue="1">
      <formula>$AP$15=1</formula>
    </cfRule>
  </conditionalFormatting>
  <conditionalFormatting sqref="AD14 AF14">
    <cfRule type="expression" dxfId="328" priority="85" stopIfTrue="1">
      <formula>$AP$14=1</formula>
    </cfRule>
  </conditionalFormatting>
  <conditionalFormatting sqref="AD13 AF13">
    <cfRule type="expression" dxfId="327" priority="84" stopIfTrue="1">
      <formula>$AP$13=1</formula>
    </cfRule>
  </conditionalFormatting>
  <conditionalFormatting sqref="AD12:AF13 AE14:AE31">
    <cfRule type="expression" dxfId="326" priority="83" stopIfTrue="1">
      <formula>$AP$12=1</formula>
    </cfRule>
  </conditionalFormatting>
  <conditionalFormatting sqref="AD11:AF11">
    <cfRule type="expression" dxfId="325" priority="82" stopIfTrue="1">
      <formula>$AP$11=1</formula>
    </cfRule>
  </conditionalFormatting>
  <conditionalFormatting sqref="A51:B51">
    <cfRule type="expression" dxfId="324" priority="81" stopIfTrue="1">
      <formula>$AP$51=1</formula>
    </cfRule>
  </conditionalFormatting>
  <conditionalFormatting sqref="A50:B50">
    <cfRule type="expression" dxfId="323" priority="80" stopIfTrue="1">
      <formula>$AP$50=1</formula>
    </cfRule>
  </conditionalFormatting>
  <conditionalFormatting sqref="A49:B49">
    <cfRule type="expression" dxfId="322" priority="79" stopIfTrue="1">
      <formula>$AP$49=1</formula>
    </cfRule>
  </conditionalFormatting>
  <conditionalFormatting sqref="A48:B48">
    <cfRule type="expression" dxfId="321" priority="78" stopIfTrue="1">
      <formula>$AP$48=1</formula>
    </cfRule>
  </conditionalFormatting>
  <conditionalFormatting sqref="A47:B47">
    <cfRule type="expression" dxfId="320" priority="77" stopIfTrue="1">
      <formula>$AP$47=1</formula>
    </cfRule>
  </conditionalFormatting>
  <conditionalFormatting sqref="A46:B46">
    <cfRule type="expression" dxfId="319" priority="76" stopIfTrue="1">
      <formula>$AP$46=1</formula>
    </cfRule>
  </conditionalFormatting>
  <conditionalFormatting sqref="A40:B45">
    <cfRule type="expression" dxfId="318" priority="75" stopIfTrue="1">
      <formula>$AP$40=1</formula>
    </cfRule>
  </conditionalFormatting>
  <conditionalFormatting sqref="A39:B39">
    <cfRule type="expression" dxfId="317" priority="74" stopIfTrue="1">
      <formula>$AP$39=1</formula>
    </cfRule>
  </conditionalFormatting>
  <conditionalFormatting sqref="A38:B38">
    <cfRule type="expression" dxfId="316" priority="73" stopIfTrue="1">
      <formula>$AP$38=1</formula>
    </cfRule>
  </conditionalFormatting>
  <conditionalFormatting sqref="A37:B37">
    <cfRule type="expression" dxfId="315" priority="72" stopIfTrue="1">
      <formula>$AP$37=1</formula>
    </cfRule>
  </conditionalFormatting>
  <conditionalFormatting sqref="B32:B34 B36">
    <cfRule type="expression" dxfId="314" priority="70" stopIfTrue="1">
      <formula>$AP$32=1</formula>
    </cfRule>
  </conditionalFormatting>
  <conditionalFormatting sqref="B31 B35">
    <cfRule type="expression" dxfId="313" priority="69" stopIfTrue="1">
      <formula>$AP$31=1</formula>
    </cfRule>
  </conditionalFormatting>
  <conditionalFormatting sqref="A30:B30 A31:A36">
    <cfRule type="expression" dxfId="312" priority="68" stopIfTrue="1">
      <formula>$AP$30=1</formula>
    </cfRule>
  </conditionalFormatting>
  <conditionalFormatting sqref="A29:B29">
    <cfRule type="expression" dxfId="311" priority="67" stopIfTrue="1">
      <formula>$AP$29=1</formula>
    </cfRule>
  </conditionalFormatting>
  <conditionalFormatting sqref="A28:B28">
    <cfRule type="expression" dxfId="310" priority="66" stopIfTrue="1">
      <formula>$AP$28=1</formula>
    </cfRule>
  </conditionalFormatting>
  <conditionalFormatting sqref="A27:B27">
    <cfRule type="expression" dxfId="309" priority="65" stopIfTrue="1">
      <formula>$AP$27=1</formula>
    </cfRule>
  </conditionalFormatting>
  <conditionalFormatting sqref="A26:B26">
    <cfRule type="expression" dxfId="308" priority="64" stopIfTrue="1">
      <formula>$AP$26=1</formula>
    </cfRule>
  </conditionalFormatting>
  <conditionalFormatting sqref="A25:B25">
    <cfRule type="expression" dxfId="307" priority="63" stopIfTrue="1">
      <formula>$AP$25=1</formula>
    </cfRule>
  </conditionalFormatting>
  <conditionalFormatting sqref="A24:B24">
    <cfRule type="expression" dxfId="306" priority="62" stopIfTrue="1">
      <formula>$AP$24=1</formula>
    </cfRule>
  </conditionalFormatting>
  <conditionalFormatting sqref="A23:B23">
    <cfRule type="expression" dxfId="305" priority="61" stopIfTrue="1">
      <formula>$AP$23=1</formula>
    </cfRule>
  </conditionalFormatting>
  <conditionalFormatting sqref="A22:B22">
    <cfRule type="expression" dxfId="304" priority="60" stopIfTrue="1">
      <formula>$AP$22=1</formula>
    </cfRule>
  </conditionalFormatting>
  <conditionalFormatting sqref="A21:B21">
    <cfRule type="expression" dxfId="303" priority="59" stopIfTrue="1">
      <formula>$AP$21=1</formula>
    </cfRule>
  </conditionalFormatting>
  <conditionalFormatting sqref="A20:B20">
    <cfRule type="expression" dxfId="302" priority="58" stopIfTrue="1">
      <formula>$AP$20=1</formula>
    </cfRule>
  </conditionalFormatting>
  <conditionalFormatting sqref="A19:B19">
    <cfRule type="expression" dxfId="301" priority="57" stopIfTrue="1">
      <formula>$AP$19=1</formula>
    </cfRule>
  </conditionalFormatting>
  <conditionalFormatting sqref="A18:B18">
    <cfRule type="expression" dxfId="300" priority="56" stopIfTrue="1">
      <formula>$AP$18=1</formula>
    </cfRule>
  </conditionalFormatting>
  <conditionalFormatting sqref="A17:B17">
    <cfRule type="expression" dxfId="299" priority="55" stopIfTrue="1">
      <formula>$AP$17=1</formula>
    </cfRule>
  </conditionalFormatting>
  <conditionalFormatting sqref="A16:B16">
    <cfRule type="expression" dxfId="298" priority="54" stopIfTrue="1">
      <formula>$AP$16=1</formula>
    </cfRule>
  </conditionalFormatting>
  <conditionalFormatting sqref="A15:B15">
    <cfRule type="expression" dxfId="297" priority="53" stopIfTrue="1">
      <formula>$AP$15=1</formula>
    </cfRule>
  </conditionalFormatting>
  <conditionalFormatting sqref="A14:B14">
    <cfRule type="expression" dxfId="296" priority="52" stopIfTrue="1">
      <formula>$AP$14=1</formula>
    </cfRule>
  </conditionalFormatting>
  <conditionalFormatting sqref="A13:B13">
    <cfRule type="expression" dxfId="295" priority="51" stopIfTrue="1">
      <formula>$AP$13=1</formula>
    </cfRule>
  </conditionalFormatting>
  <conditionalFormatting sqref="A12:B12">
    <cfRule type="expression" dxfId="294" priority="50" stopIfTrue="1">
      <formula>$AP$12=1</formula>
    </cfRule>
  </conditionalFormatting>
  <conditionalFormatting sqref="A11:B11">
    <cfRule type="expression" dxfId="293" priority="49" stopIfTrue="1">
      <formula>$AP$11=1</formula>
    </cfRule>
  </conditionalFormatting>
  <conditionalFormatting sqref="A10:B10">
    <cfRule type="expression" dxfId="292" priority="48" stopIfTrue="1">
      <formula>$AP$10=1</formula>
    </cfRule>
  </conditionalFormatting>
  <conditionalFormatting sqref="AE31">
    <cfRule type="expression" dxfId="291" priority="47" stopIfTrue="1">
      <formula>$AP$30</formula>
    </cfRule>
  </conditionalFormatting>
  <conditionalFormatting sqref="AC10:AF10 AC11:AC42">
    <cfRule type="expression" dxfId="290" priority="46" stopIfTrue="1">
      <formula>$AP$11=1</formula>
    </cfRule>
  </conditionalFormatting>
  <conditionalFormatting sqref="AC38 AE38">
    <cfRule type="expression" dxfId="289" priority="45" stopIfTrue="1">
      <formula>$AP$44=1</formula>
    </cfRule>
  </conditionalFormatting>
  <conditionalFormatting sqref="AC37 AE37">
    <cfRule type="expression" dxfId="288" priority="44" stopIfTrue="1">
      <formula>$AP$43=1</formula>
    </cfRule>
  </conditionalFormatting>
  <conditionalFormatting sqref="AE36">
    <cfRule type="expression" dxfId="287" priority="43" stopIfTrue="1">
      <formula>$AP$42=1</formula>
    </cfRule>
  </conditionalFormatting>
  <conditionalFormatting sqref="AE35">
    <cfRule type="expression" dxfId="286" priority="42" stopIfTrue="1">
      <formula>$AP$41=1</formula>
    </cfRule>
  </conditionalFormatting>
  <conditionalFormatting sqref="AE34">
    <cfRule type="expression" dxfId="285" priority="41" stopIfTrue="1">
      <formula>$AP$40=1</formula>
    </cfRule>
  </conditionalFormatting>
  <conditionalFormatting sqref="AE33">
    <cfRule type="expression" dxfId="284" priority="40" stopIfTrue="1">
      <formula>$AP$39=1</formula>
    </cfRule>
  </conditionalFormatting>
  <conditionalFormatting sqref="AE32">
    <cfRule type="expression" dxfId="283" priority="39" stopIfTrue="1">
      <formula>$AP$38=1</formula>
    </cfRule>
  </conditionalFormatting>
  <conditionalFormatting sqref="AE31">
    <cfRule type="expression" dxfId="282" priority="38" stopIfTrue="1">
      <formula>$AP$37=1</formula>
    </cfRule>
  </conditionalFormatting>
  <conditionalFormatting sqref="AE30">
    <cfRule type="expression" dxfId="281" priority="37" stopIfTrue="1">
      <formula>$AP$36=1</formula>
    </cfRule>
  </conditionalFormatting>
  <conditionalFormatting sqref="AE41">
    <cfRule type="expression" dxfId="280" priority="36" stopIfTrue="1">
      <formula>$AP$40=1</formula>
    </cfRule>
  </conditionalFormatting>
  <conditionalFormatting sqref="AE40">
    <cfRule type="expression" dxfId="279" priority="35" stopIfTrue="1">
      <formula>$AP$39=1</formula>
    </cfRule>
  </conditionalFormatting>
  <conditionalFormatting sqref="AE39">
    <cfRule type="expression" dxfId="278" priority="34" stopIfTrue="1">
      <formula>$AP$38=1</formula>
    </cfRule>
  </conditionalFormatting>
  <conditionalFormatting sqref="AE38">
    <cfRule type="expression" dxfId="277" priority="33" stopIfTrue="1">
      <formula>$AP$37=1</formula>
    </cfRule>
  </conditionalFormatting>
  <conditionalFormatting sqref="AE37">
    <cfRule type="expression" dxfId="276" priority="32" stopIfTrue="1">
      <formula>$AP$36=1</formula>
    </cfRule>
  </conditionalFormatting>
  <conditionalFormatting sqref="AD35:AF35">
    <cfRule type="expression" dxfId="275" priority="31" stopIfTrue="1">
      <formula>$AP$34=1</formula>
    </cfRule>
  </conditionalFormatting>
  <conditionalFormatting sqref="AE34:AF34">
    <cfRule type="expression" dxfId="274" priority="30" stopIfTrue="1">
      <formula>$AP$33=1</formula>
    </cfRule>
  </conditionalFormatting>
  <conditionalFormatting sqref="AD32:AF32">
    <cfRule type="expression" dxfId="273" priority="29" stopIfTrue="1">
      <formula>$AP$31=1</formula>
    </cfRule>
  </conditionalFormatting>
  <conditionalFormatting sqref="AD31:AF31">
    <cfRule type="expression" dxfId="272" priority="28" stopIfTrue="1">
      <formula>$AP$30</formula>
    </cfRule>
  </conditionalFormatting>
  <conditionalFormatting sqref="AD30 AF30">
    <cfRule type="expression" dxfId="271" priority="27" stopIfTrue="1">
      <formula>$AP$29=1</formula>
    </cfRule>
  </conditionalFormatting>
  <conditionalFormatting sqref="AD29 AF29">
    <cfRule type="expression" dxfId="270" priority="26" stopIfTrue="1">
      <formula>$AP$28=1</formula>
    </cfRule>
  </conditionalFormatting>
  <conditionalFormatting sqref="AD28 AF28">
    <cfRule type="expression" dxfId="269" priority="25" stopIfTrue="1">
      <formula>$AP$27=1</formula>
    </cfRule>
  </conditionalFormatting>
  <conditionalFormatting sqref="AD27 AF27">
    <cfRule type="expression" dxfId="268" priority="24" stopIfTrue="1">
      <formula>$AP$26=1</formula>
    </cfRule>
  </conditionalFormatting>
  <conditionalFormatting sqref="AD26 AF26">
    <cfRule type="expression" dxfId="267" priority="23" stopIfTrue="1">
      <formula>$AP$25=1</formula>
    </cfRule>
  </conditionalFormatting>
  <conditionalFormatting sqref="AD25 AF25">
    <cfRule type="expression" dxfId="266" priority="22" stopIfTrue="1">
      <formula>$AP$24=1</formula>
    </cfRule>
  </conditionalFormatting>
  <conditionalFormatting sqref="AD24 AF24">
    <cfRule type="expression" dxfId="265" priority="21" stopIfTrue="1">
      <formula>$AP$23=1</formula>
    </cfRule>
  </conditionalFormatting>
  <conditionalFormatting sqref="AD23 AF23">
    <cfRule type="expression" dxfId="264" priority="20" stopIfTrue="1">
      <formula>$AP$22=1</formula>
    </cfRule>
  </conditionalFormatting>
  <conditionalFormatting sqref="AD22 AF22">
    <cfRule type="expression" dxfId="263" priority="19" stopIfTrue="1">
      <formula>$AP$21=1</formula>
    </cfRule>
  </conditionalFormatting>
  <conditionalFormatting sqref="AD21 AF21">
    <cfRule type="expression" dxfId="262" priority="18" stopIfTrue="1">
      <formula>$AP$20=1</formula>
    </cfRule>
  </conditionalFormatting>
  <conditionalFormatting sqref="AD20 AF20">
    <cfRule type="expression" dxfId="261" priority="17" stopIfTrue="1">
      <formula>$AP$19=1</formula>
    </cfRule>
  </conditionalFormatting>
  <conditionalFormatting sqref="AD19 AF19">
    <cfRule type="expression" dxfId="260" priority="16" stopIfTrue="1">
      <formula>$AP$18=1</formula>
    </cfRule>
  </conditionalFormatting>
  <conditionalFormatting sqref="AD18 AF18">
    <cfRule type="expression" dxfId="259" priority="15" stopIfTrue="1">
      <formula>$AP$17=1</formula>
    </cfRule>
  </conditionalFormatting>
  <conditionalFormatting sqref="AD17 AF17">
    <cfRule type="expression" dxfId="258" priority="14" stopIfTrue="1">
      <formula>$AP$16=1</formula>
    </cfRule>
  </conditionalFormatting>
  <conditionalFormatting sqref="AD16 AF16">
    <cfRule type="expression" dxfId="257" priority="13" stopIfTrue="1">
      <formula>$AP$15=1</formula>
    </cfRule>
  </conditionalFormatting>
  <conditionalFormatting sqref="AD15 AF15">
    <cfRule type="expression" dxfId="256" priority="12" stopIfTrue="1">
      <formula>$AP$14=1</formula>
    </cfRule>
  </conditionalFormatting>
  <conditionalFormatting sqref="AD14 AF14">
    <cfRule type="expression" dxfId="255" priority="11" stopIfTrue="1">
      <formula>$AP$13=1</formula>
    </cfRule>
  </conditionalFormatting>
  <conditionalFormatting sqref="AE32">
    <cfRule type="expression" dxfId="254" priority="10" stopIfTrue="1">
      <formula>$AP$30</formula>
    </cfRule>
  </conditionalFormatting>
  <conditionalFormatting sqref="AC39 AE39">
    <cfRule type="expression" dxfId="253" priority="9" stopIfTrue="1">
      <formula>$AP$44=1</formula>
    </cfRule>
  </conditionalFormatting>
  <conditionalFormatting sqref="AC38 AE38">
    <cfRule type="expression" dxfId="252" priority="8" stopIfTrue="1">
      <formula>$AP$43=1</formula>
    </cfRule>
  </conditionalFormatting>
  <conditionalFormatting sqref="AE37">
    <cfRule type="expression" dxfId="251" priority="7" stopIfTrue="1">
      <formula>$AP$42=1</formula>
    </cfRule>
  </conditionalFormatting>
  <conditionalFormatting sqref="AE36">
    <cfRule type="expression" dxfId="250" priority="6" stopIfTrue="1">
      <formula>$AP$41=1</formula>
    </cfRule>
  </conditionalFormatting>
  <conditionalFormatting sqref="AE35">
    <cfRule type="expression" dxfId="249" priority="5" stopIfTrue="1">
      <formula>$AP$40=1</formula>
    </cfRule>
  </conditionalFormatting>
  <conditionalFormatting sqref="AE34">
    <cfRule type="expression" dxfId="248" priority="4" stopIfTrue="1">
      <formula>$AP$39=1</formula>
    </cfRule>
  </conditionalFormatting>
  <conditionalFormatting sqref="AE33">
    <cfRule type="expression" dxfId="247" priority="3" stopIfTrue="1">
      <formula>$AP$38=1</formula>
    </cfRule>
  </conditionalFormatting>
  <conditionalFormatting sqref="AE32">
    <cfRule type="expression" dxfId="246" priority="2" stopIfTrue="1">
      <formula>$AP$37=1</formula>
    </cfRule>
  </conditionalFormatting>
  <conditionalFormatting sqref="AE31">
    <cfRule type="expression" dxfId="245" priority="1" stopIfTrue="1">
      <formula>$AP$36=1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AP75"/>
  <sheetViews>
    <sheetView topLeftCell="A7" zoomScale="70" zoomScaleNormal="70" workbookViewId="0">
      <selection activeCell="Z49" sqref="Z49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203" t="s">
        <v>89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263.20499999999998</v>
      </c>
      <c r="AM4" s="97">
        <f>SUM(AM5:AM46)</f>
        <v>5.2</v>
      </c>
      <c r="AN4" s="97">
        <f>SUM(AN5:AN46)</f>
        <v>263.20499999999998</v>
      </c>
      <c r="AO4" s="97">
        <f>SUM(AO5:AO46)</f>
        <v>32.200000000000003</v>
      </c>
      <c r="AP4" s="90"/>
    </row>
    <row r="5" spans="1:42" ht="15.75" x14ac:dyDescent="0.25">
      <c r="A5" s="98">
        <f t="shared" ref="A5:A35" si="0">AF5</f>
        <v>0</v>
      </c>
      <c r="B5" s="99">
        <f t="shared" ref="B5:B35" si="1">AD5</f>
        <v>269.35000000000002</v>
      </c>
      <c r="C5" s="100" t="str">
        <f>IF(AG5="","",AG5)</f>
        <v xml:space="preserve">S/BM </v>
      </c>
      <c r="D5" s="196"/>
      <c r="X5" s="101"/>
      <c r="Y5" s="102"/>
      <c r="Z5" s="103">
        <v>0.84399999999999997</v>
      </c>
      <c r="AA5" s="104"/>
      <c r="AB5" s="105"/>
      <c r="AC5" s="106">
        <f>IF(AA5="",AD5+Z5,"")</f>
        <v>270.19400000000002</v>
      </c>
      <c r="AD5" s="107">
        <v>269.35000000000002</v>
      </c>
      <c r="AE5" s="108">
        <v>0</v>
      </c>
      <c r="AF5" s="109"/>
      <c r="AG5" s="110" t="s">
        <v>49</v>
      </c>
      <c r="AH5" s="90">
        <f t="shared" ref="AH5:AH46" si="2">IF(AND(AJ5="NAOI",AJ5=AJ6),AK5,AI5)</f>
        <v>270.19400000000002</v>
      </c>
      <c r="AI5" s="90">
        <f>IF(AA5="",AC5,AI4)</f>
        <v>270.19400000000002</v>
      </c>
      <c r="AJ5" s="90" t="str">
        <f t="shared" ref="AJ5:AJ51" si="3">IF(AG5="",AJ4,AG5)</f>
        <v xml:space="preserve">S/BM 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269.28399999999999</v>
      </c>
      <c r="C6" s="100" t="str">
        <f t="shared" ref="C6:C36" si="5">IF(AG6="","",AG6)</f>
        <v>PRI</v>
      </c>
      <c r="D6" s="196"/>
      <c r="X6" s="111"/>
      <c r="Y6" s="112"/>
      <c r="Z6" s="113"/>
      <c r="AA6" s="114">
        <v>0.91</v>
      </c>
      <c r="AB6" s="115"/>
      <c r="AC6" s="116" t="str">
        <f>IF(AA6="",AD6+Z6,"")</f>
        <v/>
      </c>
      <c r="AD6" s="117">
        <f>IF(AA6="",AH5-AB6,AH5-AA6)</f>
        <v>269.28399999999999</v>
      </c>
      <c r="AE6" s="118">
        <v>0</v>
      </c>
      <c r="AF6" s="117">
        <f>AE6</f>
        <v>0</v>
      </c>
      <c r="AG6" s="119" t="s">
        <v>4</v>
      </c>
      <c r="AH6" s="90">
        <f t="shared" si="2"/>
        <v>270.19400000000002</v>
      </c>
      <c r="AI6" s="90">
        <f t="shared" ref="AI6:AI46" si="6">IF(AA6="",AC6,AI5)</f>
        <v>270.19400000000002</v>
      </c>
      <c r="AJ6" s="90" t="str">
        <f t="shared" si="3"/>
        <v>PRI</v>
      </c>
      <c r="AK6" s="97">
        <f t="shared" si="4"/>
        <v>269.28399999999999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3.45</v>
      </c>
      <c r="B7" s="99">
        <f t="shared" si="1"/>
        <v>269.24900000000002</v>
      </c>
      <c r="C7" s="100" t="str">
        <f t="shared" si="5"/>
        <v/>
      </c>
      <c r="D7" s="196"/>
      <c r="X7" s="111"/>
      <c r="Y7" s="112"/>
      <c r="Z7" s="113"/>
      <c r="AA7" s="114">
        <v>0.94499999999999995</v>
      </c>
      <c r="AB7" s="115"/>
      <c r="AC7" s="116" t="str">
        <f t="shared" ref="AC7:AC35" si="11">IF(AA7="",AD7+Z7,"")</f>
        <v/>
      </c>
      <c r="AD7" s="117">
        <f>IF(AA7="",AH6-AB7,AH6-AA7)</f>
        <v>269.24900000000002</v>
      </c>
      <c r="AE7" s="118">
        <v>3.45</v>
      </c>
      <c r="AF7" s="117">
        <f t="shared" ref="AF7:AF35" si="12">+AF6+AE7</f>
        <v>3.45</v>
      </c>
      <c r="AG7" s="120"/>
      <c r="AH7" s="90">
        <f t="shared" si="2"/>
        <v>270.19400000000002</v>
      </c>
      <c r="AI7" s="90">
        <f t="shared" si="6"/>
        <v>270.19400000000002</v>
      </c>
      <c r="AJ7" s="90" t="str">
        <f t="shared" si="3"/>
        <v>PRI</v>
      </c>
      <c r="AK7" s="97">
        <f t="shared" si="4"/>
        <v>269.24900000000002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3.45</v>
      </c>
      <c r="B8" s="99">
        <f t="shared" si="1"/>
        <v>268.38400000000001</v>
      </c>
      <c r="C8" s="100" t="str">
        <f t="shared" si="5"/>
        <v/>
      </c>
      <c r="D8" s="196"/>
      <c r="X8" s="111"/>
      <c r="Y8" s="112"/>
      <c r="Z8" s="113"/>
      <c r="AA8" s="114">
        <v>1.81</v>
      </c>
      <c r="AB8" s="115"/>
      <c r="AC8" s="116" t="str">
        <f t="shared" si="11"/>
        <v/>
      </c>
      <c r="AD8" s="117">
        <f>IF(AA8="",AH7-AB8,AH7-AA8)</f>
        <v>268.38400000000001</v>
      </c>
      <c r="AE8" s="118">
        <v>0</v>
      </c>
      <c r="AF8" s="117">
        <f t="shared" si="12"/>
        <v>3.45</v>
      </c>
      <c r="AG8" s="120"/>
      <c r="AH8" s="90">
        <f t="shared" si="2"/>
        <v>270.19400000000002</v>
      </c>
      <c r="AI8" s="90">
        <f t="shared" si="6"/>
        <v>270.19400000000002</v>
      </c>
      <c r="AJ8" s="90" t="str">
        <f t="shared" si="3"/>
        <v>PRI</v>
      </c>
      <c r="AK8" s="97">
        <f t="shared" si="4"/>
        <v>268.38400000000001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5.2</v>
      </c>
      <c r="B9" s="99">
        <f t="shared" si="1"/>
        <v>268.20500000000004</v>
      </c>
      <c r="C9" s="100" t="str">
        <f t="shared" si="5"/>
        <v/>
      </c>
      <c r="D9" s="196"/>
      <c r="X9" s="111" t="s">
        <v>50</v>
      </c>
      <c r="Y9" s="112"/>
      <c r="Z9" s="113"/>
      <c r="AA9" s="114">
        <v>1.9890000000000001</v>
      </c>
      <c r="AB9" s="115"/>
      <c r="AC9" s="116" t="str">
        <f t="shared" si="11"/>
        <v/>
      </c>
      <c r="AD9" s="117">
        <f>IF(AA9="",AH8-AB9,AH8-AA9)</f>
        <v>268.20500000000004</v>
      </c>
      <c r="AE9" s="118">
        <v>1.75</v>
      </c>
      <c r="AF9" s="117">
        <f t="shared" si="12"/>
        <v>5.2</v>
      </c>
      <c r="AG9" s="119"/>
      <c r="AH9" s="90">
        <f t="shared" si="2"/>
        <v>270.19400000000002</v>
      </c>
      <c r="AI9" s="90">
        <f t="shared" si="6"/>
        <v>270.19400000000002</v>
      </c>
      <c r="AJ9" s="90" t="str">
        <f t="shared" si="3"/>
        <v>PRI</v>
      </c>
      <c r="AK9" s="97">
        <f t="shared" si="4"/>
        <v>268.20500000000004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5.2</v>
      </c>
      <c r="B10" s="99">
        <f t="shared" si="1"/>
        <v>265.709</v>
      </c>
      <c r="C10" s="100" t="str">
        <f t="shared" si="5"/>
        <v/>
      </c>
      <c r="D10" s="196"/>
      <c r="E10" s="88">
        <f>(B12+B35)/2</f>
        <v>264.92499999999995</v>
      </c>
      <c r="X10" s="111"/>
      <c r="Y10" s="112"/>
      <c r="Z10" s="113">
        <v>1.01</v>
      </c>
      <c r="AA10" s="114"/>
      <c r="AB10" s="115">
        <v>4.4850000000000003</v>
      </c>
      <c r="AC10" s="116">
        <f t="shared" si="11"/>
        <v>266.71899999999999</v>
      </c>
      <c r="AD10" s="117">
        <f t="shared" ref="AD10:AD13" si="13">IF(AJ9="S/BM",AD9,IF(AA10="",AH9-AB10,AH9-AA10))</f>
        <v>265.709</v>
      </c>
      <c r="AE10" s="118">
        <v>0</v>
      </c>
      <c r="AF10" s="117">
        <f t="shared" si="12"/>
        <v>5.2</v>
      </c>
      <c r="AG10" s="119"/>
      <c r="AH10" s="90">
        <f t="shared" si="2"/>
        <v>266.71899999999999</v>
      </c>
      <c r="AI10" s="90">
        <f t="shared" si="6"/>
        <v>266.71899999999999</v>
      </c>
      <c r="AJ10" s="90" t="str">
        <f t="shared" si="3"/>
        <v>PRI</v>
      </c>
      <c r="AK10" s="97">
        <f t="shared" si="4"/>
        <v>265.709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5.2</v>
      </c>
      <c r="B11" s="99">
        <f t="shared" si="1"/>
        <v>263.20499999999998</v>
      </c>
      <c r="C11" s="100" t="str">
        <f t="shared" si="5"/>
        <v>NAOI</v>
      </c>
      <c r="D11" s="196"/>
      <c r="E11" s="121">
        <v>0.33</v>
      </c>
      <c r="X11" s="111"/>
      <c r="Y11" s="112"/>
      <c r="Z11" s="113"/>
      <c r="AA11" s="114">
        <v>3.5139999999999998</v>
      </c>
      <c r="AB11" s="115"/>
      <c r="AC11" s="116" t="str">
        <f t="shared" si="11"/>
        <v/>
      </c>
      <c r="AD11" s="117">
        <f t="shared" si="13"/>
        <v>263.20499999999998</v>
      </c>
      <c r="AE11" s="118">
        <v>0</v>
      </c>
      <c r="AF11" s="117">
        <f t="shared" si="12"/>
        <v>5.2</v>
      </c>
      <c r="AG11" s="119" t="s">
        <v>9</v>
      </c>
      <c r="AH11" s="90">
        <f t="shared" si="2"/>
        <v>263.20499999999998</v>
      </c>
      <c r="AI11" s="90">
        <f t="shared" si="6"/>
        <v>266.71899999999999</v>
      </c>
      <c r="AJ11" s="90" t="str">
        <f t="shared" si="3"/>
        <v>NAOI</v>
      </c>
      <c r="AK11" s="97">
        <f t="shared" si="4"/>
        <v>263.20499999999998</v>
      </c>
      <c r="AL11" s="90">
        <f t="shared" si="7"/>
        <v>263.20499999999998</v>
      </c>
      <c r="AM11" s="97">
        <f t="shared" si="8"/>
        <v>5.2</v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5.2</v>
      </c>
      <c r="B12" s="99">
        <f t="shared" si="1"/>
        <v>260.495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2.71</v>
      </c>
      <c r="AB12" s="115"/>
      <c r="AC12" s="116" t="str">
        <f t="shared" si="11"/>
        <v/>
      </c>
      <c r="AD12" s="117">
        <f t="shared" si="13"/>
        <v>260.495</v>
      </c>
      <c r="AE12" s="118">
        <v>0</v>
      </c>
      <c r="AF12" s="117">
        <f t="shared" si="12"/>
        <v>5.2</v>
      </c>
      <c r="AG12" s="119"/>
      <c r="AH12" s="90">
        <f t="shared" si="2"/>
        <v>263.20499999999998</v>
      </c>
      <c r="AI12" s="90">
        <f t="shared" si="6"/>
        <v>266.71899999999999</v>
      </c>
      <c r="AJ12" s="90" t="str">
        <f t="shared" si="3"/>
        <v>NAOI</v>
      </c>
      <c r="AK12" s="97">
        <f t="shared" si="4"/>
        <v>263.20499999999998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7.2</v>
      </c>
      <c r="B13" s="99">
        <f t="shared" si="1"/>
        <v>260.48499999999996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2.72</v>
      </c>
      <c r="AB13" s="115"/>
      <c r="AC13" s="116" t="str">
        <f t="shared" si="11"/>
        <v/>
      </c>
      <c r="AD13" s="117">
        <f t="shared" si="13"/>
        <v>260.48499999999996</v>
      </c>
      <c r="AE13" s="118">
        <v>2</v>
      </c>
      <c r="AF13" s="117">
        <f t="shared" si="12"/>
        <v>7.2</v>
      </c>
      <c r="AG13" s="119"/>
      <c r="AH13" s="90">
        <f t="shared" si="2"/>
        <v>263.20499999999998</v>
      </c>
      <c r="AI13" s="90">
        <f t="shared" si="6"/>
        <v>266.71899999999999</v>
      </c>
      <c r="AJ13" s="90" t="str">
        <f t="shared" si="3"/>
        <v>NAOI</v>
      </c>
      <c r="AK13" s="97">
        <f t="shared" si="4"/>
        <v>263.20499999999998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8.6999999999999993</v>
      </c>
      <c r="B14" s="99">
        <f t="shared" si="1"/>
        <v>260.47499999999997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2.73</v>
      </c>
      <c r="AB14" s="115"/>
      <c r="AC14" s="116" t="str">
        <f t="shared" si="11"/>
        <v/>
      </c>
      <c r="AD14" s="117">
        <f>IF(AJ13="S/BM",AD13,IF(AA14="",AH13-AB14,AH13-AA14))</f>
        <v>260.47499999999997</v>
      </c>
      <c r="AE14" s="118">
        <v>1.5</v>
      </c>
      <c r="AF14" s="117">
        <f t="shared" si="12"/>
        <v>8.6999999999999993</v>
      </c>
      <c r="AG14" s="120"/>
      <c r="AH14" s="90">
        <f t="shared" si="2"/>
        <v>263.20499999999998</v>
      </c>
      <c r="AI14" s="90">
        <f t="shared" si="6"/>
        <v>266.71899999999999</v>
      </c>
      <c r="AJ14" s="90" t="str">
        <f t="shared" si="3"/>
        <v>NAOI</v>
      </c>
      <c r="AK14" s="97">
        <f>IF(AND(AJ14="NAOI",AJ13="NAOI"),AK13,AD14)</f>
        <v>263.20499999999998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10.199999999999999</v>
      </c>
      <c r="B15" s="99">
        <f t="shared" si="1"/>
        <v>260.40499999999997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2.8</v>
      </c>
      <c r="AB15" s="115"/>
      <c r="AC15" s="116" t="str">
        <f t="shared" si="11"/>
        <v/>
      </c>
      <c r="AD15" s="117">
        <f t="shared" ref="AD15:AD16" si="15">IF(AJ14="S/BM",AD14,IF(AA15="",AH14-AB15,AH14-AA15))</f>
        <v>260.40499999999997</v>
      </c>
      <c r="AE15" s="118">
        <v>1.5</v>
      </c>
      <c r="AF15" s="117">
        <f t="shared" si="12"/>
        <v>10.199999999999999</v>
      </c>
      <c r="AG15" s="120"/>
      <c r="AH15" s="90">
        <f t="shared" si="2"/>
        <v>263.20499999999998</v>
      </c>
      <c r="AI15" s="90">
        <f t="shared" si="6"/>
        <v>266.71899999999999</v>
      </c>
      <c r="AJ15" s="90" t="str">
        <f t="shared" si="3"/>
        <v>NAOI</v>
      </c>
      <c r="AK15" s="97">
        <f>IF(AND(AJ15="NAOI",AJ14="NAOI"),AK14,AD15)</f>
        <v>263.20499999999998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11.7</v>
      </c>
      <c r="B16" s="99">
        <f t="shared" si="1"/>
        <v>260.51499999999999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2.69</v>
      </c>
      <c r="AB16" s="115"/>
      <c r="AC16" s="116" t="str">
        <f t="shared" si="11"/>
        <v/>
      </c>
      <c r="AD16" s="117">
        <f t="shared" si="15"/>
        <v>260.51499999999999</v>
      </c>
      <c r="AE16" s="118">
        <v>1.5</v>
      </c>
      <c r="AF16" s="117">
        <f t="shared" si="12"/>
        <v>11.7</v>
      </c>
      <c r="AG16" s="119"/>
      <c r="AH16" s="90">
        <f t="shared" si="2"/>
        <v>263.20499999999998</v>
      </c>
      <c r="AI16" s="90">
        <f t="shared" si="6"/>
        <v>266.71899999999999</v>
      </c>
      <c r="AJ16" s="90" t="str">
        <f t="shared" si="3"/>
        <v>NAOI</v>
      </c>
      <c r="AK16" s="97">
        <f>IF(AND(AJ16="NAOI",AJ15="NAOI"),AK15,AD16)</f>
        <v>263.20499999999998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13.2</v>
      </c>
      <c r="B17" s="99">
        <f t="shared" si="1"/>
        <v>260.59499999999997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2.61</v>
      </c>
      <c r="AB17" s="115"/>
      <c r="AC17" s="116" t="str">
        <f t="shared" si="11"/>
        <v/>
      </c>
      <c r="AD17" s="117">
        <f>IF(AJ16="S/BM",AD16,IF(AA17="",AH16-AB17,AH16-AA17))</f>
        <v>260.59499999999997</v>
      </c>
      <c r="AE17" s="118">
        <v>1.5</v>
      </c>
      <c r="AF17" s="117">
        <f t="shared" si="12"/>
        <v>13.2</v>
      </c>
      <c r="AG17" s="122"/>
      <c r="AH17" s="90">
        <f t="shared" si="2"/>
        <v>263.20499999999998</v>
      </c>
      <c r="AI17" s="90">
        <f t="shared" si="6"/>
        <v>266.71899999999999</v>
      </c>
      <c r="AJ17" s="90" t="str">
        <f t="shared" si="3"/>
        <v>NAOI</v>
      </c>
      <c r="AK17" s="97">
        <f t="shared" ref="AK17:AK46" si="16">IF(AND(AJ17="NAOI",AJ16="NAOI"),AK16,AD17)</f>
        <v>263.20499999999998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14.7</v>
      </c>
      <c r="B18" s="99">
        <f t="shared" si="1"/>
        <v>260.55500000000001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2.65</v>
      </c>
      <c r="AB18" s="115"/>
      <c r="AC18" s="116" t="str">
        <f t="shared" si="11"/>
        <v/>
      </c>
      <c r="AD18" s="117">
        <f t="shared" ref="AD18:AD35" si="17">IF(AJ17="S/BM",AD17,IF(AA18="",AH17-AB18,AH17-AA18))</f>
        <v>260.55500000000001</v>
      </c>
      <c r="AE18" s="118">
        <v>1.5</v>
      </c>
      <c r="AF18" s="117">
        <f t="shared" si="12"/>
        <v>14.7</v>
      </c>
      <c r="AG18" s="122"/>
      <c r="AH18" s="90">
        <f t="shared" si="2"/>
        <v>263.20499999999998</v>
      </c>
      <c r="AI18" s="90">
        <f t="shared" si="6"/>
        <v>266.71899999999999</v>
      </c>
      <c r="AJ18" s="90" t="str">
        <f t="shared" si="3"/>
        <v>NAOI</v>
      </c>
      <c r="AK18" s="97">
        <f t="shared" si="16"/>
        <v>263.20499999999998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16.2</v>
      </c>
      <c r="B19" s="99">
        <f t="shared" si="1"/>
        <v>260.625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2.58</v>
      </c>
      <c r="AB19" s="115"/>
      <c r="AC19" s="116" t="str">
        <f t="shared" si="11"/>
        <v/>
      </c>
      <c r="AD19" s="117">
        <f t="shared" si="17"/>
        <v>260.625</v>
      </c>
      <c r="AE19" s="118">
        <v>1.5</v>
      </c>
      <c r="AF19" s="117">
        <f t="shared" si="12"/>
        <v>16.2</v>
      </c>
      <c r="AG19" s="122"/>
      <c r="AH19" s="90">
        <f t="shared" si="2"/>
        <v>263.20499999999998</v>
      </c>
      <c r="AI19" s="90">
        <f t="shared" si="6"/>
        <v>266.71899999999999</v>
      </c>
      <c r="AJ19" s="90" t="str">
        <f t="shared" si="3"/>
        <v>NAOI</v>
      </c>
      <c r="AK19" s="97">
        <f t="shared" si="16"/>
        <v>263.20499999999998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17.7</v>
      </c>
      <c r="B20" s="99">
        <f t="shared" si="1"/>
        <v>260.60499999999996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2.6</v>
      </c>
      <c r="AB20" s="115"/>
      <c r="AC20" s="116" t="str">
        <f t="shared" si="11"/>
        <v/>
      </c>
      <c r="AD20" s="117">
        <f t="shared" si="17"/>
        <v>260.60499999999996</v>
      </c>
      <c r="AE20" s="118">
        <v>1.5</v>
      </c>
      <c r="AF20" s="117">
        <f t="shared" si="12"/>
        <v>17.7</v>
      </c>
      <c r="AG20" s="122"/>
      <c r="AH20" s="90">
        <f t="shared" si="2"/>
        <v>263.20499999999998</v>
      </c>
      <c r="AI20" s="90">
        <f t="shared" si="6"/>
        <v>266.71899999999999</v>
      </c>
      <c r="AJ20" s="90" t="str">
        <f t="shared" si="3"/>
        <v>NAOI</v>
      </c>
      <c r="AK20" s="97">
        <f t="shared" si="16"/>
        <v>263.20499999999998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19.2</v>
      </c>
      <c r="B21" s="99">
        <f t="shared" si="1"/>
        <v>260.375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2.83</v>
      </c>
      <c r="AB21" s="115"/>
      <c r="AC21" s="116" t="str">
        <f t="shared" si="11"/>
        <v/>
      </c>
      <c r="AD21" s="117">
        <f t="shared" si="17"/>
        <v>260.375</v>
      </c>
      <c r="AE21" s="118">
        <v>1.5</v>
      </c>
      <c r="AF21" s="117">
        <f t="shared" si="12"/>
        <v>19.2</v>
      </c>
      <c r="AG21" s="122"/>
      <c r="AH21" s="90">
        <f t="shared" si="2"/>
        <v>263.20499999999998</v>
      </c>
      <c r="AI21" s="90">
        <f t="shared" si="6"/>
        <v>266.71899999999999</v>
      </c>
      <c r="AJ21" s="90" t="str">
        <f t="shared" si="3"/>
        <v>NAOI</v>
      </c>
      <c r="AK21" s="97">
        <f t="shared" si="16"/>
        <v>263.20499999999998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20.7</v>
      </c>
      <c r="B22" s="99">
        <f t="shared" si="1"/>
        <v>260.375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2.83</v>
      </c>
      <c r="AB22" s="115"/>
      <c r="AC22" s="116" t="str">
        <f t="shared" si="11"/>
        <v/>
      </c>
      <c r="AD22" s="117">
        <f t="shared" si="17"/>
        <v>260.375</v>
      </c>
      <c r="AE22" s="118">
        <v>1.5</v>
      </c>
      <c r="AF22" s="117">
        <f t="shared" si="12"/>
        <v>20.7</v>
      </c>
      <c r="AG22" s="122"/>
      <c r="AH22" s="90">
        <f t="shared" si="2"/>
        <v>263.20499999999998</v>
      </c>
      <c r="AI22" s="90">
        <f t="shared" si="6"/>
        <v>266.71899999999999</v>
      </c>
      <c r="AJ22" s="90" t="str">
        <f t="shared" si="3"/>
        <v>NAOI</v>
      </c>
      <c r="AK22" s="97">
        <f t="shared" si="16"/>
        <v>263.20499999999998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22.2</v>
      </c>
      <c r="B23" s="99">
        <f t="shared" si="1"/>
        <v>260.51499999999999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2.69</v>
      </c>
      <c r="AB23" s="115"/>
      <c r="AC23" s="116" t="str">
        <f t="shared" si="11"/>
        <v/>
      </c>
      <c r="AD23" s="117">
        <f t="shared" si="17"/>
        <v>260.51499999999999</v>
      </c>
      <c r="AE23" s="118">
        <v>1.5</v>
      </c>
      <c r="AF23" s="117">
        <f t="shared" si="12"/>
        <v>22.2</v>
      </c>
      <c r="AG23" s="122"/>
      <c r="AH23" s="90">
        <f t="shared" si="2"/>
        <v>263.20499999999998</v>
      </c>
      <c r="AI23" s="90">
        <f t="shared" si="6"/>
        <v>266.71899999999999</v>
      </c>
      <c r="AJ23" s="90" t="str">
        <f t="shared" si="3"/>
        <v>NAOI</v>
      </c>
      <c r="AK23" s="97">
        <f t="shared" si="16"/>
        <v>263.20499999999998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23.7</v>
      </c>
      <c r="B24" s="99">
        <f t="shared" si="1"/>
        <v>260.38499999999999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2.82</v>
      </c>
      <c r="AB24" s="115"/>
      <c r="AC24" s="116" t="str">
        <f t="shared" si="11"/>
        <v/>
      </c>
      <c r="AD24" s="117">
        <f t="shared" si="17"/>
        <v>260.38499999999999</v>
      </c>
      <c r="AE24" s="118">
        <v>1.5</v>
      </c>
      <c r="AF24" s="117">
        <f t="shared" si="12"/>
        <v>23.7</v>
      </c>
      <c r="AG24" s="122"/>
      <c r="AH24" s="90">
        <f t="shared" si="2"/>
        <v>263.20499999999998</v>
      </c>
      <c r="AI24" s="90">
        <f t="shared" si="6"/>
        <v>266.71899999999999</v>
      </c>
      <c r="AJ24" s="90" t="str">
        <f t="shared" si="3"/>
        <v>NAOI</v>
      </c>
      <c r="AK24" s="97">
        <f t="shared" si="16"/>
        <v>263.20499999999998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25.2</v>
      </c>
      <c r="B25" s="99">
        <f t="shared" si="1"/>
        <v>260.47499999999997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2.73</v>
      </c>
      <c r="AB25" s="115"/>
      <c r="AC25" s="116" t="str">
        <f t="shared" si="11"/>
        <v/>
      </c>
      <c r="AD25" s="117">
        <f t="shared" si="17"/>
        <v>260.47499999999997</v>
      </c>
      <c r="AE25" s="118">
        <v>1.5</v>
      </c>
      <c r="AF25" s="117">
        <f t="shared" si="12"/>
        <v>25.2</v>
      </c>
      <c r="AG25" s="122"/>
      <c r="AH25" s="90">
        <f t="shared" si="2"/>
        <v>263.20499999999998</v>
      </c>
      <c r="AI25" s="90">
        <f t="shared" si="6"/>
        <v>266.71899999999999</v>
      </c>
      <c r="AJ25" s="90" t="str">
        <f t="shared" si="3"/>
        <v>NAOI</v>
      </c>
      <c r="AK25" s="97">
        <f t="shared" si="16"/>
        <v>263.20499999999998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26.7</v>
      </c>
      <c r="B26" s="99">
        <f t="shared" si="1"/>
        <v>260.495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2.71</v>
      </c>
      <c r="AB26" s="115"/>
      <c r="AC26" s="116" t="str">
        <f t="shared" si="11"/>
        <v/>
      </c>
      <c r="AD26" s="117">
        <f t="shared" si="17"/>
        <v>260.495</v>
      </c>
      <c r="AE26" s="118">
        <v>1.5</v>
      </c>
      <c r="AF26" s="117">
        <f t="shared" si="12"/>
        <v>26.7</v>
      </c>
      <c r="AG26" s="122"/>
      <c r="AH26" s="90">
        <f t="shared" si="2"/>
        <v>263.20499999999998</v>
      </c>
      <c r="AI26" s="90">
        <f t="shared" si="6"/>
        <v>266.71899999999999</v>
      </c>
      <c r="AJ26" s="90" t="str">
        <f t="shared" si="3"/>
        <v>NAOI</v>
      </c>
      <c r="AK26" s="97">
        <f t="shared" si="16"/>
        <v>263.20499999999998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28.2</v>
      </c>
      <c r="B27" s="99">
        <f t="shared" si="1"/>
        <v>260.745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2.46</v>
      </c>
      <c r="AB27" s="115"/>
      <c r="AC27" s="116" t="str">
        <f t="shared" si="11"/>
        <v/>
      </c>
      <c r="AD27" s="117">
        <f t="shared" si="17"/>
        <v>260.745</v>
      </c>
      <c r="AE27" s="118">
        <v>1.5</v>
      </c>
      <c r="AF27" s="117">
        <f t="shared" si="12"/>
        <v>28.2</v>
      </c>
      <c r="AG27" s="122"/>
      <c r="AH27" s="90">
        <f t="shared" si="2"/>
        <v>263.20499999999998</v>
      </c>
      <c r="AI27" s="90">
        <f t="shared" si="6"/>
        <v>266.71899999999999</v>
      </c>
      <c r="AJ27" s="90" t="str">
        <f t="shared" si="3"/>
        <v>NAOI</v>
      </c>
      <c r="AK27" s="97">
        <f t="shared" si="16"/>
        <v>263.20499999999998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30.2</v>
      </c>
      <c r="B28" s="99">
        <f t="shared" si="1"/>
        <v>262.21499999999997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0.99</v>
      </c>
      <c r="AB28" s="115"/>
      <c r="AC28" s="116" t="str">
        <f t="shared" si="11"/>
        <v/>
      </c>
      <c r="AD28" s="117">
        <f t="shared" si="17"/>
        <v>262.21499999999997</v>
      </c>
      <c r="AE28" s="118">
        <v>2</v>
      </c>
      <c r="AF28" s="117">
        <f t="shared" si="12"/>
        <v>30.2</v>
      </c>
      <c r="AG28" s="122"/>
      <c r="AH28" s="90">
        <f t="shared" si="2"/>
        <v>266.71899999999999</v>
      </c>
      <c r="AI28" s="90">
        <f t="shared" si="6"/>
        <v>266.71899999999999</v>
      </c>
      <c r="AJ28" s="90" t="str">
        <f t="shared" si="3"/>
        <v>NAOI</v>
      </c>
      <c r="AK28" s="97">
        <f t="shared" si="16"/>
        <v>263.20499999999998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32.200000000000003</v>
      </c>
      <c r="B29" s="99">
        <f t="shared" si="1"/>
        <v>263.20499999999998</v>
      </c>
      <c r="C29" s="100" t="str">
        <f t="shared" si="5"/>
        <v>NAOD</v>
      </c>
      <c r="D29" s="196"/>
      <c r="E29" s="121">
        <v>1.2</v>
      </c>
      <c r="X29" s="111"/>
      <c r="Y29" s="112"/>
      <c r="Z29" s="113"/>
      <c r="AA29" s="114">
        <v>3.5139999999999998</v>
      </c>
      <c r="AB29" s="115"/>
      <c r="AC29" s="116" t="str">
        <f t="shared" si="11"/>
        <v/>
      </c>
      <c r="AD29" s="117">
        <f t="shared" si="17"/>
        <v>263.20499999999998</v>
      </c>
      <c r="AE29" s="118">
        <v>2</v>
      </c>
      <c r="AF29" s="117">
        <f t="shared" si="12"/>
        <v>32.200000000000003</v>
      </c>
      <c r="AG29" s="119" t="s">
        <v>10</v>
      </c>
      <c r="AH29" s="90">
        <f t="shared" si="2"/>
        <v>266.71899999999999</v>
      </c>
      <c r="AI29" s="90">
        <f t="shared" si="6"/>
        <v>266.71899999999999</v>
      </c>
      <c r="AJ29" s="90" t="str">
        <f t="shared" si="3"/>
        <v>NAOD</v>
      </c>
      <c r="AK29" s="97">
        <f t="shared" si="16"/>
        <v>263.20499999999998</v>
      </c>
      <c r="AL29" s="90" t="str">
        <f t="shared" si="7"/>
        <v/>
      </c>
      <c r="AM29" s="97" t="str">
        <f t="shared" si="8"/>
        <v/>
      </c>
      <c r="AN29" s="90">
        <f t="shared" si="9"/>
        <v>263.20499999999998</v>
      </c>
      <c r="AO29" s="90">
        <f t="shared" si="10"/>
        <v>32.200000000000003</v>
      </c>
      <c r="AP29" s="90">
        <f t="shared" si="14"/>
        <v>0</v>
      </c>
    </row>
    <row r="30" spans="1:42" ht="15.75" x14ac:dyDescent="0.25">
      <c r="A30" s="98">
        <f t="shared" si="0"/>
        <v>35.200000000000003</v>
      </c>
      <c r="B30" s="99">
        <f t="shared" si="1"/>
        <v>264.26900000000001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2.4500000000000002</v>
      </c>
      <c r="AB30" s="115"/>
      <c r="AC30" s="116" t="str">
        <f t="shared" si="11"/>
        <v/>
      </c>
      <c r="AD30" s="117">
        <f t="shared" si="17"/>
        <v>264.26900000000001</v>
      </c>
      <c r="AE30" s="118">
        <v>3</v>
      </c>
      <c r="AF30" s="117">
        <f t="shared" si="12"/>
        <v>35.200000000000003</v>
      </c>
      <c r="AG30" s="119"/>
      <c r="AH30" s="90">
        <f t="shared" si="2"/>
        <v>266.71899999999999</v>
      </c>
      <c r="AI30" s="90">
        <f t="shared" si="6"/>
        <v>266.71899999999999</v>
      </c>
      <c r="AJ30" s="90" t="str">
        <f t="shared" si="3"/>
        <v>NAOD</v>
      </c>
      <c r="AK30" s="97">
        <f t="shared" si="16"/>
        <v>264.26900000000001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35.200000000000003</v>
      </c>
      <c r="B31" s="99">
        <f t="shared" si="1"/>
        <v>265.72899999999998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0.99</v>
      </c>
      <c r="AB31" s="115"/>
      <c r="AC31" s="116" t="str">
        <f t="shared" si="11"/>
        <v/>
      </c>
      <c r="AD31" s="117">
        <f t="shared" si="17"/>
        <v>265.72899999999998</v>
      </c>
      <c r="AE31" s="118">
        <v>0</v>
      </c>
      <c r="AF31" s="117">
        <f t="shared" si="12"/>
        <v>35.200000000000003</v>
      </c>
      <c r="AG31" s="119"/>
      <c r="AH31" s="90">
        <f t="shared" si="2"/>
        <v>266.71899999999999</v>
      </c>
      <c r="AI31" s="90">
        <f t="shared" si="6"/>
        <v>266.71899999999999</v>
      </c>
      <c r="AJ31" s="90" t="str">
        <f t="shared" si="3"/>
        <v>NAOD</v>
      </c>
      <c r="AK31" s="97">
        <f t="shared" si="16"/>
        <v>265.72899999999998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36.200000000000003</v>
      </c>
      <c r="B32" s="99">
        <f t="shared" si="1"/>
        <v>265.72899999999998</v>
      </c>
      <c r="C32" s="100" t="str">
        <f t="shared" si="5"/>
        <v>PRD</v>
      </c>
      <c r="D32" s="196"/>
      <c r="E32" s="121">
        <v>0.35</v>
      </c>
      <c r="X32" s="111"/>
      <c r="Y32" s="112"/>
      <c r="Z32" s="113"/>
      <c r="AA32" s="114">
        <v>0.99</v>
      </c>
      <c r="AB32" s="115"/>
      <c r="AC32" s="116" t="str">
        <f t="shared" si="11"/>
        <v/>
      </c>
      <c r="AD32" s="117">
        <f t="shared" si="17"/>
        <v>265.72899999999998</v>
      </c>
      <c r="AE32" s="118">
        <v>1</v>
      </c>
      <c r="AF32" s="117">
        <f t="shared" si="12"/>
        <v>36.200000000000003</v>
      </c>
      <c r="AG32" s="119" t="s">
        <v>5</v>
      </c>
      <c r="AH32" s="90">
        <f t="shared" si="2"/>
        <v>266.71899999999999</v>
      </c>
      <c r="AI32" s="90">
        <f t="shared" si="6"/>
        <v>266.71899999999999</v>
      </c>
      <c r="AJ32" s="90" t="str">
        <f t="shared" si="3"/>
        <v>PRD</v>
      </c>
      <c r="AK32" s="97">
        <f t="shared" si="16"/>
        <v>265.72899999999998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>
        <f t="shared" si="0"/>
        <v>36.200000000000003</v>
      </c>
      <c r="B33" s="99">
        <f t="shared" si="1"/>
        <v>266.709</v>
      </c>
      <c r="C33" s="100" t="str">
        <f t="shared" si="5"/>
        <v/>
      </c>
      <c r="D33" s="196"/>
      <c r="X33" s="111"/>
      <c r="Y33" s="112"/>
      <c r="Z33" s="113"/>
      <c r="AA33" s="114">
        <v>0.01</v>
      </c>
      <c r="AB33" s="115"/>
      <c r="AC33" s="116" t="str">
        <f t="shared" si="11"/>
        <v/>
      </c>
      <c r="AD33" s="117">
        <f t="shared" si="17"/>
        <v>266.709</v>
      </c>
      <c r="AE33" s="118">
        <v>0</v>
      </c>
      <c r="AF33" s="117">
        <f t="shared" si="12"/>
        <v>36.200000000000003</v>
      </c>
      <c r="AG33" s="119"/>
      <c r="AH33" s="90">
        <f t="shared" si="2"/>
        <v>266.71899999999999</v>
      </c>
      <c r="AI33" s="90">
        <f t="shared" si="6"/>
        <v>266.71899999999999</v>
      </c>
      <c r="AJ33" s="90" t="str">
        <f t="shared" si="3"/>
        <v>PRD</v>
      </c>
      <c r="AK33" s="97">
        <f t="shared" si="16"/>
        <v>266.709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>
        <f t="shared" si="0"/>
        <v>36.200000000000003</v>
      </c>
      <c r="B34" s="99">
        <f t="shared" si="1"/>
        <v>265.43399999999997</v>
      </c>
      <c r="C34" s="100" t="str">
        <f t="shared" si="5"/>
        <v/>
      </c>
      <c r="D34" s="196"/>
      <c r="X34" s="111" t="s">
        <v>51</v>
      </c>
      <c r="Y34" s="112"/>
      <c r="Z34" s="113">
        <v>4.7960000000000003</v>
      </c>
      <c r="AA34" s="114"/>
      <c r="AB34" s="115">
        <v>1.2849999999999999</v>
      </c>
      <c r="AC34" s="116">
        <f t="shared" si="11"/>
        <v>270.22999999999996</v>
      </c>
      <c r="AD34" s="117">
        <f t="shared" si="17"/>
        <v>265.43399999999997</v>
      </c>
      <c r="AE34" s="118">
        <v>0</v>
      </c>
      <c r="AF34" s="117">
        <f t="shared" si="12"/>
        <v>36.200000000000003</v>
      </c>
      <c r="AG34" s="119"/>
      <c r="AH34" s="90">
        <f t="shared" si="2"/>
        <v>270.22999999999996</v>
      </c>
      <c r="AI34" s="90">
        <f t="shared" si="6"/>
        <v>270.22999999999996</v>
      </c>
      <c r="AJ34" s="90" t="str">
        <f t="shared" si="3"/>
        <v>PRD</v>
      </c>
      <c r="AK34" s="97">
        <f t="shared" si="16"/>
        <v>265.43399999999997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>
        <f t="shared" si="0"/>
        <v>36.200000000000003</v>
      </c>
      <c r="B35" s="99">
        <f t="shared" si="1"/>
        <v>269.35499999999996</v>
      </c>
      <c r="C35" s="100" t="str">
        <f t="shared" si="5"/>
        <v xml:space="preserve">S/BM </v>
      </c>
      <c r="D35" s="196"/>
      <c r="X35" s="111"/>
      <c r="Y35" s="112"/>
      <c r="Z35" s="113"/>
      <c r="AA35" s="114">
        <v>0.875</v>
      </c>
      <c r="AB35" s="115"/>
      <c r="AC35" s="116" t="str">
        <f t="shared" si="11"/>
        <v/>
      </c>
      <c r="AD35" s="117">
        <f t="shared" si="17"/>
        <v>269.35499999999996</v>
      </c>
      <c r="AE35" s="118">
        <v>0</v>
      </c>
      <c r="AF35" s="117">
        <f t="shared" si="12"/>
        <v>36.200000000000003</v>
      </c>
      <c r="AG35" s="120" t="s">
        <v>49</v>
      </c>
      <c r="AH35" s="90">
        <f t="shared" si="2"/>
        <v>270.22999999999996</v>
      </c>
      <c r="AI35" s="90">
        <f t="shared" si="6"/>
        <v>270.22999999999996</v>
      </c>
      <c r="AJ35" s="90" t="str">
        <f t="shared" si="3"/>
        <v xml:space="preserve">S/BM </v>
      </c>
      <c r="AK35" s="97">
        <f t="shared" si="16"/>
        <v>269.35499999999996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/>
      <c r="B36" s="99"/>
      <c r="C36" s="100" t="str">
        <f t="shared" si="5"/>
        <v/>
      </c>
      <c r="D36" s="196"/>
      <c r="X36" s="111"/>
      <c r="Y36" s="112"/>
      <c r="Z36" s="113"/>
      <c r="AA36" s="114"/>
      <c r="AB36" s="115"/>
      <c r="AC36" s="116"/>
      <c r="AD36" s="117"/>
      <c r="AE36" s="118"/>
      <c r="AF36" s="117"/>
      <c r="AG36" s="120"/>
      <c r="AH36" s="90">
        <f t="shared" si="2"/>
        <v>0</v>
      </c>
      <c r="AI36" s="90">
        <f t="shared" si="6"/>
        <v>0</v>
      </c>
      <c r="AJ36" s="90" t="str">
        <f t="shared" si="3"/>
        <v xml:space="preserve">S/BM </v>
      </c>
      <c r="AK36" s="97">
        <f t="shared" si="16"/>
        <v>0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/>
      <c r="B37" s="99"/>
      <c r="C37" s="100"/>
      <c r="D37" s="196"/>
      <c r="X37" s="111"/>
      <c r="Y37" s="112"/>
      <c r="Z37" s="113"/>
      <c r="AA37" s="114"/>
      <c r="AB37" s="115"/>
      <c r="AC37" s="116"/>
      <c r="AD37" s="117"/>
      <c r="AE37" s="118"/>
      <c r="AF37" s="117"/>
      <c r="AG37" s="120"/>
      <c r="AH37" s="90">
        <f t="shared" si="2"/>
        <v>0</v>
      </c>
      <c r="AI37" s="90">
        <f t="shared" si="6"/>
        <v>0</v>
      </c>
      <c r="AJ37" s="90" t="str">
        <f t="shared" si="3"/>
        <v xml:space="preserve">S/BM </v>
      </c>
      <c r="AK37" s="97">
        <f t="shared" si="16"/>
        <v>0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/>
      <c r="B38" s="99"/>
      <c r="C38" s="100"/>
      <c r="D38" s="196"/>
      <c r="X38" s="111"/>
      <c r="Y38" s="112"/>
      <c r="Z38" s="113"/>
      <c r="AA38" s="114"/>
      <c r="AB38" s="115"/>
      <c r="AC38" s="116"/>
      <c r="AD38" s="117"/>
      <c r="AE38" s="118"/>
      <c r="AF38" s="117"/>
      <c r="AG38" s="119"/>
      <c r="AH38" s="90">
        <f t="shared" si="2"/>
        <v>0</v>
      </c>
      <c r="AI38" s="90">
        <f t="shared" si="6"/>
        <v>0</v>
      </c>
      <c r="AJ38" s="90" t="str">
        <f t="shared" si="3"/>
        <v xml:space="preserve">S/BM </v>
      </c>
      <c r="AK38" s="97">
        <f t="shared" si="16"/>
        <v>0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/>
      <c r="B39" s="99"/>
      <c r="C39" s="100"/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 xml:space="preserve">S/BM </v>
      </c>
      <c r="AK39" s="97">
        <f t="shared" si="16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/>
      <c r="B40" s="99"/>
      <c r="C40" s="170"/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19"/>
      <c r="AH40" s="90">
        <f t="shared" si="2"/>
        <v>0</v>
      </c>
      <c r="AI40" s="90">
        <f t="shared" si="6"/>
        <v>0</v>
      </c>
      <c r="AJ40" s="90" t="str">
        <f t="shared" si="3"/>
        <v xml:space="preserve">S/BM </v>
      </c>
      <c r="AK40" s="97">
        <f t="shared" si="16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/>
      <c r="B41" s="99"/>
      <c r="C41" s="170"/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 xml:space="preserve">S/BM </v>
      </c>
      <c r="AK41" s="97">
        <f t="shared" si="16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/>
      <c r="B42" s="99"/>
      <c r="C42" s="170"/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 xml:space="preserve">S/BM </v>
      </c>
      <c r="AK42" s="97">
        <f t="shared" si="16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0</v>
      </c>
    </row>
    <row r="43" spans="1:42" ht="15.75" x14ac:dyDescent="0.25">
      <c r="A43" s="98"/>
      <c r="B43" s="99"/>
      <c r="C43" s="170"/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19"/>
      <c r="AH43" s="90">
        <f t="shared" si="2"/>
        <v>0</v>
      </c>
      <c r="AI43" s="90">
        <f t="shared" si="6"/>
        <v>0</v>
      </c>
      <c r="AJ43" s="90" t="str">
        <f t="shared" si="3"/>
        <v xml:space="preserve">S/BM </v>
      </c>
      <c r="AK43" s="97">
        <f t="shared" si="16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/>
      <c r="B44" s="99"/>
      <c r="C44" s="170"/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20"/>
      <c r="AH44" s="90">
        <f t="shared" si="2"/>
        <v>0</v>
      </c>
      <c r="AI44" s="90">
        <f t="shared" si="6"/>
        <v>0</v>
      </c>
      <c r="AJ44" s="90" t="str">
        <f t="shared" si="3"/>
        <v xml:space="preserve">S/BM </v>
      </c>
      <c r="AK44" s="97">
        <f t="shared" si="16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/>
      <c r="B45" s="99"/>
      <c r="C45" s="170"/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 xml:space="preserve">S/BM </v>
      </c>
      <c r="AK45" s="97">
        <f t="shared" si="16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/>
      <c r="B46" s="99"/>
      <c r="C46" s="100"/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 xml:space="preserve">S/BM </v>
      </c>
      <c r="AK46" s="97">
        <f t="shared" si="16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/>
      <c r="B47" s="99"/>
      <c r="C47" s="100" t="str">
        <f t="shared" ref="C47:C51" si="18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 xml:space="preserve">S/BM 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8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 xml:space="preserve">S/BM 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0</v>
      </c>
    </row>
    <row r="49" spans="1:42" ht="15.75" x14ac:dyDescent="0.25">
      <c r="A49" s="98"/>
      <c r="B49" s="99"/>
      <c r="C49" s="100" t="str">
        <f t="shared" si="18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 xml:space="preserve">S/BM 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0</v>
      </c>
    </row>
    <row r="50" spans="1:42" ht="15.75" x14ac:dyDescent="0.25">
      <c r="A50" s="98"/>
      <c r="B50" s="99"/>
      <c r="C50" s="100" t="str">
        <f t="shared" si="18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 xml:space="preserve">S/BM 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0</v>
      </c>
    </row>
    <row r="51" spans="1:42" ht="16.5" thickBot="1" x14ac:dyDescent="0.3">
      <c r="A51" s="126"/>
      <c r="B51" s="127"/>
      <c r="C51" s="100" t="str">
        <f t="shared" si="18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 xml:space="preserve">S/BM 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f>AM4</f>
        <v>5.2</v>
      </c>
      <c r="B53" s="140">
        <f>AL4</f>
        <v>263.20499999999998</v>
      </c>
      <c r="C53" s="141" t="s">
        <v>9</v>
      </c>
      <c r="D53" s="184" t="s">
        <v>6</v>
      </c>
    </row>
    <row r="54" spans="1:42" ht="20.100000000000001" customHeight="1" x14ac:dyDescent="0.2">
      <c r="A54" s="142">
        <f>AO4</f>
        <v>32.200000000000003</v>
      </c>
      <c r="B54" s="140">
        <f>AN4</f>
        <v>263.20499999999998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261.38499999999999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266.36599999999999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267.80200000000002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269.30200000000002</v>
      </c>
      <c r="C58" s="149" t="s">
        <v>2</v>
      </c>
      <c r="D58" s="184"/>
    </row>
    <row r="59" spans="1:42" ht="13.5" thickBot="1" x14ac:dyDescent="0.25">
      <c r="A59" s="150">
        <v>0</v>
      </c>
      <c r="B59" s="151">
        <v>270.255</v>
      </c>
      <c r="C59" s="152" t="s">
        <v>7</v>
      </c>
      <c r="D59" s="153"/>
    </row>
    <row r="60" spans="1:42" ht="13.5" thickBot="1" x14ac:dyDescent="0.25">
      <c r="A60" s="154">
        <v>33.5</v>
      </c>
      <c r="B60" s="151">
        <v>270.255</v>
      </c>
      <c r="C60" s="152" t="s">
        <v>7</v>
      </c>
      <c r="D60" s="153"/>
    </row>
    <row r="61" spans="1:42" ht="18" x14ac:dyDescent="0.25">
      <c r="A61" s="155" t="s">
        <v>90</v>
      </c>
      <c r="B61" s="156"/>
      <c r="C61" s="167"/>
      <c r="D61" s="153"/>
    </row>
    <row r="62" spans="1:42" ht="18" x14ac:dyDescent="0.25">
      <c r="A62" s="155" t="s">
        <v>53</v>
      </c>
      <c r="B62" s="156"/>
      <c r="C62" s="158">
        <f>B55</f>
        <v>261.38499999999999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76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87</v>
      </c>
      <c r="C69" s="181"/>
    </row>
    <row r="70" spans="1:4" ht="14.25" x14ac:dyDescent="0.2">
      <c r="A70" s="161" t="s">
        <v>60</v>
      </c>
      <c r="B70" s="181" t="s">
        <v>88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43894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244" priority="122" stopIfTrue="1">
      <formula>$AP$47=1</formula>
    </cfRule>
  </conditionalFormatting>
  <conditionalFormatting sqref="AC46:AF46">
    <cfRule type="expression" dxfId="243" priority="121" stopIfTrue="1">
      <formula>$AP$46</formula>
    </cfRule>
  </conditionalFormatting>
  <conditionalFormatting sqref="AC50:AF50">
    <cfRule type="expression" dxfId="242" priority="120" stopIfTrue="1">
      <formula>$AP$50=1</formula>
    </cfRule>
  </conditionalFormatting>
  <conditionalFormatting sqref="AC51:AF51">
    <cfRule type="expression" dxfId="241" priority="119" stopIfTrue="1">
      <formula>$AP$51=1</formula>
    </cfRule>
  </conditionalFormatting>
  <conditionalFormatting sqref="AC49:AF49">
    <cfRule type="expression" dxfId="240" priority="118" stopIfTrue="1">
      <formula>$AP$49=1</formula>
    </cfRule>
  </conditionalFormatting>
  <conditionalFormatting sqref="AC48:AF48">
    <cfRule type="expression" dxfId="239" priority="117" stopIfTrue="1">
      <formula>$AP$48=1</formula>
    </cfRule>
  </conditionalFormatting>
  <conditionalFormatting sqref="AC45:AF45">
    <cfRule type="expression" dxfId="238" priority="116" stopIfTrue="1">
      <formula>$AP$45=1</formula>
    </cfRule>
  </conditionalFormatting>
  <conditionalFormatting sqref="AC44 AE44">
    <cfRule type="expression" dxfId="237" priority="115" stopIfTrue="1">
      <formula>$AP$44=1</formula>
    </cfRule>
  </conditionalFormatting>
  <conditionalFormatting sqref="AC43 AE43">
    <cfRule type="expression" dxfId="236" priority="114" stopIfTrue="1">
      <formula>$AP$43=1</formula>
    </cfRule>
  </conditionalFormatting>
  <conditionalFormatting sqref="AE42">
    <cfRule type="expression" dxfId="235" priority="113" stopIfTrue="1">
      <formula>$AP$42=1</formula>
    </cfRule>
  </conditionalFormatting>
  <conditionalFormatting sqref="AE41">
    <cfRule type="expression" dxfId="234" priority="112" stopIfTrue="1">
      <formula>$AP$41=1</formula>
    </cfRule>
  </conditionalFormatting>
  <conditionalFormatting sqref="AE40">
    <cfRule type="expression" dxfId="233" priority="111" stopIfTrue="1">
      <formula>$AP$40=1</formula>
    </cfRule>
  </conditionalFormatting>
  <conditionalFormatting sqref="AE39">
    <cfRule type="expression" dxfId="232" priority="110" stopIfTrue="1">
      <formula>$AP$39=1</formula>
    </cfRule>
  </conditionalFormatting>
  <conditionalFormatting sqref="AE38">
    <cfRule type="expression" dxfId="231" priority="109" stopIfTrue="1">
      <formula>$AP$38=1</formula>
    </cfRule>
  </conditionalFormatting>
  <conditionalFormatting sqref="AE37">
    <cfRule type="expression" dxfId="230" priority="108" stopIfTrue="1">
      <formula>$AP$37=1</formula>
    </cfRule>
  </conditionalFormatting>
  <conditionalFormatting sqref="AE36">
    <cfRule type="expression" dxfId="229" priority="107" stopIfTrue="1">
      <formula>$AP$36=1</formula>
    </cfRule>
  </conditionalFormatting>
  <conditionalFormatting sqref="AD35:AF36 AD30:AD34 AD37:AD44 AF30:AF34 AF37:AF44">
    <cfRule type="expression" dxfId="228" priority="105" stopIfTrue="1">
      <formula>$AP$35=1</formula>
    </cfRule>
    <cfRule type="expression" dxfId="227" priority="106" stopIfTrue="1">
      <formula>$AP$35=1</formula>
    </cfRule>
  </conditionalFormatting>
  <conditionalFormatting sqref="AD34:AF34">
    <cfRule type="expression" dxfId="226" priority="104" stopIfTrue="1">
      <formula>$AP$34=1</formula>
    </cfRule>
  </conditionalFormatting>
  <conditionalFormatting sqref="AE33:AF33">
    <cfRule type="expression" dxfId="225" priority="103" stopIfTrue="1">
      <formula>$AP$33=1</formula>
    </cfRule>
  </conditionalFormatting>
  <conditionalFormatting sqref="AD32:AF33 AD34">
    <cfRule type="expression" dxfId="224" priority="102" stopIfTrue="1">
      <formula>$AP$32=1</formula>
    </cfRule>
  </conditionalFormatting>
  <conditionalFormatting sqref="AD31:AF31">
    <cfRule type="expression" dxfId="223" priority="101" stopIfTrue="1">
      <formula>$AP$31=1</formula>
    </cfRule>
  </conditionalFormatting>
  <conditionalFormatting sqref="AD30:AF30">
    <cfRule type="expression" dxfId="222" priority="100" stopIfTrue="1">
      <formula>$AP$30</formula>
    </cfRule>
  </conditionalFormatting>
  <conditionalFormatting sqref="AD29 AF29">
    <cfRule type="expression" dxfId="221" priority="99" stopIfTrue="1">
      <formula>$AP$29=1</formula>
    </cfRule>
  </conditionalFormatting>
  <conditionalFormatting sqref="AD28 AF28">
    <cfRule type="expression" dxfId="220" priority="98" stopIfTrue="1">
      <formula>$AP$28=1</formula>
    </cfRule>
  </conditionalFormatting>
  <conditionalFormatting sqref="AD27 AF27">
    <cfRule type="expression" dxfId="219" priority="97" stopIfTrue="1">
      <formula>$AP$27=1</formula>
    </cfRule>
  </conditionalFormatting>
  <conditionalFormatting sqref="AD26 AF26">
    <cfRule type="expression" dxfId="218" priority="96" stopIfTrue="1">
      <formula>$AP$26=1</formula>
    </cfRule>
  </conditionalFormatting>
  <conditionalFormatting sqref="AD25 AF25">
    <cfRule type="expression" dxfId="217" priority="95" stopIfTrue="1">
      <formula>$AP$25=1</formula>
    </cfRule>
  </conditionalFormatting>
  <conditionalFormatting sqref="AD24 AF24">
    <cfRule type="expression" dxfId="216" priority="94" stopIfTrue="1">
      <formula>$AP$24=1</formula>
    </cfRule>
  </conditionalFormatting>
  <conditionalFormatting sqref="AD23 AF23">
    <cfRule type="expression" dxfId="215" priority="93" stopIfTrue="1">
      <formula>$AP$23=1</formula>
    </cfRule>
  </conditionalFormatting>
  <conditionalFormatting sqref="AD22 AF22">
    <cfRule type="expression" dxfId="214" priority="92" stopIfTrue="1">
      <formula>$AP$22=1</formula>
    </cfRule>
  </conditionalFormatting>
  <conditionalFormatting sqref="AD21 AF21">
    <cfRule type="expression" dxfId="213" priority="91" stopIfTrue="1">
      <formula>$AP$21=1</formula>
    </cfRule>
  </conditionalFormatting>
  <conditionalFormatting sqref="AD20 AF20">
    <cfRule type="expression" dxfId="212" priority="90" stopIfTrue="1">
      <formula>$AP$20=1</formula>
    </cfRule>
  </conditionalFormatting>
  <conditionalFormatting sqref="AD19 AF19">
    <cfRule type="expression" dxfId="211" priority="89" stopIfTrue="1">
      <formula>$AP$19=1</formula>
    </cfRule>
  </conditionalFormatting>
  <conditionalFormatting sqref="AD18 AF18">
    <cfRule type="expression" dxfId="210" priority="88" stopIfTrue="1">
      <formula>$AP$18=1</formula>
    </cfRule>
  </conditionalFormatting>
  <conditionalFormatting sqref="AD17 AF17">
    <cfRule type="expression" dxfId="209" priority="87" stopIfTrue="1">
      <formula>$AP$17=1</formula>
    </cfRule>
  </conditionalFormatting>
  <conditionalFormatting sqref="AD16 AF16">
    <cfRule type="expression" dxfId="208" priority="86" stopIfTrue="1">
      <formula>$AP$16=1</formula>
    </cfRule>
  </conditionalFormatting>
  <conditionalFormatting sqref="AD15 AF15">
    <cfRule type="expression" dxfId="207" priority="85" stopIfTrue="1">
      <formula>$AP$15=1</formula>
    </cfRule>
  </conditionalFormatting>
  <conditionalFormatting sqref="AD14 AF14">
    <cfRule type="expression" dxfId="206" priority="84" stopIfTrue="1">
      <formula>$AP$14=1</formula>
    </cfRule>
  </conditionalFormatting>
  <conditionalFormatting sqref="AD13 AF13">
    <cfRule type="expression" dxfId="205" priority="83" stopIfTrue="1">
      <formula>$AP$13=1</formula>
    </cfRule>
  </conditionalFormatting>
  <conditionalFormatting sqref="AD12:AF13 AE14:AE31">
    <cfRule type="expression" dxfId="204" priority="82" stopIfTrue="1">
      <formula>$AP$12=1</formula>
    </cfRule>
  </conditionalFormatting>
  <conditionalFormatting sqref="AD11:AF11">
    <cfRule type="expression" dxfId="203" priority="81" stopIfTrue="1">
      <formula>$AP$11=1</formula>
    </cfRule>
  </conditionalFormatting>
  <conditionalFormatting sqref="A51:B51">
    <cfRule type="expression" dxfId="202" priority="80" stopIfTrue="1">
      <formula>$AP$51=1</formula>
    </cfRule>
  </conditionalFormatting>
  <conditionalFormatting sqref="A50:B50">
    <cfRule type="expression" dxfId="201" priority="79" stopIfTrue="1">
      <formula>$AP$50=1</formula>
    </cfRule>
  </conditionalFormatting>
  <conditionalFormatting sqref="A49:B49">
    <cfRule type="expression" dxfId="200" priority="78" stopIfTrue="1">
      <formula>$AP$49=1</formula>
    </cfRule>
  </conditionalFormatting>
  <conditionalFormatting sqref="A48:B48">
    <cfRule type="expression" dxfId="199" priority="77" stopIfTrue="1">
      <formula>$AP$48=1</formula>
    </cfRule>
  </conditionalFormatting>
  <conditionalFormatting sqref="A47:B47">
    <cfRule type="expression" dxfId="198" priority="76" stopIfTrue="1">
      <formula>$AP$47=1</formula>
    </cfRule>
  </conditionalFormatting>
  <conditionalFormatting sqref="A46:B46">
    <cfRule type="expression" dxfId="197" priority="75" stopIfTrue="1">
      <formula>$AP$46=1</formula>
    </cfRule>
  </conditionalFormatting>
  <conditionalFormatting sqref="A40:B45">
    <cfRule type="expression" dxfId="196" priority="74" stopIfTrue="1">
      <formula>$AP$40=1</formula>
    </cfRule>
  </conditionalFormatting>
  <conditionalFormatting sqref="A39:B39">
    <cfRule type="expression" dxfId="195" priority="73" stopIfTrue="1">
      <formula>$AP$39=1</formula>
    </cfRule>
  </conditionalFormatting>
  <conditionalFormatting sqref="A38:B38">
    <cfRule type="expression" dxfId="194" priority="72" stopIfTrue="1">
      <formula>$AP$38=1</formula>
    </cfRule>
  </conditionalFormatting>
  <conditionalFormatting sqref="A37:B37">
    <cfRule type="expression" dxfId="193" priority="71" stopIfTrue="1">
      <formula>$AP$37=1</formula>
    </cfRule>
  </conditionalFormatting>
  <conditionalFormatting sqref="B32:B34 B36">
    <cfRule type="expression" dxfId="192" priority="70" stopIfTrue="1">
      <formula>$AP$32=1</formula>
    </cfRule>
  </conditionalFormatting>
  <conditionalFormatting sqref="B31 B35">
    <cfRule type="expression" dxfId="191" priority="69" stopIfTrue="1">
      <formula>$AP$31=1</formula>
    </cfRule>
  </conditionalFormatting>
  <conditionalFormatting sqref="A30:B30 A31:A36">
    <cfRule type="expression" dxfId="190" priority="68" stopIfTrue="1">
      <formula>$AP$30=1</formula>
    </cfRule>
  </conditionalFormatting>
  <conditionalFormatting sqref="A29:B29">
    <cfRule type="expression" dxfId="189" priority="67" stopIfTrue="1">
      <formula>$AP$29=1</formula>
    </cfRule>
  </conditionalFormatting>
  <conditionalFormatting sqref="A28:B28">
    <cfRule type="expression" dxfId="188" priority="66" stopIfTrue="1">
      <formula>$AP$28=1</formula>
    </cfRule>
  </conditionalFormatting>
  <conditionalFormatting sqref="A27:B27">
    <cfRule type="expression" dxfId="187" priority="65" stopIfTrue="1">
      <formula>$AP$27=1</formula>
    </cfRule>
  </conditionalFormatting>
  <conditionalFormatting sqref="A26:B26">
    <cfRule type="expression" dxfId="186" priority="64" stopIfTrue="1">
      <formula>$AP$26=1</formula>
    </cfRule>
  </conditionalFormatting>
  <conditionalFormatting sqref="A25:B25">
    <cfRule type="expression" dxfId="185" priority="63" stopIfTrue="1">
      <formula>$AP$25=1</formula>
    </cfRule>
  </conditionalFormatting>
  <conditionalFormatting sqref="A24:B24">
    <cfRule type="expression" dxfId="184" priority="62" stopIfTrue="1">
      <formula>$AP$24=1</formula>
    </cfRule>
  </conditionalFormatting>
  <conditionalFormatting sqref="A23:B23">
    <cfRule type="expression" dxfId="183" priority="61" stopIfTrue="1">
      <formula>$AP$23=1</formula>
    </cfRule>
  </conditionalFormatting>
  <conditionalFormatting sqref="A22:B22">
    <cfRule type="expression" dxfId="182" priority="60" stopIfTrue="1">
      <formula>$AP$22=1</formula>
    </cfRule>
  </conditionalFormatting>
  <conditionalFormatting sqref="A21:B21">
    <cfRule type="expression" dxfId="181" priority="59" stopIfTrue="1">
      <formula>$AP$21=1</formula>
    </cfRule>
  </conditionalFormatting>
  <conditionalFormatting sqref="A20:B20">
    <cfRule type="expression" dxfId="180" priority="58" stopIfTrue="1">
      <formula>$AP$20=1</formula>
    </cfRule>
  </conditionalFormatting>
  <conditionalFormatting sqref="A19:B19">
    <cfRule type="expression" dxfId="179" priority="57" stopIfTrue="1">
      <formula>$AP$19=1</formula>
    </cfRule>
  </conditionalFormatting>
  <conditionalFormatting sqref="A18:B18">
    <cfRule type="expression" dxfId="178" priority="56" stopIfTrue="1">
      <formula>$AP$18=1</formula>
    </cfRule>
  </conditionalFormatting>
  <conditionalFormatting sqref="A17:B17">
    <cfRule type="expression" dxfId="177" priority="55" stopIfTrue="1">
      <formula>$AP$17=1</formula>
    </cfRule>
  </conditionalFormatting>
  <conditionalFormatting sqref="A16:B16">
    <cfRule type="expression" dxfId="176" priority="54" stopIfTrue="1">
      <formula>$AP$16=1</formula>
    </cfRule>
  </conditionalFormatting>
  <conditionalFormatting sqref="A15:B15">
    <cfRule type="expression" dxfId="175" priority="53" stopIfTrue="1">
      <formula>$AP$15=1</formula>
    </cfRule>
  </conditionalFormatting>
  <conditionalFormatting sqref="A14:B14">
    <cfRule type="expression" dxfId="174" priority="52" stopIfTrue="1">
      <formula>$AP$14=1</formula>
    </cfRule>
  </conditionalFormatting>
  <conditionalFormatting sqref="A13:B13">
    <cfRule type="expression" dxfId="173" priority="51" stopIfTrue="1">
      <formula>$AP$13=1</formula>
    </cfRule>
  </conditionalFormatting>
  <conditionalFormatting sqref="A12:B12">
    <cfRule type="expression" dxfId="172" priority="50" stopIfTrue="1">
      <formula>$AP$12=1</formula>
    </cfRule>
  </conditionalFormatting>
  <conditionalFormatting sqref="A11:B11">
    <cfRule type="expression" dxfId="171" priority="49" stopIfTrue="1">
      <formula>$AP$11=1</formula>
    </cfRule>
  </conditionalFormatting>
  <conditionalFormatting sqref="A10:B10">
    <cfRule type="expression" dxfId="170" priority="48" stopIfTrue="1">
      <formula>$AP$10=1</formula>
    </cfRule>
  </conditionalFormatting>
  <conditionalFormatting sqref="AE31">
    <cfRule type="expression" dxfId="169" priority="47" stopIfTrue="1">
      <formula>$AP$30</formula>
    </cfRule>
  </conditionalFormatting>
  <conditionalFormatting sqref="AC10:AF10 AC11:AC42">
    <cfRule type="expression" dxfId="168" priority="46" stopIfTrue="1">
      <formula>$AP$11=1</formula>
    </cfRule>
  </conditionalFormatting>
  <conditionalFormatting sqref="AC38 AE38">
    <cfRule type="expression" dxfId="167" priority="45" stopIfTrue="1">
      <formula>$AP$44=1</formula>
    </cfRule>
  </conditionalFormatting>
  <conditionalFormatting sqref="AC37 AE37">
    <cfRule type="expression" dxfId="166" priority="44" stopIfTrue="1">
      <formula>$AP$43=1</formula>
    </cfRule>
  </conditionalFormatting>
  <conditionalFormatting sqref="AE36">
    <cfRule type="expression" dxfId="165" priority="43" stopIfTrue="1">
      <formula>$AP$42=1</formula>
    </cfRule>
  </conditionalFormatting>
  <conditionalFormatting sqref="AE35">
    <cfRule type="expression" dxfId="164" priority="42" stopIfTrue="1">
      <formula>$AP$41=1</formula>
    </cfRule>
  </conditionalFormatting>
  <conditionalFormatting sqref="AE34">
    <cfRule type="expression" dxfId="163" priority="41" stopIfTrue="1">
      <formula>$AP$40=1</formula>
    </cfRule>
  </conditionalFormatting>
  <conditionalFormatting sqref="AE33">
    <cfRule type="expression" dxfId="162" priority="40" stopIfTrue="1">
      <formula>$AP$39=1</formula>
    </cfRule>
  </conditionalFormatting>
  <conditionalFormatting sqref="AE32">
    <cfRule type="expression" dxfId="161" priority="39" stopIfTrue="1">
      <formula>$AP$38=1</formula>
    </cfRule>
  </conditionalFormatting>
  <conditionalFormatting sqref="AE31">
    <cfRule type="expression" dxfId="160" priority="38" stopIfTrue="1">
      <formula>$AP$37=1</formula>
    </cfRule>
  </conditionalFormatting>
  <conditionalFormatting sqref="AE30">
    <cfRule type="expression" dxfId="159" priority="37" stopIfTrue="1">
      <formula>$AP$36=1</formula>
    </cfRule>
  </conditionalFormatting>
  <conditionalFormatting sqref="AE41">
    <cfRule type="expression" dxfId="158" priority="36" stopIfTrue="1">
      <formula>$AP$40=1</formula>
    </cfRule>
  </conditionalFormatting>
  <conditionalFormatting sqref="AE40">
    <cfRule type="expression" dxfId="157" priority="35" stopIfTrue="1">
      <formula>$AP$39=1</formula>
    </cfRule>
  </conditionalFormatting>
  <conditionalFormatting sqref="AE39">
    <cfRule type="expression" dxfId="156" priority="34" stopIfTrue="1">
      <formula>$AP$38=1</formula>
    </cfRule>
  </conditionalFormatting>
  <conditionalFormatting sqref="AE38">
    <cfRule type="expression" dxfId="155" priority="33" stopIfTrue="1">
      <formula>$AP$37=1</formula>
    </cfRule>
  </conditionalFormatting>
  <conditionalFormatting sqref="AE37">
    <cfRule type="expression" dxfId="154" priority="32" stopIfTrue="1">
      <formula>$AP$36=1</formula>
    </cfRule>
  </conditionalFormatting>
  <conditionalFormatting sqref="AD35:AF35">
    <cfRule type="expression" dxfId="153" priority="31" stopIfTrue="1">
      <formula>$AP$34=1</formula>
    </cfRule>
  </conditionalFormatting>
  <conditionalFormatting sqref="AE34:AF34">
    <cfRule type="expression" dxfId="152" priority="30" stopIfTrue="1">
      <formula>$AP$33=1</formula>
    </cfRule>
  </conditionalFormatting>
  <conditionalFormatting sqref="AD32:AF32">
    <cfRule type="expression" dxfId="151" priority="29" stopIfTrue="1">
      <formula>$AP$31=1</formula>
    </cfRule>
  </conditionalFormatting>
  <conditionalFormatting sqref="AD31:AF31">
    <cfRule type="expression" dxfId="150" priority="28" stopIfTrue="1">
      <formula>$AP$30</formula>
    </cfRule>
  </conditionalFormatting>
  <conditionalFormatting sqref="AD30 AF30">
    <cfRule type="expression" dxfId="149" priority="27" stopIfTrue="1">
      <formula>$AP$29=1</formula>
    </cfRule>
  </conditionalFormatting>
  <conditionalFormatting sqref="AD29 AF29">
    <cfRule type="expression" dxfId="148" priority="26" stopIfTrue="1">
      <formula>$AP$28=1</formula>
    </cfRule>
  </conditionalFormatting>
  <conditionalFormatting sqref="AD28 AF28">
    <cfRule type="expression" dxfId="147" priority="25" stopIfTrue="1">
      <formula>$AP$27=1</formula>
    </cfRule>
  </conditionalFormatting>
  <conditionalFormatting sqref="AD27 AF27">
    <cfRule type="expression" dxfId="146" priority="24" stopIfTrue="1">
      <formula>$AP$26=1</formula>
    </cfRule>
  </conditionalFormatting>
  <conditionalFormatting sqref="AD26 AF26">
    <cfRule type="expression" dxfId="145" priority="23" stopIfTrue="1">
      <formula>$AP$25=1</formula>
    </cfRule>
  </conditionalFormatting>
  <conditionalFormatting sqref="AD25 AF25">
    <cfRule type="expression" dxfId="144" priority="22" stopIfTrue="1">
      <formula>$AP$24=1</formula>
    </cfRule>
  </conditionalFormatting>
  <conditionalFormatting sqref="AD24 AF24">
    <cfRule type="expression" dxfId="143" priority="21" stopIfTrue="1">
      <formula>$AP$23=1</formula>
    </cfRule>
  </conditionalFormatting>
  <conditionalFormatting sqref="AD23 AF23">
    <cfRule type="expression" dxfId="142" priority="20" stopIfTrue="1">
      <formula>$AP$22=1</formula>
    </cfRule>
  </conditionalFormatting>
  <conditionalFormatting sqref="AD22 AF22">
    <cfRule type="expression" dxfId="141" priority="19" stopIfTrue="1">
      <formula>$AP$21=1</formula>
    </cfRule>
  </conditionalFormatting>
  <conditionalFormatting sqref="AD21 AF21">
    <cfRule type="expression" dxfId="140" priority="18" stopIfTrue="1">
      <formula>$AP$20=1</formula>
    </cfRule>
  </conditionalFormatting>
  <conditionalFormatting sqref="AD20 AF20">
    <cfRule type="expression" dxfId="139" priority="17" stopIfTrue="1">
      <formula>$AP$19=1</formula>
    </cfRule>
  </conditionalFormatting>
  <conditionalFormatting sqref="AD19 AF19">
    <cfRule type="expression" dxfId="138" priority="16" stopIfTrue="1">
      <formula>$AP$18=1</formula>
    </cfRule>
  </conditionalFormatting>
  <conditionalFormatting sqref="AD18 AF18">
    <cfRule type="expression" dxfId="137" priority="15" stopIfTrue="1">
      <formula>$AP$17=1</formula>
    </cfRule>
  </conditionalFormatting>
  <conditionalFormatting sqref="AD17 AF17">
    <cfRule type="expression" dxfId="136" priority="14" stopIfTrue="1">
      <formula>$AP$16=1</formula>
    </cfRule>
  </conditionalFormatting>
  <conditionalFormatting sqref="AD16 AF16">
    <cfRule type="expression" dxfId="135" priority="13" stopIfTrue="1">
      <formula>$AP$15=1</formula>
    </cfRule>
  </conditionalFormatting>
  <conditionalFormatting sqref="AD15 AF15">
    <cfRule type="expression" dxfId="134" priority="12" stopIfTrue="1">
      <formula>$AP$14=1</formula>
    </cfRule>
  </conditionalFormatting>
  <conditionalFormatting sqref="AD14 AF14">
    <cfRule type="expression" dxfId="133" priority="11" stopIfTrue="1">
      <formula>$AP$13=1</formula>
    </cfRule>
  </conditionalFormatting>
  <conditionalFormatting sqref="AE32">
    <cfRule type="expression" dxfId="132" priority="10" stopIfTrue="1">
      <formula>$AP$30</formula>
    </cfRule>
  </conditionalFormatting>
  <conditionalFormatting sqref="AC39 AE39">
    <cfRule type="expression" dxfId="131" priority="9" stopIfTrue="1">
      <formula>$AP$44=1</formula>
    </cfRule>
  </conditionalFormatting>
  <conditionalFormatting sqref="AC38 AE38">
    <cfRule type="expression" dxfId="130" priority="8" stopIfTrue="1">
      <formula>$AP$43=1</formula>
    </cfRule>
  </conditionalFormatting>
  <conditionalFormatting sqref="AE37">
    <cfRule type="expression" dxfId="129" priority="7" stopIfTrue="1">
      <formula>$AP$42=1</formula>
    </cfRule>
  </conditionalFormatting>
  <conditionalFormatting sqref="AE36">
    <cfRule type="expression" dxfId="128" priority="6" stopIfTrue="1">
      <formula>$AP$41=1</formula>
    </cfRule>
  </conditionalFormatting>
  <conditionalFormatting sqref="AE35">
    <cfRule type="expression" dxfId="127" priority="5" stopIfTrue="1">
      <formula>$AP$40=1</formula>
    </cfRule>
  </conditionalFormatting>
  <conditionalFormatting sqref="AE34">
    <cfRule type="expression" dxfId="126" priority="4" stopIfTrue="1">
      <formula>$AP$39=1</formula>
    </cfRule>
  </conditionalFormatting>
  <conditionalFormatting sqref="AE33">
    <cfRule type="expression" dxfId="125" priority="3" stopIfTrue="1">
      <formula>$AP$38=1</formula>
    </cfRule>
  </conditionalFormatting>
  <conditionalFormatting sqref="AE32">
    <cfRule type="expression" dxfId="124" priority="2" stopIfTrue="1">
      <formula>$AP$37=1</formula>
    </cfRule>
  </conditionalFormatting>
  <conditionalFormatting sqref="AE31">
    <cfRule type="expression" dxfId="123" priority="1" stopIfTrue="1">
      <formula>$AP$36=1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P75"/>
  <sheetViews>
    <sheetView tabSelected="1" topLeftCell="A4" zoomScale="70" zoomScaleNormal="70" workbookViewId="0">
      <selection activeCell="A60" sqref="A60"/>
    </sheetView>
  </sheetViews>
  <sheetFormatPr baseColWidth="10" defaultColWidth="11.42578125" defaultRowHeight="12.75" x14ac:dyDescent="0.2"/>
  <cols>
    <col min="1" max="1" width="9.7109375" style="88" customWidth="1"/>
    <col min="2" max="2" width="10.85546875" style="88" customWidth="1"/>
    <col min="3" max="3" width="17.5703125" style="88" customWidth="1"/>
    <col min="4" max="4" width="5.7109375" style="88" customWidth="1"/>
    <col min="5" max="32" width="11.42578125" style="88"/>
    <col min="33" max="33" width="18" style="88" bestFit="1" customWidth="1"/>
    <col min="34" max="35" width="10" style="88" hidden="1" customWidth="1"/>
    <col min="36" max="36" width="6.85546875" style="88" hidden="1" customWidth="1"/>
    <col min="37" max="37" width="9.28515625" style="88" hidden="1" customWidth="1"/>
    <col min="38" max="38" width="8.140625" style="88" hidden="1" customWidth="1"/>
    <col min="39" max="39" width="4.7109375" style="88" hidden="1" customWidth="1"/>
    <col min="40" max="40" width="8.140625" style="88" hidden="1" customWidth="1"/>
    <col min="41" max="41" width="5.85546875" style="88" hidden="1" customWidth="1"/>
    <col min="42" max="42" width="9.140625" style="88" hidden="1" customWidth="1"/>
    <col min="43" max="16384" width="11.42578125" style="88"/>
  </cols>
  <sheetData>
    <row r="1" spans="1:42" ht="27.75" customHeight="1" thickBot="1" x14ac:dyDescent="0.45">
      <c r="A1" s="186" t="s">
        <v>67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X1" s="187" t="s">
        <v>36</v>
      </c>
      <c r="Y1" s="188"/>
      <c r="Z1" s="188"/>
      <c r="AA1" s="188"/>
      <c r="AB1" s="188"/>
      <c r="AC1" s="188"/>
      <c r="AD1" s="188"/>
      <c r="AE1" s="188"/>
      <c r="AF1" s="188"/>
      <c r="AG1" s="189"/>
    </row>
    <row r="2" spans="1:42" x14ac:dyDescent="0.2">
      <c r="A2" s="190" t="s">
        <v>0</v>
      </c>
      <c r="B2" s="192" t="s">
        <v>1</v>
      </c>
      <c r="C2" s="194" t="s">
        <v>3</v>
      </c>
      <c r="D2" s="196" t="s">
        <v>37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X2" s="203" t="s">
        <v>89</v>
      </c>
      <c r="Y2" s="198"/>
      <c r="Z2" s="198"/>
      <c r="AA2" s="198"/>
      <c r="AB2" s="198"/>
      <c r="AC2" s="198"/>
      <c r="AD2" s="198"/>
      <c r="AE2" s="198"/>
      <c r="AF2" s="198"/>
      <c r="AG2" s="199"/>
    </row>
    <row r="3" spans="1:42" ht="13.5" thickBot="1" x14ac:dyDescent="0.25">
      <c r="A3" s="191"/>
      <c r="B3" s="193"/>
      <c r="C3" s="195"/>
      <c r="D3" s="196"/>
      <c r="X3" s="200" t="s">
        <v>38</v>
      </c>
      <c r="Y3" s="201"/>
      <c r="Z3" s="201"/>
      <c r="AA3" s="201"/>
      <c r="AB3" s="201"/>
      <c r="AC3" s="201"/>
      <c r="AD3" s="201"/>
      <c r="AE3" s="201"/>
      <c r="AF3" s="201"/>
      <c r="AG3" s="202"/>
      <c r="AH3" s="90"/>
      <c r="AI3" s="90"/>
      <c r="AJ3" s="90"/>
      <c r="AK3" s="90"/>
      <c r="AL3" s="183" t="s">
        <v>9</v>
      </c>
      <c r="AM3" s="183"/>
      <c r="AN3" s="183" t="s">
        <v>10</v>
      </c>
      <c r="AO3" s="183"/>
      <c r="AP3" s="90" t="s">
        <v>39</v>
      </c>
    </row>
    <row r="4" spans="1:42" ht="39.75" thickTop="1" thickBot="1" x14ac:dyDescent="0.25">
      <c r="A4" s="191"/>
      <c r="B4" s="193"/>
      <c r="C4" s="195"/>
      <c r="D4" s="196"/>
      <c r="X4" s="91"/>
      <c r="Y4" s="92" t="s">
        <v>40</v>
      </c>
      <c r="Z4" s="92" t="s">
        <v>41</v>
      </c>
      <c r="AA4" s="92" t="s">
        <v>42</v>
      </c>
      <c r="AB4" s="92" t="s">
        <v>43</v>
      </c>
      <c r="AC4" s="92" t="s">
        <v>44</v>
      </c>
      <c r="AD4" s="92" t="s">
        <v>45</v>
      </c>
      <c r="AE4" s="93" t="s">
        <v>46</v>
      </c>
      <c r="AF4" s="93" t="s">
        <v>47</v>
      </c>
      <c r="AG4" s="94" t="s">
        <v>48</v>
      </c>
      <c r="AH4" s="95">
        <f>AD5</f>
        <v>269.35000000000002</v>
      </c>
      <c r="AI4" s="96">
        <f>AH4</f>
        <v>269.35000000000002</v>
      </c>
      <c r="AJ4" s="90"/>
      <c r="AK4" s="90"/>
      <c r="AL4" s="97">
        <f>SUM(AL5:AL46)</f>
        <v>264.63400000000001</v>
      </c>
      <c r="AM4" s="97">
        <f>SUM(AM5:AM46)</f>
        <v>3.5999999999999996</v>
      </c>
      <c r="AN4" s="97">
        <f>SUM(AN5:AN46)</f>
        <v>264.63400000000001</v>
      </c>
      <c r="AO4" s="97">
        <f>SUM(AO5:AO46)</f>
        <v>34.199999999999996</v>
      </c>
      <c r="AP4" s="90"/>
    </row>
    <row r="5" spans="1:42" ht="15.75" x14ac:dyDescent="0.25">
      <c r="A5" s="98">
        <f t="shared" ref="A5:A32" si="0">AF5</f>
        <v>0</v>
      </c>
      <c r="B5" s="99">
        <f t="shared" ref="B5:B32" si="1">AD5</f>
        <v>269.35000000000002</v>
      </c>
      <c r="C5" s="100" t="str">
        <f>IF(AG5="","",AG5)</f>
        <v>S/BM</v>
      </c>
      <c r="D5" s="196"/>
      <c r="X5" s="101" t="s">
        <v>17</v>
      </c>
      <c r="Y5" s="102"/>
      <c r="Z5" s="103">
        <v>0.63600000000000001</v>
      </c>
      <c r="AA5" s="104"/>
      <c r="AB5" s="105"/>
      <c r="AC5" s="106">
        <f>IF(AA5="",AD5+Z5,"")</f>
        <v>269.98600000000005</v>
      </c>
      <c r="AD5" s="107">
        <v>269.35000000000002</v>
      </c>
      <c r="AE5" s="108"/>
      <c r="AF5" s="109"/>
      <c r="AG5" s="110" t="s">
        <v>19</v>
      </c>
      <c r="AH5" s="90">
        <f t="shared" ref="AH5:AH46" si="2">IF(AND(AJ5="NAOI",AJ5=AJ6),AK5,AI5)</f>
        <v>269.98600000000005</v>
      </c>
      <c r="AI5" s="90">
        <f>IF(AA5="",AC5,AI4)</f>
        <v>269.98600000000005</v>
      </c>
      <c r="AJ5" s="90" t="str">
        <f t="shared" ref="AJ5:AJ51" si="3">IF(AG5="",AJ4,AG5)</f>
        <v>S/BM</v>
      </c>
      <c r="AK5" s="97">
        <f t="shared" ref="AK5:AK13" si="4">IF(AND(AJ5="NAOI",AJ4="NAOI"),AK4,AD5)</f>
        <v>269.35000000000002</v>
      </c>
      <c r="AL5" s="90" t="str">
        <f>IF(AG5="NAOI",AD5,"")</f>
        <v/>
      </c>
      <c r="AM5" s="97" t="str">
        <f>IF(AG5="NAOI",AF5,"")</f>
        <v/>
      </c>
      <c r="AN5" s="90" t="str">
        <f>IF(AG5="NAOD",AD5,"")</f>
        <v/>
      </c>
      <c r="AO5" s="90" t="str">
        <f>IF(AG5="NAOD",AF5,"")</f>
        <v/>
      </c>
      <c r="AP5" s="90"/>
    </row>
    <row r="6" spans="1:42" ht="15.75" x14ac:dyDescent="0.25">
      <c r="A6" s="98">
        <f t="shared" si="0"/>
        <v>0</v>
      </c>
      <c r="B6" s="99">
        <f t="shared" si="1"/>
        <v>269.27200000000005</v>
      </c>
      <c r="C6" s="100" t="str">
        <f t="shared" ref="C6:C36" si="5">IF(AG6="","",AG6)</f>
        <v>PRI</v>
      </c>
      <c r="D6" s="196"/>
      <c r="X6" s="111"/>
      <c r="Y6" s="112"/>
      <c r="Z6" s="113"/>
      <c r="AA6" s="114">
        <v>0.71399999999999997</v>
      </c>
      <c r="AB6" s="115"/>
      <c r="AC6" s="116" t="str">
        <f>IF(AA6="",AD6+Z6,"")</f>
        <v/>
      </c>
      <c r="AD6" s="117">
        <f>IF(AA6="",AH5-AB6,AH5-AA6)</f>
        <v>269.27200000000005</v>
      </c>
      <c r="AE6" s="118">
        <v>0</v>
      </c>
      <c r="AF6" s="117">
        <f>AE6</f>
        <v>0</v>
      </c>
      <c r="AG6" s="119" t="s">
        <v>4</v>
      </c>
      <c r="AH6" s="90">
        <f t="shared" si="2"/>
        <v>269.98600000000005</v>
      </c>
      <c r="AI6" s="90">
        <f t="shared" ref="AI6:AI46" si="6">IF(AA6="",AC6,AI5)</f>
        <v>269.98600000000005</v>
      </c>
      <c r="AJ6" s="90" t="str">
        <f t="shared" si="3"/>
        <v>PRI</v>
      </c>
      <c r="AK6" s="97">
        <f t="shared" si="4"/>
        <v>269.27200000000005</v>
      </c>
      <c r="AL6" s="90" t="str">
        <f t="shared" ref="AL6:AL51" si="7">IF(AG6="NAOI",AD6,"")</f>
        <v/>
      </c>
      <c r="AM6" s="97" t="str">
        <f t="shared" ref="AM6:AM51" si="8">IF(AG6="NAOI",AF6,"")</f>
        <v/>
      </c>
      <c r="AN6" s="90" t="str">
        <f t="shared" ref="AN6:AN51" si="9">IF(AG6="NAOD",AD6,"")</f>
        <v/>
      </c>
      <c r="AO6" s="90" t="str">
        <f t="shared" ref="AO6:AO51" si="10">IF(AG6="NAOD",AF6,"")</f>
        <v/>
      </c>
      <c r="AP6" s="90"/>
    </row>
    <row r="7" spans="1:42" ht="15.75" x14ac:dyDescent="0.25">
      <c r="A7" s="98">
        <f t="shared" si="0"/>
        <v>2.9</v>
      </c>
      <c r="B7" s="99">
        <f t="shared" si="1"/>
        <v>269.28600000000006</v>
      </c>
      <c r="C7" s="100" t="str">
        <f t="shared" si="5"/>
        <v/>
      </c>
      <c r="D7" s="196"/>
      <c r="X7" s="111"/>
      <c r="Y7" s="112"/>
      <c r="Z7" s="113"/>
      <c r="AA7" s="114">
        <v>0.7</v>
      </c>
      <c r="AB7" s="115"/>
      <c r="AC7" s="116" t="str">
        <f t="shared" ref="AC7:AC32" si="11">IF(AA7="",AD7+Z7,"")</f>
        <v/>
      </c>
      <c r="AD7" s="117">
        <f>IF(AA7="",AH6-AB7,AH6-AA7)</f>
        <v>269.28600000000006</v>
      </c>
      <c r="AE7" s="118">
        <v>2.9</v>
      </c>
      <c r="AF7" s="117">
        <f t="shared" ref="AF7:AF32" si="12">+AF6+AE7</f>
        <v>2.9</v>
      </c>
      <c r="AG7" s="120"/>
      <c r="AH7" s="90">
        <f t="shared" si="2"/>
        <v>269.98600000000005</v>
      </c>
      <c r="AI7" s="90">
        <f t="shared" si="6"/>
        <v>269.98600000000005</v>
      </c>
      <c r="AJ7" s="90" t="str">
        <f t="shared" si="3"/>
        <v>PRI</v>
      </c>
      <c r="AK7" s="97">
        <f t="shared" si="4"/>
        <v>269.28600000000006</v>
      </c>
      <c r="AL7" s="90" t="str">
        <f t="shared" si="7"/>
        <v/>
      </c>
      <c r="AM7" s="97" t="str">
        <f t="shared" si="8"/>
        <v/>
      </c>
      <c r="AN7" s="90" t="str">
        <f t="shared" si="9"/>
        <v/>
      </c>
      <c r="AO7" s="90" t="str">
        <f t="shared" si="10"/>
        <v/>
      </c>
      <c r="AP7" s="90"/>
    </row>
    <row r="8" spans="1:42" ht="15.75" x14ac:dyDescent="0.25">
      <c r="A8" s="98">
        <f t="shared" si="0"/>
        <v>2.9</v>
      </c>
      <c r="B8" s="99">
        <f t="shared" si="1"/>
        <v>268.34100000000007</v>
      </c>
      <c r="C8" s="100" t="str">
        <f t="shared" si="5"/>
        <v/>
      </c>
      <c r="D8" s="196"/>
      <c r="X8" s="111"/>
      <c r="Y8" s="112"/>
      <c r="Z8" s="113"/>
      <c r="AA8" s="114">
        <v>1.645</v>
      </c>
      <c r="AB8" s="115"/>
      <c r="AC8" s="116" t="str">
        <f t="shared" si="11"/>
        <v/>
      </c>
      <c r="AD8" s="117">
        <f>IF(AA8="",AH7-AB8,AH7-AA8)</f>
        <v>268.34100000000007</v>
      </c>
      <c r="AE8" s="118">
        <v>0</v>
      </c>
      <c r="AF8" s="117">
        <f t="shared" si="12"/>
        <v>2.9</v>
      </c>
      <c r="AG8" s="120"/>
      <c r="AH8" s="90">
        <f t="shared" si="2"/>
        <v>269.98600000000005</v>
      </c>
      <c r="AI8" s="90">
        <f t="shared" si="6"/>
        <v>269.98600000000005</v>
      </c>
      <c r="AJ8" s="90" t="str">
        <f t="shared" si="3"/>
        <v>PRI</v>
      </c>
      <c r="AK8" s="97">
        <f t="shared" si="4"/>
        <v>268.34100000000007</v>
      </c>
      <c r="AL8" s="90" t="str">
        <f t="shared" si="7"/>
        <v/>
      </c>
      <c r="AM8" s="97" t="str">
        <f t="shared" si="8"/>
        <v/>
      </c>
      <c r="AN8" s="90" t="str">
        <f t="shared" si="9"/>
        <v/>
      </c>
      <c r="AO8" s="90" t="str">
        <f t="shared" si="10"/>
        <v/>
      </c>
      <c r="AP8" s="90"/>
    </row>
    <row r="9" spans="1:42" ht="15.75" x14ac:dyDescent="0.25">
      <c r="A9" s="98">
        <f t="shared" si="0"/>
        <v>3.5999999999999996</v>
      </c>
      <c r="B9" s="99">
        <f t="shared" si="1"/>
        <v>268.33600000000007</v>
      </c>
      <c r="C9" s="100" t="str">
        <f t="shared" si="5"/>
        <v/>
      </c>
      <c r="D9" s="196"/>
      <c r="X9" s="111"/>
      <c r="Y9" s="112"/>
      <c r="Z9" s="113"/>
      <c r="AA9" s="114">
        <v>1.65</v>
      </c>
      <c r="AB9" s="115"/>
      <c r="AC9" s="116" t="str">
        <f t="shared" si="11"/>
        <v/>
      </c>
      <c r="AD9" s="117">
        <f>IF(AA9="",AH8-AB9,AH8-AA9)</f>
        <v>268.33600000000007</v>
      </c>
      <c r="AE9" s="118">
        <v>0.7</v>
      </c>
      <c r="AF9" s="117">
        <f t="shared" si="12"/>
        <v>3.5999999999999996</v>
      </c>
      <c r="AG9" s="119"/>
      <c r="AH9" s="90">
        <f t="shared" si="2"/>
        <v>269.98600000000005</v>
      </c>
      <c r="AI9" s="90">
        <f t="shared" si="6"/>
        <v>269.98600000000005</v>
      </c>
      <c r="AJ9" s="90" t="str">
        <f t="shared" si="3"/>
        <v>PRI</v>
      </c>
      <c r="AK9" s="97">
        <f t="shared" si="4"/>
        <v>268.33600000000007</v>
      </c>
      <c r="AL9" s="90" t="str">
        <f t="shared" si="7"/>
        <v/>
      </c>
      <c r="AM9" s="97" t="str">
        <f t="shared" si="8"/>
        <v/>
      </c>
      <c r="AN9" s="90" t="str">
        <f t="shared" si="9"/>
        <v/>
      </c>
      <c r="AO9" s="90" t="str">
        <f t="shared" si="10"/>
        <v/>
      </c>
      <c r="AP9" s="90"/>
    </row>
    <row r="10" spans="1:42" ht="15.75" x14ac:dyDescent="0.25">
      <c r="A10" s="98">
        <f t="shared" si="0"/>
        <v>3.5999999999999996</v>
      </c>
      <c r="B10" s="99">
        <f t="shared" si="1"/>
        <v>265.69600000000003</v>
      </c>
      <c r="C10" s="100" t="str">
        <f t="shared" si="5"/>
        <v/>
      </c>
      <c r="D10" s="196"/>
      <c r="E10" s="88">
        <f>(B12+B35)/2</f>
        <v>131.12700000000001</v>
      </c>
      <c r="X10" s="111"/>
      <c r="Y10" s="112"/>
      <c r="Z10" s="113">
        <v>1.236</v>
      </c>
      <c r="AA10" s="114"/>
      <c r="AB10" s="115">
        <v>4.29</v>
      </c>
      <c r="AC10" s="116">
        <f t="shared" si="11"/>
        <v>266.93200000000002</v>
      </c>
      <c r="AD10" s="117">
        <f t="shared" ref="AD10:AD13" si="13">IF(AJ9="S/BM",AD9,IF(AA10="",AH9-AB10,AH9-AA10))</f>
        <v>265.69600000000003</v>
      </c>
      <c r="AE10" s="118">
        <v>0</v>
      </c>
      <c r="AF10" s="117">
        <f t="shared" si="12"/>
        <v>3.5999999999999996</v>
      </c>
      <c r="AG10" s="119"/>
      <c r="AH10" s="90">
        <f t="shared" si="2"/>
        <v>266.93200000000002</v>
      </c>
      <c r="AI10" s="90">
        <f t="shared" si="6"/>
        <v>266.93200000000002</v>
      </c>
      <c r="AJ10" s="90" t="str">
        <f t="shared" si="3"/>
        <v>PRI</v>
      </c>
      <c r="AK10" s="97">
        <f t="shared" si="4"/>
        <v>265.69600000000003</v>
      </c>
      <c r="AL10" s="90" t="str">
        <f t="shared" si="7"/>
        <v/>
      </c>
      <c r="AM10" s="97" t="str">
        <f t="shared" si="8"/>
        <v/>
      </c>
      <c r="AN10" s="90" t="str">
        <f t="shared" si="9"/>
        <v/>
      </c>
      <c r="AO10" s="90" t="str">
        <f t="shared" si="10"/>
        <v/>
      </c>
      <c r="AP10" s="90"/>
    </row>
    <row r="11" spans="1:42" s="121" customFormat="1" ht="15.75" x14ac:dyDescent="0.25">
      <c r="A11" s="98">
        <f t="shared" si="0"/>
        <v>3.5999999999999996</v>
      </c>
      <c r="B11" s="99">
        <f t="shared" si="1"/>
        <v>264.63400000000001</v>
      </c>
      <c r="C11" s="100" t="str">
        <f t="shared" si="5"/>
        <v>NAOI</v>
      </c>
      <c r="D11" s="196"/>
      <c r="E11" s="121">
        <v>0.33</v>
      </c>
      <c r="X11" s="111"/>
      <c r="Y11" s="112"/>
      <c r="Z11" s="113"/>
      <c r="AA11" s="114">
        <v>2.298</v>
      </c>
      <c r="AB11" s="115"/>
      <c r="AC11" s="116" t="str">
        <f t="shared" si="11"/>
        <v/>
      </c>
      <c r="AD11" s="117">
        <f t="shared" si="13"/>
        <v>264.63400000000001</v>
      </c>
      <c r="AE11" s="118">
        <v>0</v>
      </c>
      <c r="AF11" s="117">
        <f t="shared" si="12"/>
        <v>3.5999999999999996</v>
      </c>
      <c r="AG11" s="119" t="s">
        <v>9</v>
      </c>
      <c r="AH11" s="90">
        <f t="shared" si="2"/>
        <v>264.63400000000001</v>
      </c>
      <c r="AI11" s="90">
        <f t="shared" si="6"/>
        <v>266.93200000000002</v>
      </c>
      <c r="AJ11" s="90" t="str">
        <f t="shared" si="3"/>
        <v>NAOI</v>
      </c>
      <c r="AK11" s="97">
        <f t="shared" si="4"/>
        <v>264.63400000000001</v>
      </c>
      <c r="AL11" s="90">
        <f t="shared" si="7"/>
        <v>264.63400000000001</v>
      </c>
      <c r="AM11" s="97">
        <f t="shared" si="8"/>
        <v>3.5999999999999996</v>
      </c>
      <c r="AN11" s="90" t="str">
        <f t="shared" si="9"/>
        <v/>
      </c>
      <c r="AO11" s="90" t="str">
        <f t="shared" si="10"/>
        <v/>
      </c>
      <c r="AP11" s="90">
        <f t="shared" ref="AP11:AP46" si="14">IF(AJ10="S/BM",1,0)</f>
        <v>0</v>
      </c>
    </row>
    <row r="12" spans="1:42" s="121" customFormat="1" ht="15.75" x14ac:dyDescent="0.25">
      <c r="A12" s="98">
        <f t="shared" si="0"/>
        <v>5.3</v>
      </c>
      <c r="B12" s="99">
        <f t="shared" si="1"/>
        <v>262.25400000000002</v>
      </c>
      <c r="C12" s="100" t="str">
        <f t="shared" si="5"/>
        <v/>
      </c>
      <c r="D12" s="196"/>
      <c r="E12" s="121">
        <v>0.3</v>
      </c>
      <c r="X12" s="111"/>
      <c r="Y12" s="112"/>
      <c r="Z12" s="113"/>
      <c r="AA12" s="114">
        <v>2.38</v>
      </c>
      <c r="AB12" s="115"/>
      <c r="AC12" s="116" t="str">
        <f t="shared" si="11"/>
        <v/>
      </c>
      <c r="AD12" s="117">
        <f t="shared" si="13"/>
        <v>262.25400000000002</v>
      </c>
      <c r="AE12" s="118">
        <v>1.7</v>
      </c>
      <c r="AF12" s="117">
        <f t="shared" si="12"/>
        <v>5.3</v>
      </c>
      <c r="AG12" s="119"/>
      <c r="AH12" s="90">
        <f t="shared" si="2"/>
        <v>264.63400000000001</v>
      </c>
      <c r="AI12" s="90">
        <f t="shared" si="6"/>
        <v>266.93200000000002</v>
      </c>
      <c r="AJ12" s="90" t="str">
        <f t="shared" si="3"/>
        <v>NAOI</v>
      </c>
      <c r="AK12" s="97">
        <f t="shared" si="4"/>
        <v>264.63400000000001</v>
      </c>
      <c r="AL12" s="90" t="str">
        <f t="shared" si="7"/>
        <v/>
      </c>
      <c r="AM12" s="97" t="str">
        <f t="shared" si="8"/>
        <v/>
      </c>
      <c r="AN12" s="90" t="str">
        <f t="shared" si="9"/>
        <v/>
      </c>
      <c r="AO12" s="90" t="str">
        <f t="shared" si="10"/>
        <v/>
      </c>
      <c r="AP12" s="90">
        <f t="shared" si="14"/>
        <v>0</v>
      </c>
    </row>
    <row r="13" spans="1:42" s="121" customFormat="1" ht="15.75" x14ac:dyDescent="0.25">
      <c r="A13" s="98">
        <f t="shared" si="0"/>
        <v>7</v>
      </c>
      <c r="B13" s="99">
        <f t="shared" si="1"/>
        <v>262.23400000000004</v>
      </c>
      <c r="C13" s="100" t="str">
        <f t="shared" si="5"/>
        <v/>
      </c>
      <c r="D13" s="196"/>
      <c r="E13" s="121">
        <v>0.35</v>
      </c>
      <c r="X13" s="111"/>
      <c r="Y13" s="112"/>
      <c r="Z13" s="113"/>
      <c r="AA13" s="114">
        <v>2.4</v>
      </c>
      <c r="AB13" s="115"/>
      <c r="AC13" s="116" t="str">
        <f t="shared" si="11"/>
        <v/>
      </c>
      <c r="AD13" s="117">
        <f t="shared" si="13"/>
        <v>262.23400000000004</v>
      </c>
      <c r="AE13" s="118">
        <v>1.7</v>
      </c>
      <c r="AF13" s="117">
        <f t="shared" si="12"/>
        <v>7</v>
      </c>
      <c r="AG13" s="119"/>
      <c r="AH13" s="90">
        <f t="shared" si="2"/>
        <v>264.63400000000001</v>
      </c>
      <c r="AI13" s="90">
        <f t="shared" si="6"/>
        <v>266.93200000000002</v>
      </c>
      <c r="AJ13" s="90" t="str">
        <f t="shared" si="3"/>
        <v>NAOI</v>
      </c>
      <c r="AK13" s="97">
        <f t="shared" si="4"/>
        <v>264.63400000000001</v>
      </c>
      <c r="AL13" s="90" t="str">
        <f t="shared" si="7"/>
        <v/>
      </c>
      <c r="AM13" s="97" t="str">
        <f t="shared" si="8"/>
        <v/>
      </c>
      <c r="AN13" s="90" t="str">
        <f t="shared" si="9"/>
        <v/>
      </c>
      <c r="AO13" s="90" t="str">
        <f t="shared" si="10"/>
        <v/>
      </c>
      <c r="AP13" s="90">
        <f t="shared" si="14"/>
        <v>0</v>
      </c>
    </row>
    <row r="14" spans="1:42" s="121" customFormat="1" ht="15.75" x14ac:dyDescent="0.25">
      <c r="A14" s="98">
        <f t="shared" si="0"/>
        <v>8.6999999999999993</v>
      </c>
      <c r="B14" s="99">
        <f t="shared" si="1"/>
        <v>262.35400000000004</v>
      </c>
      <c r="C14" s="100" t="str">
        <f t="shared" si="5"/>
        <v/>
      </c>
      <c r="D14" s="196"/>
      <c r="E14" s="121">
        <v>0.5</v>
      </c>
      <c r="X14" s="111"/>
      <c r="Y14" s="112"/>
      <c r="Z14" s="113"/>
      <c r="AA14" s="114">
        <v>2.2799999999999998</v>
      </c>
      <c r="AB14" s="115"/>
      <c r="AC14" s="116" t="str">
        <f t="shared" si="11"/>
        <v/>
      </c>
      <c r="AD14" s="117">
        <f>IF(AJ13="S/BM",AD13,IF(AA14="",AH13-AB14,AH13-AA14))</f>
        <v>262.35400000000004</v>
      </c>
      <c r="AE14" s="118">
        <v>1.7</v>
      </c>
      <c r="AF14" s="117">
        <f t="shared" si="12"/>
        <v>8.6999999999999993</v>
      </c>
      <c r="AG14" s="120"/>
      <c r="AH14" s="90">
        <f t="shared" si="2"/>
        <v>264.63400000000001</v>
      </c>
      <c r="AI14" s="90">
        <f t="shared" si="6"/>
        <v>266.93200000000002</v>
      </c>
      <c r="AJ14" s="90" t="str">
        <f t="shared" si="3"/>
        <v>NAOI</v>
      </c>
      <c r="AK14" s="97">
        <f>IF(AND(AJ14="NAOI",AJ13="NAOI"),AK13,AD14)</f>
        <v>264.63400000000001</v>
      </c>
      <c r="AL14" s="90" t="str">
        <f t="shared" si="7"/>
        <v/>
      </c>
      <c r="AM14" s="97" t="str">
        <f t="shared" si="8"/>
        <v/>
      </c>
      <c r="AN14" s="90" t="str">
        <f t="shared" si="9"/>
        <v/>
      </c>
      <c r="AO14" s="90" t="str">
        <f t="shared" si="10"/>
        <v/>
      </c>
      <c r="AP14" s="90">
        <f t="shared" si="14"/>
        <v>0</v>
      </c>
    </row>
    <row r="15" spans="1:42" s="121" customFormat="1" ht="15.75" x14ac:dyDescent="0.25">
      <c r="A15" s="98">
        <f t="shared" si="0"/>
        <v>10.399999999999999</v>
      </c>
      <c r="B15" s="99">
        <f t="shared" si="1"/>
        <v>262.48400000000004</v>
      </c>
      <c r="C15" s="100" t="str">
        <f t="shared" si="5"/>
        <v/>
      </c>
      <c r="D15" s="196"/>
      <c r="E15" s="121">
        <v>0.55000000000000004</v>
      </c>
      <c r="X15" s="111"/>
      <c r="Y15" s="112"/>
      <c r="Z15" s="113"/>
      <c r="AA15" s="114">
        <v>2.15</v>
      </c>
      <c r="AB15" s="115"/>
      <c r="AC15" s="116" t="str">
        <f t="shared" si="11"/>
        <v/>
      </c>
      <c r="AD15" s="117">
        <f t="shared" ref="AD15:AD16" si="15">IF(AJ14="S/BM",AD14,IF(AA15="",AH14-AB15,AH14-AA15))</f>
        <v>262.48400000000004</v>
      </c>
      <c r="AE15" s="118">
        <v>1.7</v>
      </c>
      <c r="AF15" s="117">
        <f t="shared" si="12"/>
        <v>10.399999999999999</v>
      </c>
      <c r="AG15" s="120"/>
      <c r="AH15" s="90">
        <f t="shared" si="2"/>
        <v>264.63400000000001</v>
      </c>
      <c r="AI15" s="90">
        <f t="shared" si="6"/>
        <v>266.93200000000002</v>
      </c>
      <c r="AJ15" s="90" t="str">
        <f t="shared" si="3"/>
        <v>NAOI</v>
      </c>
      <c r="AK15" s="97">
        <f>IF(AND(AJ15="NAOI",AJ14="NAOI"),AK14,AD15)</f>
        <v>264.63400000000001</v>
      </c>
      <c r="AL15" s="90" t="str">
        <f t="shared" si="7"/>
        <v/>
      </c>
      <c r="AM15" s="97" t="str">
        <f t="shared" si="8"/>
        <v/>
      </c>
      <c r="AN15" s="90" t="str">
        <f t="shared" si="9"/>
        <v/>
      </c>
      <c r="AO15" s="90" t="str">
        <f t="shared" si="10"/>
        <v/>
      </c>
      <c r="AP15" s="90">
        <f t="shared" si="14"/>
        <v>0</v>
      </c>
    </row>
    <row r="16" spans="1:42" s="121" customFormat="1" ht="15.75" x14ac:dyDescent="0.25">
      <c r="A16" s="98">
        <f t="shared" si="0"/>
        <v>12.099999999999998</v>
      </c>
      <c r="B16" s="99">
        <f t="shared" si="1"/>
        <v>262.51400000000001</v>
      </c>
      <c r="C16" s="100" t="str">
        <f t="shared" si="5"/>
        <v/>
      </c>
      <c r="D16" s="196"/>
      <c r="E16" s="121">
        <v>0.75</v>
      </c>
      <c r="X16" s="111"/>
      <c r="Y16" s="112"/>
      <c r="Z16" s="113"/>
      <c r="AA16" s="114">
        <v>2.12</v>
      </c>
      <c r="AB16" s="115"/>
      <c r="AC16" s="116" t="str">
        <f t="shared" si="11"/>
        <v/>
      </c>
      <c r="AD16" s="117">
        <f t="shared" si="15"/>
        <v>262.51400000000001</v>
      </c>
      <c r="AE16" s="118">
        <v>1.7</v>
      </c>
      <c r="AF16" s="117">
        <f t="shared" si="12"/>
        <v>12.099999999999998</v>
      </c>
      <c r="AG16" s="119"/>
      <c r="AH16" s="90">
        <f t="shared" si="2"/>
        <v>264.63400000000001</v>
      </c>
      <c r="AI16" s="90">
        <f t="shared" si="6"/>
        <v>266.93200000000002</v>
      </c>
      <c r="AJ16" s="90" t="str">
        <f t="shared" si="3"/>
        <v>NAOI</v>
      </c>
      <c r="AK16" s="97">
        <f>IF(AND(AJ16="NAOI",AJ15="NAOI"),AK15,AD16)</f>
        <v>264.63400000000001</v>
      </c>
      <c r="AL16" s="90" t="str">
        <f t="shared" si="7"/>
        <v/>
      </c>
      <c r="AM16" s="97" t="str">
        <f t="shared" si="8"/>
        <v/>
      </c>
      <c r="AN16" s="90" t="str">
        <f t="shared" si="9"/>
        <v/>
      </c>
      <c r="AO16" s="90" t="str">
        <f t="shared" si="10"/>
        <v/>
      </c>
      <c r="AP16" s="90">
        <f t="shared" si="14"/>
        <v>0</v>
      </c>
    </row>
    <row r="17" spans="1:42" s="121" customFormat="1" ht="15.75" x14ac:dyDescent="0.25">
      <c r="A17" s="98">
        <f t="shared" si="0"/>
        <v>13.799999999999997</v>
      </c>
      <c r="B17" s="99">
        <f t="shared" si="1"/>
        <v>262.57400000000001</v>
      </c>
      <c r="C17" s="100" t="str">
        <f t="shared" si="5"/>
        <v/>
      </c>
      <c r="D17" s="196"/>
      <c r="E17" s="121">
        <v>0.7</v>
      </c>
      <c r="X17" s="111"/>
      <c r="Y17" s="112"/>
      <c r="Z17" s="113"/>
      <c r="AA17" s="114">
        <v>2.06</v>
      </c>
      <c r="AB17" s="115"/>
      <c r="AC17" s="116" t="str">
        <f t="shared" si="11"/>
        <v/>
      </c>
      <c r="AD17" s="117">
        <f>IF(AJ16="S/BM",AD16,IF(AA17="",AH16-AB17,AH16-AA17))</f>
        <v>262.57400000000001</v>
      </c>
      <c r="AE17" s="118">
        <v>1.7</v>
      </c>
      <c r="AF17" s="117">
        <f t="shared" si="12"/>
        <v>13.799999999999997</v>
      </c>
      <c r="AG17" s="122"/>
      <c r="AH17" s="90">
        <f t="shared" si="2"/>
        <v>264.63400000000001</v>
      </c>
      <c r="AI17" s="90">
        <f t="shared" si="6"/>
        <v>266.93200000000002</v>
      </c>
      <c r="AJ17" s="90" t="str">
        <f t="shared" si="3"/>
        <v>NAOI</v>
      </c>
      <c r="AK17" s="97">
        <f t="shared" ref="AK17:AK46" si="16">IF(AND(AJ17="NAOI",AJ16="NAOI"),AK16,AD17)</f>
        <v>264.63400000000001</v>
      </c>
      <c r="AL17" s="90" t="str">
        <f t="shared" si="7"/>
        <v/>
      </c>
      <c r="AM17" s="97" t="str">
        <f t="shared" si="8"/>
        <v/>
      </c>
      <c r="AN17" s="90" t="str">
        <f t="shared" si="9"/>
        <v/>
      </c>
      <c r="AO17" s="90" t="str">
        <f t="shared" si="10"/>
        <v/>
      </c>
      <c r="AP17" s="90">
        <f t="shared" si="14"/>
        <v>0</v>
      </c>
    </row>
    <row r="18" spans="1:42" s="121" customFormat="1" ht="15.75" x14ac:dyDescent="0.25">
      <c r="A18" s="98">
        <f t="shared" si="0"/>
        <v>15.499999999999996</v>
      </c>
      <c r="B18" s="99">
        <f t="shared" si="1"/>
        <v>262.60400000000004</v>
      </c>
      <c r="C18" s="100" t="str">
        <f t="shared" si="5"/>
        <v/>
      </c>
      <c r="D18" s="196"/>
      <c r="E18" s="121">
        <v>0.65</v>
      </c>
      <c r="X18" s="111"/>
      <c r="Y18" s="112"/>
      <c r="Z18" s="113"/>
      <c r="AA18" s="114">
        <v>2.0299999999999998</v>
      </c>
      <c r="AB18" s="115"/>
      <c r="AC18" s="116" t="str">
        <f t="shared" si="11"/>
        <v/>
      </c>
      <c r="AD18" s="117">
        <f t="shared" ref="AD18:AD32" si="17">IF(AJ17="S/BM",AD17,IF(AA18="",AH17-AB18,AH17-AA18))</f>
        <v>262.60400000000004</v>
      </c>
      <c r="AE18" s="118">
        <v>1.7</v>
      </c>
      <c r="AF18" s="117">
        <f t="shared" si="12"/>
        <v>15.499999999999996</v>
      </c>
      <c r="AG18" s="122"/>
      <c r="AH18" s="90">
        <f t="shared" si="2"/>
        <v>264.63400000000001</v>
      </c>
      <c r="AI18" s="90">
        <f t="shared" si="6"/>
        <v>266.93200000000002</v>
      </c>
      <c r="AJ18" s="90" t="str">
        <f t="shared" si="3"/>
        <v>NAOI</v>
      </c>
      <c r="AK18" s="97">
        <f t="shared" si="16"/>
        <v>264.63400000000001</v>
      </c>
      <c r="AL18" s="90" t="str">
        <f t="shared" si="7"/>
        <v/>
      </c>
      <c r="AM18" s="97" t="str">
        <f t="shared" si="8"/>
        <v/>
      </c>
      <c r="AN18" s="90" t="str">
        <f t="shared" si="9"/>
        <v/>
      </c>
      <c r="AO18" s="90" t="str">
        <f t="shared" si="10"/>
        <v/>
      </c>
      <c r="AP18" s="90">
        <f t="shared" si="14"/>
        <v>0</v>
      </c>
    </row>
    <row r="19" spans="1:42" s="121" customFormat="1" ht="15.75" x14ac:dyDescent="0.25">
      <c r="A19" s="98">
        <f t="shared" si="0"/>
        <v>17.199999999999996</v>
      </c>
      <c r="B19" s="99">
        <f t="shared" si="1"/>
        <v>262.67400000000004</v>
      </c>
      <c r="C19" s="100" t="str">
        <f t="shared" si="5"/>
        <v/>
      </c>
      <c r="D19" s="196"/>
      <c r="E19" s="121">
        <v>0.85</v>
      </c>
      <c r="X19" s="111"/>
      <c r="Y19" s="112"/>
      <c r="Z19" s="113"/>
      <c r="AA19" s="114">
        <v>1.96</v>
      </c>
      <c r="AB19" s="115"/>
      <c r="AC19" s="116" t="str">
        <f t="shared" si="11"/>
        <v/>
      </c>
      <c r="AD19" s="117">
        <f t="shared" si="17"/>
        <v>262.67400000000004</v>
      </c>
      <c r="AE19" s="118">
        <v>1.7</v>
      </c>
      <c r="AF19" s="117">
        <f t="shared" si="12"/>
        <v>17.199999999999996</v>
      </c>
      <c r="AG19" s="122"/>
      <c r="AH19" s="90">
        <f t="shared" si="2"/>
        <v>264.63400000000001</v>
      </c>
      <c r="AI19" s="90">
        <f t="shared" si="6"/>
        <v>266.93200000000002</v>
      </c>
      <c r="AJ19" s="90" t="str">
        <f t="shared" si="3"/>
        <v>NAOI</v>
      </c>
      <c r="AK19" s="97">
        <f t="shared" si="16"/>
        <v>264.63400000000001</v>
      </c>
      <c r="AL19" s="90" t="str">
        <f t="shared" si="7"/>
        <v/>
      </c>
      <c r="AM19" s="97" t="str">
        <f t="shared" si="8"/>
        <v/>
      </c>
      <c r="AN19" s="90" t="str">
        <f t="shared" si="9"/>
        <v/>
      </c>
      <c r="AO19" s="90" t="str">
        <f t="shared" si="10"/>
        <v/>
      </c>
      <c r="AP19" s="90">
        <f t="shared" si="14"/>
        <v>0</v>
      </c>
    </row>
    <row r="20" spans="1:42" s="121" customFormat="1" ht="15.75" x14ac:dyDescent="0.25">
      <c r="A20" s="98">
        <f t="shared" si="0"/>
        <v>18.899999999999995</v>
      </c>
      <c r="B20" s="99">
        <f t="shared" si="1"/>
        <v>262.584</v>
      </c>
      <c r="C20" s="100" t="str">
        <f t="shared" si="5"/>
        <v/>
      </c>
      <c r="D20" s="196"/>
      <c r="E20" s="121">
        <v>1.3</v>
      </c>
      <c r="X20" s="111"/>
      <c r="Y20" s="112"/>
      <c r="Z20" s="113"/>
      <c r="AA20" s="114">
        <v>2.0499999999999998</v>
      </c>
      <c r="AB20" s="115"/>
      <c r="AC20" s="116" t="str">
        <f t="shared" si="11"/>
        <v/>
      </c>
      <c r="AD20" s="117">
        <f t="shared" si="17"/>
        <v>262.584</v>
      </c>
      <c r="AE20" s="118">
        <v>1.7</v>
      </c>
      <c r="AF20" s="117">
        <f t="shared" si="12"/>
        <v>18.899999999999995</v>
      </c>
      <c r="AG20" s="122"/>
      <c r="AH20" s="90">
        <f t="shared" si="2"/>
        <v>264.63400000000001</v>
      </c>
      <c r="AI20" s="90">
        <f t="shared" si="6"/>
        <v>266.93200000000002</v>
      </c>
      <c r="AJ20" s="90" t="str">
        <f t="shared" si="3"/>
        <v>NAOI</v>
      </c>
      <c r="AK20" s="97">
        <f t="shared" si="16"/>
        <v>264.63400000000001</v>
      </c>
      <c r="AL20" s="90" t="str">
        <f t="shared" si="7"/>
        <v/>
      </c>
      <c r="AM20" s="97" t="str">
        <f t="shared" si="8"/>
        <v/>
      </c>
      <c r="AN20" s="90" t="str">
        <f t="shared" si="9"/>
        <v/>
      </c>
      <c r="AO20" s="90" t="str">
        <f t="shared" si="10"/>
        <v/>
      </c>
      <c r="AP20" s="90">
        <f t="shared" si="14"/>
        <v>0</v>
      </c>
    </row>
    <row r="21" spans="1:42" s="121" customFormat="1" ht="15.75" x14ac:dyDescent="0.25">
      <c r="A21" s="98">
        <f t="shared" si="0"/>
        <v>20.599999999999994</v>
      </c>
      <c r="B21" s="99">
        <f t="shared" si="1"/>
        <v>262.53399999999999</v>
      </c>
      <c r="C21" s="100" t="str">
        <f t="shared" si="5"/>
        <v/>
      </c>
      <c r="D21" s="196"/>
      <c r="E21" s="121">
        <v>1.55</v>
      </c>
      <c r="X21" s="111"/>
      <c r="Y21" s="112"/>
      <c r="Z21" s="113"/>
      <c r="AA21" s="114">
        <v>2.1</v>
      </c>
      <c r="AB21" s="115"/>
      <c r="AC21" s="116" t="str">
        <f t="shared" si="11"/>
        <v/>
      </c>
      <c r="AD21" s="117">
        <f t="shared" si="17"/>
        <v>262.53399999999999</v>
      </c>
      <c r="AE21" s="118">
        <v>1.7</v>
      </c>
      <c r="AF21" s="117">
        <f t="shared" si="12"/>
        <v>20.599999999999994</v>
      </c>
      <c r="AG21" s="122"/>
      <c r="AH21" s="90">
        <f t="shared" si="2"/>
        <v>264.63400000000001</v>
      </c>
      <c r="AI21" s="90">
        <f t="shared" si="6"/>
        <v>266.93200000000002</v>
      </c>
      <c r="AJ21" s="90" t="str">
        <f t="shared" si="3"/>
        <v>NAOI</v>
      </c>
      <c r="AK21" s="97">
        <f t="shared" si="16"/>
        <v>264.63400000000001</v>
      </c>
      <c r="AL21" s="90" t="str">
        <f t="shared" si="7"/>
        <v/>
      </c>
      <c r="AM21" s="97" t="str">
        <f t="shared" si="8"/>
        <v/>
      </c>
      <c r="AN21" s="90" t="str">
        <f t="shared" si="9"/>
        <v/>
      </c>
      <c r="AO21" s="90" t="str">
        <f t="shared" si="10"/>
        <v/>
      </c>
      <c r="AP21" s="90">
        <f t="shared" si="14"/>
        <v>0</v>
      </c>
    </row>
    <row r="22" spans="1:42" s="121" customFormat="1" ht="15.75" x14ac:dyDescent="0.25">
      <c r="A22" s="98">
        <f t="shared" si="0"/>
        <v>22.299999999999994</v>
      </c>
      <c r="B22" s="99">
        <f t="shared" si="1"/>
        <v>262.60400000000004</v>
      </c>
      <c r="C22" s="100" t="str">
        <f t="shared" si="5"/>
        <v/>
      </c>
      <c r="D22" s="196"/>
      <c r="E22" s="121">
        <v>1.8</v>
      </c>
      <c r="X22" s="111"/>
      <c r="Y22" s="112"/>
      <c r="Z22" s="113"/>
      <c r="AA22" s="114">
        <v>2.0299999999999998</v>
      </c>
      <c r="AB22" s="115"/>
      <c r="AC22" s="116" t="str">
        <f t="shared" si="11"/>
        <v/>
      </c>
      <c r="AD22" s="117">
        <f t="shared" si="17"/>
        <v>262.60400000000004</v>
      </c>
      <c r="AE22" s="118">
        <v>1.7</v>
      </c>
      <c r="AF22" s="117">
        <f t="shared" si="12"/>
        <v>22.299999999999994</v>
      </c>
      <c r="AG22" s="122"/>
      <c r="AH22" s="90">
        <f t="shared" si="2"/>
        <v>264.63400000000001</v>
      </c>
      <c r="AI22" s="90">
        <f t="shared" si="6"/>
        <v>266.93200000000002</v>
      </c>
      <c r="AJ22" s="90" t="str">
        <f t="shared" si="3"/>
        <v>NAOI</v>
      </c>
      <c r="AK22" s="97">
        <f t="shared" si="16"/>
        <v>264.63400000000001</v>
      </c>
      <c r="AL22" s="90" t="str">
        <f t="shared" si="7"/>
        <v/>
      </c>
      <c r="AM22" s="97" t="str">
        <f t="shared" si="8"/>
        <v/>
      </c>
      <c r="AN22" s="90" t="str">
        <f t="shared" si="9"/>
        <v/>
      </c>
      <c r="AO22" s="90" t="str">
        <f t="shared" si="10"/>
        <v/>
      </c>
      <c r="AP22" s="90">
        <f t="shared" si="14"/>
        <v>0</v>
      </c>
    </row>
    <row r="23" spans="1:42" s="121" customFormat="1" ht="15.75" x14ac:dyDescent="0.25">
      <c r="A23" s="98">
        <f t="shared" si="0"/>
        <v>23.999999999999993</v>
      </c>
      <c r="B23" s="99">
        <f t="shared" si="1"/>
        <v>262.64400000000001</v>
      </c>
      <c r="C23" s="100" t="str">
        <f t="shared" si="5"/>
        <v/>
      </c>
      <c r="D23" s="196"/>
      <c r="E23" s="121">
        <v>1.93</v>
      </c>
      <c r="X23" s="111"/>
      <c r="Y23" s="112"/>
      <c r="Z23" s="113"/>
      <c r="AA23" s="114">
        <v>1.99</v>
      </c>
      <c r="AB23" s="115"/>
      <c r="AC23" s="116" t="str">
        <f t="shared" si="11"/>
        <v/>
      </c>
      <c r="AD23" s="117">
        <f t="shared" si="17"/>
        <v>262.64400000000001</v>
      </c>
      <c r="AE23" s="118">
        <v>1.7</v>
      </c>
      <c r="AF23" s="117">
        <f t="shared" si="12"/>
        <v>23.999999999999993</v>
      </c>
      <c r="AG23" s="122"/>
      <c r="AH23" s="90">
        <f t="shared" si="2"/>
        <v>264.63400000000001</v>
      </c>
      <c r="AI23" s="90">
        <f t="shared" si="6"/>
        <v>266.93200000000002</v>
      </c>
      <c r="AJ23" s="90" t="str">
        <f t="shared" si="3"/>
        <v>NAOI</v>
      </c>
      <c r="AK23" s="97">
        <f t="shared" si="16"/>
        <v>264.63400000000001</v>
      </c>
      <c r="AL23" s="90" t="str">
        <f t="shared" si="7"/>
        <v/>
      </c>
      <c r="AM23" s="97" t="str">
        <f t="shared" si="8"/>
        <v/>
      </c>
      <c r="AN23" s="90" t="str">
        <f t="shared" si="9"/>
        <v/>
      </c>
      <c r="AO23" s="90" t="str">
        <f t="shared" si="10"/>
        <v/>
      </c>
      <c r="AP23" s="90">
        <f t="shared" si="14"/>
        <v>0</v>
      </c>
    </row>
    <row r="24" spans="1:42" s="121" customFormat="1" ht="15.75" x14ac:dyDescent="0.25">
      <c r="A24" s="98">
        <f t="shared" si="0"/>
        <v>25.699999999999992</v>
      </c>
      <c r="B24" s="99">
        <f t="shared" si="1"/>
        <v>262.714</v>
      </c>
      <c r="C24" s="100" t="str">
        <f t="shared" si="5"/>
        <v/>
      </c>
      <c r="D24" s="196"/>
      <c r="E24" s="121">
        <v>1.75</v>
      </c>
      <c r="X24" s="111"/>
      <c r="Y24" s="112"/>
      <c r="Z24" s="113"/>
      <c r="AA24" s="114">
        <v>1.92</v>
      </c>
      <c r="AB24" s="115"/>
      <c r="AC24" s="116" t="str">
        <f t="shared" si="11"/>
        <v/>
      </c>
      <c r="AD24" s="117">
        <f t="shared" si="17"/>
        <v>262.714</v>
      </c>
      <c r="AE24" s="118">
        <v>1.7</v>
      </c>
      <c r="AF24" s="117">
        <f t="shared" si="12"/>
        <v>25.699999999999992</v>
      </c>
      <c r="AG24" s="122"/>
      <c r="AH24" s="90">
        <f t="shared" si="2"/>
        <v>264.63400000000001</v>
      </c>
      <c r="AI24" s="90">
        <f t="shared" si="6"/>
        <v>266.93200000000002</v>
      </c>
      <c r="AJ24" s="90" t="str">
        <f t="shared" si="3"/>
        <v>NAOI</v>
      </c>
      <c r="AK24" s="97">
        <f t="shared" si="16"/>
        <v>264.63400000000001</v>
      </c>
      <c r="AL24" s="90" t="str">
        <f t="shared" si="7"/>
        <v/>
      </c>
      <c r="AM24" s="97" t="str">
        <f t="shared" si="8"/>
        <v/>
      </c>
      <c r="AN24" s="90" t="str">
        <f t="shared" si="9"/>
        <v/>
      </c>
      <c r="AO24" s="90" t="str">
        <f t="shared" si="10"/>
        <v/>
      </c>
      <c r="AP24" s="90">
        <f t="shared" si="14"/>
        <v>0</v>
      </c>
    </row>
    <row r="25" spans="1:42" s="121" customFormat="1" ht="15.75" x14ac:dyDescent="0.25">
      <c r="A25" s="98">
        <f t="shared" si="0"/>
        <v>27.399999999999991</v>
      </c>
      <c r="B25" s="99">
        <f t="shared" si="1"/>
        <v>262.88400000000001</v>
      </c>
      <c r="C25" s="100" t="str">
        <f t="shared" si="5"/>
        <v/>
      </c>
      <c r="D25" s="196"/>
      <c r="E25" s="121">
        <v>1.77</v>
      </c>
      <c r="X25" s="111"/>
      <c r="Y25" s="112"/>
      <c r="Z25" s="113"/>
      <c r="AA25" s="114">
        <v>1.75</v>
      </c>
      <c r="AB25" s="115"/>
      <c r="AC25" s="116" t="str">
        <f t="shared" si="11"/>
        <v/>
      </c>
      <c r="AD25" s="117">
        <f t="shared" si="17"/>
        <v>262.88400000000001</v>
      </c>
      <c r="AE25" s="118">
        <v>1.7</v>
      </c>
      <c r="AF25" s="117">
        <f t="shared" si="12"/>
        <v>27.399999999999991</v>
      </c>
      <c r="AG25" s="122"/>
      <c r="AH25" s="90">
        <f t="shared" si="2"/>
        <v>264.63400000000001</v>
      </c>
      <c r="AI25" s="90">
        <f t="shared" si="6"/>
        <v>266.93200000000002</v>
      </c>
      <c r="AJ25" s="90" t="str">
        <f t="shared" si="3"/>
        <v>NAOI</v>
      </c>
      <c r="AK25" s="97">
        <f t="shared" si="16"/>
        <v>264.63400000000001</v>
      </c>
      <c r="AL25" s="90" t="str">
        <f t="shared" si="7"/>
        <v/>
      </c>
      <c r="AM25" s="97" t="str">
        <f t="shared" si="8"/>
        <v/>
      </c>
      <c r="AN25" s="90" t="str">
        <f t="shared" si="9"/>
        <v/>
      </c>
      <c r="AO25" s="90" t="str">
        <f t="shared" si="10"/>
        <v/>
      </c>
      <c r="AP25" s="90">
        <f t="shared" si="14"/>
        <v>0</v>
      </c>
    </row>
    <row r="26" spans="1:42" s="121" customFormat="1" ht="15.75" x14ac:dyDescent="0.25">
      <c r="A26" s="98">
        <f t="shared" si="0"/>
        <v>29.099999999999991</v>
      </c>
      <c r="B26" s="99">
        <f t="shared" si="1"/>
        <v>262.95400000000001</v>
      </c>
      <c r="C26" s="100" t="str">
        <f t="shared" si="5"/>
        <v/>
      </c>
      <c r="D26" s="196"/>
      <c r="E26" s="121">
        <v>1.7</v>
      </c>
      <c r="X26" s="111"/>
      <c r="Y26" s="112"/>
      <c r="Z26" s="113"/>
      <c r="AA26" s="114">
        <v>1.68</v>
      </c>
      <c r="AB26" s="115"/>
      <c r="AC26" s="116" t="str">
        <f t="shared" si="11"/>
        <v/>
      </c>
      <c r="AD26" s="117">
        <f t="shared" si="17"/>
        <v>262.95400000000001</v>
      </c>
      <c r="AE26" s="118">
        <v>1.7</v>
      </c>
      <c r="AF26" s="117">
        <f t="shared" si="12"/>
        <v>29.099999999999991</v>
      </c>
      <c r="AG26" s="122"/>
      <c r="AH26" s="90">
        <f t="shared" si="2"/>
        <v>264.63400000000001</v>
      </c>
      <c r="AI26" s="90">
        <f t="shared" si="6"/>
        <v>266.93200000000002</v>
      </c>
      <c r="AJ26" s="90" t="str">
        <f t="shared" si="3"/>
        <v>NAOI</v>
      </c>
      <c r="AK26" s="97">
        <f t="shared" si="16"/>
        <v>264.63400000000001</v>
      </c>
      <c r="AL26" s="90" t="str">
        <f t="shared" si="7"/>
        <v/>
      </c>
      <c r="AM26" s="97" t="str">
        <f t="shared" si="8"/>
        <v/>
      </c>
      <c r="AN26" s="90" t="str">
        <f t="shared" si="9"/>
        <v/>
      </c>
      <c r="AO26" s="90" t="str">
        <f t="shared" si="10"/>
        <v/>
      </c>
      <c r="AP26" s="90">
        <f t="shared" si="14"/>
        <v>0</v>
      </c>
    </row>
    <row r="27" spans="1:42" ht="15.75" x14ac:dyDescent="0.25">
      <c r="A27" s="98">
        <f t="shared" si="0"/>
        <v>30.79999999999999</v>
      </c>
      <c r="B27" s="99">
        <f t="shared" si="1"/>
        <v>262.66399999999999</v>
      </c>
      <c r="C27" s="100" t="str">
        <f t="shared" si="5"/>
        <v/>
      </c>
      <c r="D27" s="196"/>
      <c r="E27" s="121">
        <v>1.7</v>
      </c>
      <c r="X27" s="111"/>
      <c r="Y27" s="112"/>
      <c r="Z27" s="113"/>
      <c r="AA27" s="114">
        <v>1.97</v>
      </c>
      <c r="AB27" s="115"/>
      <c r="AC27" s="116" t="str">
        <f t="shared" si="11"/>
        <v/>
      </c>
      <c r="AD27" s="117">
        <f t="shared" si="17"/>
        <v>262.66399999999999</v>
      </c>
      <c r="AE27" s="118">
        <v>1.7</v>
      </c>
      <c r="AF27" s="117">
        <f t="shared" si="12"/>
        <v>30.79999999999999</v>
      </c>
      <c r="AG27" s="122"/>
      <c r="AH27" s="90">
        <f t="shared" si="2"/>
        <v>264.63400000000001</v>
      </c>
      <c r="AI27" s="90">
        <f t="shared" si="6"/>
        <v>266.93200000000002</v>
      </c>
      <c r="AJ27" s="90" t="str">
        <f t="shared" si="3"/>
        <v>NAOI</v>
      </c>
      <c r="AK27" s="97">
        <f t="shared" si="16"/>
        <v>264.63400000000001</v>
      </c>
      <c r="AL27" s="90" t="str">
        <f t="shared" si="7"/>
        <v/>
      </c>
      <c r="AM27" s="97" t="str">
        <f t="shared" si="8"/>
        <v/>
      </c>
      <c r="AN27" s="90" t="str">
        <f t="shared" si="9"/>
        <v/>
      </c>
      <c r="AO27" s="90" t="str">
        <f t="shared" si="10"/>
        <v/>
      </c>
      <c r="AP27" s="90">
        <f t="shared" si="14"/>
        <v>0</v>
      </c>
    </row>
    <row r="28" spans="1:42" ht="15.75" x14ac:dyDescent="0.25">
      <c r="A28" s="98">
        <f t="shared" si="0"/>
        <v>32.499999999999993</v>
      </c>
      <c r="B28" s="99">
        <f t="shared" si="1"/>
        <v>262.66399999999999</v>
      </c>
      <c r="C28" s="100" t="str">
        <f t="shared" si="5"/>
        <v/>
      </c>
      <c r="D28" s="196"/>
      <c r="E28" s="121">
        <v>1.35</v>
      </c>
      <c r="X28" s="111"/>
      <c r="Y28" s="112"/>
      <c r="Z28" s="113"/>
      <c r="AA28" s="114">
        <v>1.97</v>
      </c>
      <c r="AB28" s="115"/>
      <c r="AC28" s="116" t="str">
        <f t="shared" si="11"/>
        <v/>
      </c>
      <c r="AD28" s="117">
        <f t="shared" si="17"/>
        <v>262.66399999999999</v>
      </c>
      <c r="AE28" s="118">
        <v>1.7</v>
      </c>
      <c r="AF28" s="117">
        <f t="shared" si="12"/>
        <v>32.499999999999993</v>
      </c>
      <c r="AG28" s="122"/>
      <c r="AH28" s="90">
        <f t="shared" si="2"/>
        <v>266.93200000000002</v>
      </c>
      <c r="AI28" s="90">
        <f t="shared" si="6"/>
        <v>266.93200000000002</v>
      </c>
      <c r="AJ28" s="90" t="str">
        <f t="shared" si="3"/>
        <v>NAOI</v>
      </c>
      <c r="AK28" s="97">
        <f t="shared" si="16"/>
        <v>264.63400000000001</v>
      </c>
      <c r="AL28" s="90" t="str">
        <f t="shared" si="7"/>
        <v/>
      </c>
      <c r="AM28" s="97" t="str">
        <f t="shared" si="8"/>
        <v/>
      </c>
      <c r="AN28" s="90" t="str">
        <f t="shared" si="9"/>
        <v/>
      </c>
      <c r="AO28" s="90" t="str">
        <f t="shared" si="10"/>
        <v/>
      </c>
      <c r="AP28" s="90">
        <f t="shared" si="14"/>
        <v>0</v>
      </c>
    </row>
    <row r="29" spans="1:42" ht="15.75" x14ac:dyDescent="0.25">
      <c r="A29" s="98">
        <f t="shared" si="0"/>
        <v>34.199999999999996</v>
      </c>
      <c r="B29" s="99">
        <f t="shared" si="1"/>
        <v>264.63400000000001</v>
      </c>
      <c r="C29" s="100" t="str">
        <f t="shared" si="5"/>
        <v>NAOD</v>
      </c>
      <c r="D29" s="196"/>
      <c r="E29" s="121">
        <v>1.2</v>
      </c>
      <c r="X29" s="111"/>
      <c r="Y29" s="112"/>
      <c r="Z29" s="113"/>
      <c r="AA29" s="114">
        <v>2.298</v>
      </c>
      <c r="AB29" s="115"/>
      <c r="AC29" s="116" t="str">
        <f t="shared" si="11"/>
        <v/>
      </c>
      <c r="AD29" s="117">
        <f t="shared" si="17"/>
        <v>264.63400000000001</v>
      </c>
      <c r="AE29" s="118">
        <v>1.7</v>
      </c>
      <c r="AF29" s="117">
        <f t="shared" si="12"/>
        <v>34.199999999999996</v>
      </c>
      <c r="AG29" s="119" t="s">
        <v>10</v>
      </c>
      <c r="AH29" s="90">
        <f t="shared" si="2"/>
        <v>266.93200000000002</v>
      </c>
      <c r="AI29" s="90">
        <f t="shared" si="6"/>
        <v>266.93200000000002</v>
      </c>
      <c r="AJ29" s="90" t="str">
        <f t="shared" si="3"/>
        <v>NAOD</v>
      </c>
      <c r="AK29" s="97">
        <f t="shared" si="16"/>
        <v>264.63400000000001</v>
      </c>
      <c r="AL29" s="90" t="str">
        <f t="shared" si="7"/>
        <v/>
      </c>
      <c r="AM29" s="97" t="str">
        <f t="shared" si="8"/>
        <v/>
      </c>
      <c r="AN29" s="90">
        <f t="shared" si="9"/>
        <v>264.63400000000001</v>
      </c>
      <c r="AO29" s="90">
        <f t="shared" si="10"/>
        <v>34.199999999999996</v>
      </c>
      <c r="AP29" s="90">
        <f t="shared" si="14"/>
        <v>0</v>
      </c>
    </row>
    <row r="30" spans="1:42" ht="15.75" x14ac:dyDescent="0.25">
      <c r="A30" s="98">
        <f t="shared" si="0"/>
        <v>35.9</v>
      </c>
      <c r="B30" s="99">
        <f t="shared" si="1"/>
        <v>265.35000000000002</v>
      </c>
      <c r="C30" s="100" t="str">
        <f t="shared" si="5"/>
        <v/>
      </c>
      <c r="D30" s="196"/>
      <c r="E30" s="121">
        <v>0.8</v>
      </c>
      <c r="X30" s="111"/>
      <c r="Y30" s="112"/>
      <c r="Z30" s="113"/>
      <c r="AA30" s="114">
        <v>1.5820000000000001</v>
      </c>
      <c r="AB30" s="115"/>
      <c r="AC30" s="116" t="str">
        <f t="shared" si="11"/>
        <v/>
      </c>
      <c r="AD30" s="117">
        <f t="shared" si="17"/>
        <v>265.35000000000002</v>
      </c>
      <c r="AE30" s="118">
        <v>1.7</v>
      </c>
      <c r="AF30" s="117">
        <f t="shared" si="12"/>
        <v>35.9</v>
      </c>
      <c r="AG30" s="119"/>
      <c r="AH30" s="90">
        <f t="shared" si="2"/>
        <v>266.93200000000002</v>
      </c>
      <c r="AI30" s="90">
        <f t="shared" si="6"/>
        <v>266.93200000000002</v>
      </c>
      <c r="AJ30" s="90" t="str">
        <f t="shared" si="3"/>
        <v>NAOD</v>
      </c>
      <c r="AK30" s="97">
        <f t="shared" si="16"/>
        <v>265.35000000000002</v>
      </c>
      <c r="AL30" s="90" t="str">
        <f t="shared" si="7"/>
        <v/>
      </c>
      <c r="AM30" s="97" t="str">
        <f t="shared" si="8"/>
        <v/>
      </c>
      <c r="AN30" s="90" t="str">
        <f t="shared" si="9"/>
        <v/>
      </c>
      <c r="AO30" s="90" t="str">
        <f t="shared" si="10"/>
        <v/>
      </c>
      <c r="AP30" s="90">
        <f t="shared" si="14"/>
        <v>0</v>
      </c>
    </row>
    <row r="31" spans="1:42" ht="15.75" x14ac:dyDescent="0.25">
      <c r="A31" s="98">
        <f t="shared" si="0"/>
        <v>36.9</v>
      </c>
      <c r="B31" s="99">
        <f t="shared" si="1"/>
        <v>266.68799999999999</v>
      </c>
      <c r="C31" s="100" t="str">
        <f t="shared" si="5"/>
        <v/>
      </c>
      <c r="D31" s="196"/>
      <c r="E31" s="121">
        <v>0.55000000000000004</v>
      </c>
      <c r="X31" s="111"/>
      <c r="Y31" s="112"/>
      <c r="Z31" s="113"/>
      <c r="AA31" s="114">
        <v>0.24399999999999999</v>
      </c>
      <c r="AB31" s="115"/>
      <c r="AC31" s="116" t="str">
        <f t="shared" si="11"/>
        <v/>
      </c>
      <c r="AD31" s="117">
        <f t="shared" si="17"/>
        <v>266.68799999999999</v>
      </c>
      <c r="AE31" s="118">
        <v>1</v>
      </c>
      <c r="AF31" s="117">
        <f t="shared" si="12"/>
        <v>36.9</v>
      </c>
      <c r="AG31" s="119"/>
      <c r="AH31" s="90">
        <f t="shared" si="2"/>
        <v>266.93200000000002</v>
      </c>
      <c r="AI31" s="90">
        <f t="shared" si="6"/>
        <v>266.93200000000002</v>
      </c>
      <c r="AJ31" s="90" t="str">
        <f t="shared" si="3"/>
        <v>NAOD</v>
      </c>
      <c r="AK31" s="97">
        <f t="shared" si="16"/>
        <v>266.68799999999999</v>
      </c>
      <c r="AL31" s="90" t="str">
        <f t="shared" si="7"/>
        <v/>
      </c>
      <c r="AM31" s="97" t="str">
        <f t="shared" si="8"/>
        <v/>
      </c>
      <c r="AN31" s="90" t="str">
        <f t="shared" si="9"/>
        <v/>
      </c>
      <c r="AO31" s="90" t="str">
        <f t="shared" si="10"/>
        <v/>
      </c>
      <c r="AP31" s="90">
        <f t="shared" si="14"/>
        <v>0</v>
      </c>
    </row>
    <row r="32" spans="1:42" ht="15.75" x14ac:dyDescent="0.25">
      <c r="A32" s="98">
        <f t="shared" si="0"/>
        <v>36.9</v>
      </c>
      <c r="B32" s="99">
        <f t="shared" si="1"/>
        <v>269.63200000000001</v>
      </c>
      <c r="C32" s="100" t="str">
        <f t="shared" si="5"/>
        <v>PRD</v>
      </c>
      <c r="D32" s="196"/>
      <c r="E32" s="121">
        <v>0.35</v>
      </c>
      <c r="X32" s="111"/>
      <c r="Y32" s="112"/>
      <c r="Z32" s="113"/>
      <c r="AA32" s="114">
        <v>-2.7</v>
      </c>
      <c r="AB32" s="115"/>
      <c r="AC32" s="116" t="str">
        <f t="shared" si="11"/>
        <v/>
      </c>
      <c r="AD32" s="117">
        <f t="shared" si="17"/>
        <v>269.63200000000001</v>
      </c>
      <c r="AE32" s="118">
        <v>0</v>
      </c>
      <c r="AF32" s="117">
        <f t="shared" si="12"/>
        <v>36.9</v>
      </c>
      <c r="AG32" s="119" t="s">
        <v>5</v>
      </c>
      <c r="AH32" s="90">
        <f t="shared" si="2"/>
        <v>266.93200000000002</v>
      </c>
      <c r="AI32" s="90">
        <f t="shared" si="6"/>
        <v>266.93200000000002</v>
      </c>
      <c r="AJ32" s="90" t="str">
        <f t="shared" si="3"/>
        <v>PRD</v>
      </c>
      <c r="AK32" s="97">
        <f t="shared" si="16"/>
        <v>269.63200000000001</v>
      </c>
      <c r="AL32" s="90" t="str">
        <f t="shared" si="7"/>
        <v/>
      </c>
      <c r="AM32" s="97" t="str">
        <f t="shared" si="8"/>
        <v/>
      </c>
      <c r="AN32" s="90" t="str">
        <f t="shared" si="9"/>
        <v/>
      </c>
      <c r="AO32" s="90" t="str">
        <f t="shared" si="10"/>
        <v/>
      </c>
      <c r="AP32" s="90">
        <f t="shared" si="14"/>
        <v>0</v>
      </c>
    </row>
    <row r="33" spans="1:42" ht="15.75" x14ac:dyDescent="0.25">
      <c r="A33" s="98"/>
      <c r="B33" s="99"/>
      <c r="C33" s="100" t="str">
        <f t="shared" si="5"/>
        <v/>
      </c>
      <c r="D33" s="196"/>
      <c r="X33" s="111"/>
      <c r="Y33" s="112"/>
      <c r="Z33" s="113"/>
      <c r="AA33" s="114"/>
      <c r="AB33" s="115"/>
      <c r="AC33" s="116"/>
      <c r="AD33" s="117"/>
      <c r="AE33" s="118"/>
      <c r="AF33" s="117"/>
      <c r="AG33" s="119"/>
      <c r="AH33" s="90">
        <f t="shared" si="2"/>
        <v>0</v>
      </c>
      <c r="AI33" s="90">
        <f t="shared" si="6"/>
        <v>0</v>
      </c>
      <c r="AJ33" s="90" t="str">
        <f t="shared" si="3"/>
        <v>PRD</v>
      </c>
      <c r="AK33" s="97">
        <f t="shared" si="16"/>
        <v>0</v>
      </c>
      <c r="AL33" s="90" t="str">
        <f t="shared" si="7"/>
        <v/>
      </c>
      <c r="AM33" s="97" t="str">
        <f t="shared" si="8"/>
        <v/>
      </c>
      <c r="AN33" s="90" t="str">
        <f t="shared" si="9"/>
        <v/>
      </c>
      <c r="AO33" s="90" t="str">
        <f t="shared" si="10"/>
        <v/>
      </c>
      <c r="AP33" s="90">
        <f t="shared" si="14"/>
        <v>0</v>
      </c>
    </row>
    <row r="34" spans="1:42" ht="15.75" x14ac:dyDescent="0.25">
      <c r="A34" s="98"/>
      <c r="B34" s="99"/>
      <c r="C34" s="100" t="str">
        <f t="shared" si="5"/>
        <v/>
      </c>
      <c r="D34" s="196"/>
      <c r="X34" s="111"/>
      <c r="Y34" s="112"/>
      <c r="Z34" s="113"/>
      <c r="AA34" s="114"/>
      <c r="AB34" s="115"/>
      <c r="AC34" s="116"/>
      <c r="AD34" s="117"/>
      <c r="AE34" s="118"/>
      <c r="AF34" s="117"/>
      <c r="AG34" s="119"/>
      <c r="AH34" s="90">
        <f t="shared" si="2"/>
        <v>0</v>
      </c>
      <c r="AI34" s="90">
        <f t="shared" si="6"/>
        <v>0</v>
      </c>
      <c r="AJ34" s="90" t="str">
        <f t="shared" si="3"/>
        <v>PRD</v>
      </c>
      <c r="AK34" s="97">
        <f t="shared" si="16"/>
        <v>0</v>
      </c>
      <c r="AL34" s="90" t="str">
        <f t="shared" si="7"/>
        <v/>
      </c>
      <c r="AM34" s="97" t="str">
        <f t="shared" si="8"/>
        <v/>
      </c>
      <c r="AN34" s="90" t="str">
        <f t="shared" si="9"/>
        <v/>
      </c>
      <c r="AO34" s="90" t="str">
        <f t="shared" si="10"/>
        <v/>
      </c>
      <c r="AP34" s="90">
        <f t="shared" si="14"/>
        <v>0</v>
      </c>
    </row>
    <row r="35" spans="1:42" ht="15.75" x14ac:dyDescent="0.25">
      <c r="A35" s="98"/>
      <c r="B35" s="99"/>
      <c r="C35" s="100" t="str">
        <f t="shared" si="5"/>
        <v/>
      </c>
      <c r="D35" s="196"/>
      <c r="X35" s="111"/>
      <c r="Y35" s="112"/>
      <c r="Z35" s="113"/>
      <c r="AA35" s="114"/>
      <c r="AB35" s="115"/>
      <c r="AC35" s="116"/>
      <c r="AD35" s="117"/>
      <c r="AE35" s="118"/>
      <c r="AF35" s="117"/>
      <c r="AG35" s="120"/>
      <c r="AH35" s="90">
        <f t="shared" si="2"/>
        <v>0</v>
      </c>
      <c r="AI35" s="90">
        <f t="shared" si="6"/>
        <v>0</v>
      </c>
      <c r="AJ35" s="90" t="str">
        <f t="shared" si="3"/>
        <v>PRD</v>
      </c>
      <c r="AK35" s="97">
        <f t="shared" si="16"/>
        <v>0</v>
      </c>
      <c r="AL35" s="90" t="str">
        <f t="shared" si="7"/>
        <v/>
      </c>
      <c r="AM35" s="97" t="str">
        <f t="shared" si="8"/>
        <v/>
      </c>
      <c r="AN35" s="90" t="str">
        <f t="shared" si="9"/>
        <v/>
      </c>
      <c r="AO35" s="90" t="str">
        <f t="shared" si="10"/>
        <v/>
      </c>
      <c r="AP35" s="90">
        <f t="shared" si="14"/>
        <v>0</v>
      </c>
    </row>
    <row r="36" spans="1:42" ht="15.75" x14ac:dyDescent="0.25">
      <c r="A36" s="98"/>
      <c r="B36" s="99"/>
      <c r="C36" s="100" t="str">
        <f t="shared" si="5"/>
        <v/>
      </c>
      <c r="D36" s="196"/>
      <c r="X36" s="111"/>
      <c r="Y36" s="112"/>
      <c r="Z36" s="113"/>
      <c r="AA36" s="114"/>
      <c r="AB36" s="115"/>
      <c r="AC36" s="116"/>
      <c r="AD36" s="117"/>
      <c r="AE36" s="118"/>
      <c r="AF36" s="117"/>
      <c r="AG36" s="120"/>
      <c r="AH36" s="90">
        <f t="shared" si="2"/>
        <v>0</v>
      </c>
      <c r="AI36" s="90">
        <f t="shared" si="6"/>
        <v>0</v>
      </c>
      <c r="AJ36" s="90" t="str">
        <f t="shared" si="3"/>
        <v>PRD</v>
      </c>
      <c r="AK36" s="97">
        <f t="shared" si="16"/>
        <v>0</v>
      </c>
      <c r="AL36" s="90" t="str">
        <f t="shared" si="7"/>
        <v/>
      </c>
      <c r="AM36" s="97" t="str">
        <f t="shared" si="8"/>
        <v/>
      </c>
      <c r="AN36" s="90" t="str">
        <f t="shared" si="9"/>
        <v/>
      </c>
      <c r="AO36" s="90" t="str">
        <f t="shared" si="10"/>
        <v/>
      </c>
      <c r="AP36" s="90">
        <f t="shared" si="14"/>
        <v>0</v>
      </c>
    </row>
    <row r="37" spans="1:42" ht="15.75" x14ac:dyDescent="0.25">
      <c r="A37" s="98"/>
      <c r="B37" s="99"/>
      <c r="C37" s="100"/>
      <c r="D37" s="196"/>
      <c r="X37" s="111"/>
      <c r="Y37" s="112"/>
      <c r="Z37" s="113"/>
      <c r="AA37" s="114"/>
      <c r="AB37" s="115"/>
      <c r="AC37" s="116"/>
      <c r="AD37" s="117"/>
      <c r="AE37" s="118"/>
      <c r="AF37" s="117"/>
      <c r="AG37" s="120"/>
      <c r="AH37" s="90">
        <f t="shared" si="2"/>
        <v>0</v>
      </c>
      <c r="AI37" s="90">
        <f t="shared" si="6"/>
        <v>0</v>
      </c>
      <c r="AJ37" s="90" t="str">
        <f t="shared" si="3"/>
        <v>PRD</v>
      </c>
      <c r="AK37" s="97">
        <f t="shared" si="16"/>
        <v>0</v>
      </c>
      <c r="AL37" s="90" t="str">
        <f t="shared" si="7"/>
        <v/>
      </c>
      <c r="AM37" s="97" t="str">
        <f t="shared" si="8"/>
        <v/>
      </c>
      <c r="AN37" s="90" t="str">
        <f t="shared" si="9"/>
        <v/>
      </c>
      <c r="AO37" s="90" t="str">
        <f t="shared" si="10"/>
        <v/>
      </c>
      <c r="AP37" s="90">
        <f t="shared" si="14"/>
        <v>0</v>
      </c>
    </row>
    <row r="38" spans="1:42" ht="15.75" x14ac:dyDescent="0.25">
      <c r="A38" s="98"/>
      <c r="B38" s="99"/>
      <c r="C38" s="100"/>
      <c r="D38" s="196"/>
      <c r="X38" s="111"/>
      <c r="Y38" s="112"/>
      <c r="Z38" s="113"/>
      <c r="AA38" s="114"/>
      <c r="AB38" s="115"/>
      <c r="AC38" s="116"/>
      <c r="AD38" s="117"/>
      <c r="AE38" s="118"/>
      <c r="AF38" s="117"/>
      <c r="AG38" s="119"/>
      <c r="AH38" s="90">
        <f t="shared" si="2"/>
        <v>0</v>
      </c>
      <c r="AI38" s="90">
        <f t="shared" si="6"/>
        <v>0</v>
      </c>
      <c r="AJ38" s="90" t="str">
        <f t="shared" si="3"/>
        <v>PRD</v>
      </c>
      <c r="AK38" s="97">
        <f t="shared" si="16"/>
        <v>0</v>
      </c>
      <c r="AL38" s="90" t="str">
        <f t="shared" si="7"/>
        <v/>
      </c>
      <c r="AM38" s="97" t="str">
        <f t="shared" si="8"/>
        <v/>
      </c>
      <c r="AN38" s="90" t="str">
        <f t="shared" si="9"/>
        <v/>
      </c>
      <c r="AO38" s="90" t="str">
        <f t="shared" si="10"/>
        <v/>
      </c>
      <c r="AP38" s="90">
        <f t="shared" si="14"/>
        <v>0</v>
      </c>
    </row>
    <row r="39" spans="1:42" ht="15.75" x14ac:dyDescent="0.25">
      <c r="A39" s="98"/>
      <c r="B39" s="99"/>
      <c r="C39" s="100"/>
      <c r="D39" s="196"/>
      <c r="X39" s="111"/>
      <c r="Y39" s="112"/>
      <c r="Z39" s="113"/>
      <c r="AA39" s="114"/>
      <c r="AB39" s="115"/>
      <c r="AC39" s="116"/>
      <c r="AD39" s="117"/>
      <c r="AE39" s="118"/>
      <c r="AF39" s="117"/>
      <c r="AG39" s="120"/>
      <c r="AH39" s="90">
        <f t="shared" si="2"/>
        <v>0</v>
      </c>
      <c r="AI39" s="90">
        <f t="shared" si="6"/>
        <v>0</v>
      </c>
      <c r="AJ39" s="90" t="str">
        <f t="shared" si="3"/>
        <v>PRD</v>
      </c>
      <c r="AK39" s="97">
        <f t="shared" si="16"/>
        <v>0</v>
      </c>
      <c r="AL39" s="90" t="str">
        <f t="shared" si="7"/>
        <v/>
      </c>
      <c r="AM39" s="97" t="str">
        <f t="shared" si="8"/>
        <v/>
      </c>
      <c r="AN39" s="90" t="str">
        <f t="shared" si="9"/>
        <v/>
      </c>
      <c r="AO39" s="90" t="str">
        <f t="shared" si="10"/>
        <v/>
      </c>
      <c r="AP39" s="90">
        <f t="shared" si="14"/>
        <v>0</v>
      </c>
    </row>
    <row r="40" spans="1:42" ht="15.75" x14ac:dyDescent="0.25">
      <c r="A40" s="98"/>
      <c r="B40" s="99"/>
      <c r="C40" s="170"/>
      <c r="D40" s="196"/>
      <c r="X40" s="111"/>
      <c r="Y40" s="112"/>
      <c r="Z40" s="113"/>
      <c r="AA40" s="114"/>
      <c r="AB40" s="115"/>
      <c r="AC40" s="116"/>
      <c r="AD40" s="117"/>
      <c r="AE40" s="118"/>
      <c r="AF40" s="117"/>
      <c r="AG40" s="119"/>
      <c r="AH40" s="90">
        <f t="shared" si="2"/>
        <v>0</v>
      </c>
      <c r="AI40" s="90">
        <f t="shared" si="6"/>
        <v>0</v>
      </c>
      <c r="AJ40" s="90" t="str">
        <f t="shared" si="3"/>
        <v>PRD</v>
      </c>
      <c r="AK40" s="97">
        <f t="shared" si="16"/>
        <v>0</v>
      </c>
      <c r="AL40" s="90" t="str">
        <f t="shared" si="7"/>
        <v/>
      </c>
      <c r="AM40" s="97" t="str">
        <f t="shared" si="8"/>
        <v/>
      </c>
      <c r="AN40" s="90" t="str">
        <f t="shared" si="9"/>
        <v/>
      </c>
      <c r="AO40" s="90" t="str">
        <f t="shared" si="10"/>
        <v/>
      </c>
      <c r="AP40" s="90">
        <f t="shared" si="14"/>
        <v>0</v>
      </c>
    </row>
    <row r="41" spans="1:42" ht="15.75" x14ac:dyDescent="0.25">
      <c r="A41" s="98"/>
      <c r="B41" s="99"/>
      <c r="C41" s="170"/>
      <c r="D41" s="196"/>
      <c r="X41" s="111"/>
      <c r="Y41" s="112"/>
      <c r="Z41" s="113"/>
      <c r="AA41" s="114"/>
      <c r="AB41" s="115"/>
      <c r="AC41" s="116"/>
      <c r="AD41" s="117"/>
      <c r="AE41" s="118"/>
      <c r="AF41" s="117"/>
      <c r="AG41" s="120"/>
      <c r="AH41" s="90">
        <f t="shared" si="2"/>
        <v>0</v>
      </c>
      <c r="AI41" s="90">
        <f t="shared" si="6"/>
        <v>0</v>
      </c>
      <c r="AJ41" s="90" t="str">
        <f>IF(AG41="",AJ40,AG41)</f>
        <v>PRD</v>
      </c>
      <c r="AK41" s="97">
        <f t="shared" si="16"/>
        <v>0</v>
      </c>
      <c r="AL41" s="90" t="str">
        <f>IF(AG41="NAOI",AD41,"")</f>
        <v/>
      </c>
      <c r="AM41" s="97" t="str">
        <f>IF(AG41="NAOI",AF41,"")</f>
        <v/>
      </c>
      <c r="AN41" s="90" t="str">
        <f>IF(AG41="NAOD",AD41,"")</f>
        <v/>
      </c>
      <c r="AO41" s="90" t="str">
        <f>IF(AG41="NAOD",AF41,"")</f>
        <v/>
      </c>
      <c r="AP41" s="90">
        <f t="shared" si="14"/>
        <v>0</v>
      </c>
    </row>
    <row r="42" spans="1:42" ht="15.75" x14ac:dyDescent="0.25">
      <c r="A42" s="98"/>
      <c r="B42" s="99"/>
      <c r="C42" s="170"/>
      <c r="D42" s="196"/>
      <c r="X42" s="111"/>
      <c r="Y42" s="112"/>
      <c r="Z42" s="113"/>
      <c r="AA42" s="114"/>
      <c r="AB42" s="115"/>
      <c r="AC42" s="116"/>
      <c r="AD42" s="117"/>
      <c r="AE42" s="118"/>
      <c r="AF42" s="117"/>
      <c r="AG42" s="120"/>
      <c r="AH42" s="90">
        <f t="shared" si="2"/>
        <v>0</v>
      </c>
      <c r="AI42" s="90">
        <f t="shared" si="6"/>
        <v>0</v>
      </c>
      <c r="AJ42" s="90" t="str">
        <f>IF(AG42="",AJ41,AG42)</f>
        <v>PRD</v>
      </c>
      <c r="AK42" s="97">
        <f t="shared" si="16"/>
        <v>0</v>
      </c>
      <c r="AL42" s="90" t="str">
        <f>IF(AG42="NAOI",AD42,"")</f>
        <v/>
      </c>
      <c r="AM42" s="97" t="str">
        <f>IF(AG42="NAOI",AF42,"")</f>
        <v/>
      </c>
      <c r="AN42" s="90" t="str">
        <f>IF(AG42="NAOD",AD42,"")</f>
        <v/>
      </c>
      <c r="AO42" s="90" t="str">
        <f>IF(AG42="NAOD",AF42,"")</f>
        <v/>
      </c>
      <c r="AP42" s="90">
        <f t="shared" si="14"/>
        <v>0</v>
      </c>
    </row>
    <row r="43" spans="1:42" ht="15.75" x14ac:dyDescent="0.25">
      <c r="A43" s="98"/>
      <c r="B43" s="99"/>
      <c r="C43" s="170"/>
      <c r="D43" s="196"/>
      <c r="X43" s="111"/>
      <c r="Y43" s="112"/>
      <c r="Z43" s="113"/>
      <c r="AA43" s="114"/>
      <c r="AB43" s="115"/>
      <c r="AC43" s="116"/>
      <c r="AD43" s="117"/>
      <c r="AE43" s="118"/>
      <c r="AF43" s="117"/>
      <c r="AG43" s="119"/>
      <c r="AH43" s="90">
        <f t="shared" si="2"/>
        <v>0</v>
      </c>
      <c r="AI43" s="90">
        <f t="shared" si="6"/>
        <v>0</v>
      </c>
      <c r="AJ43" s="90" t="str">
        <f t="shared" si="3"/>
        <v>PRD</v>
      </c>
      <c r="AK43" s="97">
        <f t="shared" si="16"/>
        <v>0</v>
      </c>
      <c r="AL43" s="90" t="str">
        <f t="shared" si="7"/>
        <v/>
      </c>
      <c r="AM43" s="97" t="str">
        <f t="shared" si="8"/>
        <v/>
      </c>
      <c r="AN43" s="90" t="str">
        <f t="shared" si="9"/>
        <v/>
      </c>
      <c r="AO43" s="90" t="str">
        <f t="shared" si="10"/>
        <v/>
      </c>
      <c r="AP43" s="90">
        <f t="shared" si="14"/>
        <v>0</v>
      </c>
    </row>
    <row r="44" spans="1:42" ht="15.75" x14ac:dyDescent="0.25">
      <c r="A44" s="98"/>
      <c r="B44" s="99"/>
      <c r="C44" s="170"/>
      <c r="D44" s="196"/>
      <c r="X44" s="111"/>
      <c r="Y44" s="112"/>
      <c r="Z44" s="113"/>
      <c r="AA44" s="114"/>
      <c r="AB44" s="115"/>
      <c r="AC44" s="116"/>
      <c r="AD44" s="117"/>
      <c r="AE44" s="118"/>
      <c r="AF44" s="117"/>
      <c r="AG44" s="120"/>
      <c r="AH44" s="90">
        <f t="shared" si="2"/>
        <v>0</v>
      </c>
      <c r="AI44" s="90">
        <f t="shared" si="6"/>
        <v>0</v>
      </c>
      <c r="AJ44" s="90" t="str">
        <f t="shared" si="3"/>
        <v>PRD</v>
      </c>
      <c r="AK44" s="97">
        <f t="shared" si="16"/>
        <v>0</v>
      </c>
      <c r="AL44" s="90" t="str">
        <f t="shared" si="7"/>
        <v/>
      </c>
      <c r="AM44" s="97" t="str">
        <f t="shared" si="8"/>
        <v/>
      </c>
      <c r="AN44" s="90" t="str">
        <f t="shared" si="9"/>
        <v/>
      </c>
      <c r="AO44" s="90" t="str">
        <f t="shared" si="10"/>
        <v/>
      </c>
      <c r="AP44" s="90">
        <f t="shared" si="14"/>
        <v>0</v>
      </c>
    </row>
    <row r="45" spans="1:42" ht="15.75" x14ac:dyDescent="0.25">
      <c r="A45" s="98"/>
      <c r="B45" s="99"/>
      <c r="C45" s="170"/>
      <c r="D45" s="196"/>
      <c r="X45" s="111"/>
      <c r="Y45" s="112"/>
      <c r="Z45" s="113"/>
      <c r="AA45" s="123"/>
      <c r="AB45" s="124"/>
      <c r="AC45" s="116"/>
      <c r="AD45" s="117"/>
      <c r="AE45" s="125"/>
      <c r="AF45" s="117"/>
      <c r="AG45" s="119"/>
      <c r="AH45" s="90">
        <f t="shared" si="2"/>
        <v>0</v>
      </c>
      <c r="AI45" s="90">
        <f t="shared" si="6"/>
        <v>0</v>
      </c>
      <c r="AJ45" s="90" t="str">
        <f t="shared" si="3"/>
        <v>PRD</v>
      </c>
      <c r="AK45" s="97">
        <f t="shared" si="16"/>
        <v>0</v>
      </c>
      <c r="AL45" s="90" t="str">
        <f t="shared" si="7"/>
        <v/>
      </c>
      <c r="AM45" s="97" t="str">
        <f t="shared" si="8"/>
        <v/>
      </c>
      <c r="AN45" s="90" t="str">
        <f t="shared" si="9"/>
        <v/>
      </c>
      <c r="AO45" s="90" t="str">
        <f t="shared" si="10"/>
        <v/>
      </c>
      <c r="AP45" s="90">
        <f t="shared" si="14"/>
        <v>0</v>
      </c>
    </row>
    <row r="46" spans="1:42" ht="15.75" x14ac:dyDescent="0.25">
      <c r="A46" s="98"/>
      <c r="B46" s="99"/>
      <c r="C46" s="100"/>
      <c r="D46" s="196"/>
      <c r="X46" s="111"/>
      <c r="Y46" s="112"/>
      <c r="Z46" s="113"/>
      <c r="AA46" s="123"/>
      <c r="AB46" s="124"/>
      <c r="AC46" s="116"/>
      <c r="AD46" s="117"/>
      <c r="AE46" s="125"/>
      <c r="AF46" s="117"/>
      <c r="AG46" s="120"/>
      <c r="AH46" s="90">
        <f t="shared" si="2"/>
        <v>0</v>
      </c>
      <c r="AI46" s="90">
        <f t="shared" si="6"/>
        <v>0</v>
      </c>
      <c r="AJ46" s="90" t="str">
        <f t="shared" si="3"/>
        <v>PRD</v>
      </c>
      <c r="AK46" s="97">
        <f t="shared" si="16"/>
        <v>0</v>
      </c>
      <c r="AL46" s="90" t="str">
        <f t="shared" si="7"/>
        <v/>
      </c>
      <c r="AM46" s="97" t="str">
        <f t="shared" si="8"/>
        <v/>
      </c>
      <c r="AN46" s="90" t="str">
        <f t="shared" si="9"/>
        <v/>
      </c>
      <c r="AO46" s="90" t="str">
        <f t="shared" si="10"/>
        <v/>
      </c>
      <c r="AP46" s="90">
        <f t="shared" si="14"/>
        <v>0</v>
      </c>
    </row>
    <row r="47" spans="1:42" ht="15.75" x14ac:dyDescent="0.25">
      <c r="A47" s="98"/>
      <c r="B47" s="99"/>
      <c r="C47" s="100" t="str">
        <f t="shared" ref="C47:C51" si="18">IF(AG47="","",AG47)</f>
        <v/>
      </c>
      <c r="D47" s="196"/>
      <c r="X47" s="111"/>
      <c r="Y47" s="112"/>
      <c r="Z47" s="113"/>
      <c r="AA47" s="123"/>
      <c r="AB47" s="124"/>
      <c r="AC47" s="116"/>
      <c r="AD47" s="117"/>
      <c r="AE47" s="125"/>
      <c r="AF47" s="117"/>
      <c r="AG47" s="120"/>
      <c r="AH47" s="90">
        <f>IF(AND(AJ47="NAOI",AJ47=AJ48),AK47,AI47)</f>
        <v>0</v>
      </c>
      <c r="AI47" s="90">
        <f>IF(AA47="",AC47,AI46)</f>
        <v>0</v>
      </c>
      <c r="AJ47" s="90" t="str">
        <f t="shared" si="3"/>
        <v>PRD</v>
      </c>
      <c r="AK47" s="97">
        <f>IF(AND(AJ47="NAOI",AJ46="NAOI"),AK46,AD47)</f>
        <v>0</v>
      </c>
      <c r="AL47" s="90" t="str">
        <f t="shared" si="7"/>
        <v/>
      </c>
      <c r="AM47" s="97" t="str">
        <f t="shared" si="8"/>
        <v/>
      </c>
      <c r="AN47" s="90" t="str">
        <f t="shared" si="9"/>
        <v/>
      </c>
      <c r="AO47" s="90" t="str">
        <f t="shared" si="10"/>
        <v/>
      </c>
      <c r="AP47" s="90">
        <f>IF(AJ46="S/BM",1,0)</f>
        <v>0</v>
      </c>
    </row>
    <row r="48" spans="1:42" ht="15.75" x14ac:dyDescent="0.25">
      <c r="A48" s="98"/>
      <c r="B48" s="99"/>
      <c r="C48" s="100" t="str">
        <f t="shared" si="18"/>
        <v/>
      </c>
      <c r="D48" s="196"/>
      <c r="X48" s="111"/>
      <c r="Y48" s="112"/>
      <c r="Z48" s="113"/>
      <c r="AA48" s="123"/>
      <c r="AB48" s="124"/>
      <c r="AC48" s="116"/>
      <c r="AD48" s="117"/>
      <c r="AE48" s="125"/>
      <c r="AF48" s="117"/>
      <c r="AG48" s="120"/>
      <c r="AH48" s="90">
        <f>IF(AND(AJ48="NAOI",AJ48=AJ49),AK48,AI48)</f>
        <v>0</v>
      </c>
      <c r="AI48" s="90">
        <f>IF(AA48="",AC48,AI47)</f>
        <v>0</v>
      </c>
      <c r="AJ48" s="90" t="str">
        <f t="shared" si="3"/>
        <v>PRD</v>
      </c>
      <c r="AK48" s="97">
        <f>IF(AND(AJ48="NAOI",AJ47="NAOI"),AK47,AD48)</f>
        <v>0</v>
      </c>
      <c r="AL48" s="90" t="str">
        <f t="shared" si="7"/>
        <v/>
      </c>
      <c r="AM48" s="97" t="str">
        <f t="shared" si="8"/>
        <v/>
      </c>
      <c r="AN48" s="90" t="str">
        <f t="shared" si="9"/>
        <v/>
      </c>
      <c r="AO48" s="90" t="str">
        <f t="shared" si="10"/>
        <v/>
      </c>
      <c r="AP48" s="90">
        <f t="shared" ref="AP48:AP51" si="19">IF(AJ47="S/BM",1,0)</f>
        <v>0</v>
      </c>
    </row>
    <row r="49" spans="1:42" ht="15.75" x14ac:dyDescent="0.25">
      <c r="A49" s="98"/>
      <c r="B49" s="99"/>
      <c r="C49" s="100" t="str">
        <f t="shared" si="18"/>
        <v/>
      </c>
      <c r="D49" s="196"/>
      <c r="X49" s="111"/>
      <c r="Y49" s="112"/>
      <c r="Z49" s="113"/>
      <c r="AA49" s="123"/>
      <c r="AB49" s="124"/>
      <c r="AC49" s="116"/>
      <c r="AD49" s="117"/>
      <c r="AE49" s="125"/>
      <c r="AF49" s="117"/>
      <c r="AG49" s="120"/>
      <c r="AH49" s="90">
        <f>IF(AND(AJ49="NAOI",AJ49=AJ50),AK49,AI49)</f>
        <v>0</v>
      </c>
      <c r="AI49" s="90">
        <f>IF(AA49="",AC49,AI48)</f>
        <v>0</v>
      </c>
      <c r="AJ49" s="90" t="str">
        <f t="shared" si="3"/>
        <v>PRD</v>
      </c>
      <c r="AK49" s="97">
        <f>IF(AND(AJ49="NAOI",AJ48="NAOI"),AK48,AD49)</f>
        <v>0</v>
      </c>
      <c r="AL49" s="90" t="str">
        <f t="shared" si="7"/>
        <v/>
      </c>
      <c r="AM49" s="97" t="str">
        <f t="shared" si="8"/>
        <v/>
      </c>
      <c r="AN49" s="90" t="str">
        <f t="shared" si="9"/>
        <v/>
      </c>
      <c r="AO49" s="90" t="str">
        <f t="shared" si="10"/>
        <v/>
      </c>
      <c r="AP49" s="90">
        <f t="shared" si="19"/>
        <v>0</v>
      </c>
    </row>
    <row r="50" spans="1:42" ht="15.75" x14ac:dyDescent="0.25">
      <c r="A50" s="98"/>
      <c r="B50" s="99"/>
      <c r="C50" s="100" t="str">
        <f t="shared" si="18"/>
        <v/>
      </c>
      <c r="D50" s="196"/>
      <c r="X50" s="111"/>
      <c r="Y50" s="112"/>
      <c r="Z50" s="113"/>
      <c r="AA50" s="123"/>
      <c r="AB50" s="124"/>
      <c r="AC50" s="116"/>
      <c r="AD50" s="117"/>
      <c r="AE50" s="125"/>
      <c r="AF50" s="117"/>
      <c r="AG50" s="120"/>
      <c r="AH50" s="90">
        <f>IF(AND(AJ50="NAOI",AJ50=AJ51),AK50,AI50)</f>
        <v>0</v>
      </c>
      <c r="AI50" s="90">
        <f>IF(AA50="",AC50,AI49)</f>
        <v>0</v>
      </c>
      <c r="AJ50" s="90" t="str">
        <f t="shared" si="3"/>
        <v>PRD</v>
      </c>
      <c r="AK50" s="97">
        <f>IF(AND(AJ50="NAOI",AJ49="NAOI"),AK49,AD50)</f>
        <v>0</v>
      </c>
      <c r="AL50" s="90" t="str">
        <f t="shared" si="7"/>
        <v/>
      </c>
      <c r="AM50" s="97" t="str">
        <f t="shared" si="8"/>
        <v/>
      </c>
      <c r="AN50" s="90" t="str">
        <f t="shared" si="9"/>
        <v/>
      </c>
      <c r="AO50" s="90" t="str">
        <f t="shared" si="10"/>
        <v/>
      </c>
      <c r="AP50" s="90">
        <f t="shared" si="19"/>
        <v>0</v>
      </c>
    </row>
    <row r="51" spans="1:42" ht="16.5" thickBot="1" x14ac:dyDescent="0.3">
      <c r="A51" s="126"/>
      <c r="B51" s="127"/>
      <c r="C51" s="100" t="str">
        <f t="shared" si="18"/>
        <v/>
      </c>
      <c r="D51" s="196"/>
      <c r="X51" s="128"/>
      <c r="Y51" s="129"/>
      <c r="Z51" s="130"/>
      <c r="AA51" s="131"/>
      <c r="AB51" s="132"/>
      <c r="AC51" s="133"/>
      <c r="AD51" s="134"/>
      <c r="AE51" s="135"/>
      <c r="AF51" s="134"/>
      <c r="AG51" s="136"/>
      <c r="AH51" s="90">
        <f>IF(AND(AJ51="NAOI",AJ51=AJ52),AK51,AI51)</f>
        <v>0</v>
      </c>
      <c r="AI51" s="90">
        <f>IF(AA51="",AC51,AI50)</f>
        <v>0</v>
      </c>
      <c r="AJ51" s="90" t="str">
        <f t="shared" si="3"/>
        <v>PRD</v>
      </c>
      <c r="AK51" s="97">
        <f>IF(AND(AJ51="NAOI",AJ50="NAOI"),AK50,AD51)</f>
        <v>0</v>
      </c>
      <c r="AL51" s="90" t="str">
        <f t="shared" si="7"/>
        <v/>
      </c>
      <c r="AM51" s="97" t="str">
        <f t="shared" si="8"/>
        <v/>
      </c>
      <c r="AN51" s="90" t="str">
        <f t="shared" si="9"/>
        <v/>
      </c>
      <c r="AO51" s="90" t="str">
        <f t="shared" si="10"/>
        <v/>
      </c>
      <c r="AP51" s="90">
        <f t="shared" si="19"/>
        <v>0</v>
      </c>
    </row>
    <row r="52" spans="1:42" ht="5.25" customHeight="1" thickBot="1" x14ac:dyDescent="0.25">
      <c r="A52" s="137"/>
      <c r="B52" s="137"/>
      <c r="C52" s="138"/>
      <c r="D52" s="196"/>
      <c r="AH52" s="90"/>
      <c r="AI52" s="90"/>
      <c r="AJ52" s="90"/>
      <c r="AK52" s="90"/>
      <c r="AL52" s="90"/>
      <c r="AM52" s="90"/>
      <c r="AN52" s="90"/>
      <c r="AO52" s="90"/>
      <c r="AP52" s="90"/>
    </row>
    <row r="53" spans="1:42" ht="20.100000000000001" customHeight="1" x14ac:dyDescent="0.2">
      <c r="A53" s="139">
        <v>3.6</v>
      </c>
      <c r="B53" s="140">
        <v>264.63400000000001</v>
      </c>
      <c r="C53" s="141" t="s">
        <v>9</v>
      </c>
      <c r="D53" s="184" t="s">
        <v>6</v>
      </c>
    </row>
    <row r="54" spans="1:42" ht="20.100000000000001" customHeight="1" x14ac:dyDescent="0.2">
      <c r="A54" s="142">
        <v>34.200000000000003</v>
      </c>
      <c r="B54" s="140">
        <v>264.63200000000001</v>
      </c>
      <c r="C54" s="143" t="s">
        <v>10</v>
      </c>
      <c r="D54" s="184"/>
    </row>
    <row r="55" spans="1:42" ht="20.100000000000001" customHeight="1" x14ac:dyDescent="0.2">
      <c r="A55" s="144">
        <v>5</v>
      </c>
      <c r="B55" s="145">
        <v>263.72399999999999</v>
      </c>
      <c r="C55" s="146" t="s">
        <v>8</v>
      </c>
      <c r="D55" s="184"/>
    </row>
    <row r="56" spans="1:42" ht="20.100000000000001" customHeight="1" x14ac:dyDescent="0.2">
      <c r="A56" s="144">
        <v>5</v>
      </c>
      <c r="B56" s="147">
        <v>266.36599999999999</v>
      </c>
      <c r="C56" s="146" t="s">
        <v>8</v>
      </c>
      <c r="D56" s="184"/>
    </row>
    <row r="57" spans="1:42" ht="20.100000000000001" customHeight="1" x14ac:dyDescent="0.2">
      <c r="A57" s="63">
        <v>4.5</v>
      </c>
      <c r="B57" s="147">
        <v>267.80200000000002</v>
      </c>
      <c r="C57" s="148" t="s">
        <v>2</v>
      </c>
      <c r="D57" s="184"/>
    </row>
    <row r="58" spans="1:42" ht="20.100000000000001" customHeight="1" thickBot="1" x14ac:dyDescent="0.25">
      <c r="A58" s="144">
        <f>A57</f>
        <v>4.5</v>
      </c>
      <c r="B58" s="147">
        <f>B57+1.5</f>
        <v>269.30200000000002</v>
      </c>
      <c r="C58" s="149" t="s">
        <v>2</v>
      </c>
      <c r="D58" s="184"/>
    </row>
    <row r="59" spans="1:42" ht="13.5" thickBot="1" x14ac:dyDescent="0.25">
      <c r="A59" s="150">
        <v>2.9</v>
      </c>
      <c r="B59" s="151">
        <v>269.27199999999999</v>
      </c>
      <c r="C59" s="152" t="s">
        <v>7</v>
      </c>
      <c r="D59" s="153"/>
    </row>
    <row r="60" spans="1:42" ht="13.5" thickBot="1" x14ac:dyDescent="0.25">
      <c r="A60" s="154">
        <v>36.9</v>
      </c>
      <c r="B60" s="151">
        <v>269.63200000000001</v>
      </c>
      <c r="C60" s="152" t="s">
        <v>7</v>
      </c>
      <c r="D60" s="153"/>
    </row>
    <row r="61" spans="1:42" ht="18" x14ac:dyDescent="0.25">
      <c r="A61" s="155" t="s">
        <v>90</v>
      </c>
      <c r="B61" s="156"/>
      <c r="C61" s="167">
        <v>0.89</v>
      </c>
      <c r="D61" s="153"/>
    </row>
    <row r="62" spans="1:42" ht="18" x14ac:dyDescent="0.25">
      <c r="A62" s="155" t="s">
        <v>53</v>
      </c>
      <c r="B62" s="156"/>
      <c r="C62" s="158">
        <f>B55</f>
        <v>263.72399999999999</v>
      </c>
      <c r="D62" s="153"/>
    </row>
    <row r="63" spans="1:42" ht="15.75" x14ac:dyDescent="0.25">
      <c r="A63" s="159" t="s">
        <v>54</v>
      </c>
      <c r="B63" s="156"/>
      <c r="C63" s="157"/>
      <c r="D63" s="153"/>
    </row>
    <row r="64" spans="1:42" x14ac:dyDescent="0.2">
      <c r="A64" s="160"/>
      <c r="B64" s="156"/>
      <c r="C64" s="157"/>
      <c r="D64" s="153"/>
    </row>
    <row r="65" spans="1:4" ht="14.25" x14ac:dyDescent="0.2">
      <c r="A65" s="161"/>
      <c r="B65" s="177"/>
      <c r="C65" s="163"/>
      <c r="D65" s="153"/>
    </row>
    <row r="66" spans="1:4" ht="14.25" x14ac:dyDescent="0.2">
      <c r="A66" s="161" t="s">
        <v>55</v>
      </c>
      <c r="B66" s="181" t="s">
        <v>65</v>
      </c>
      <c r="C66" s="181"/>
      <c r="D66" s="153"/>
    </row>
    <row r="67" spans="1:4" ht="14.25" x14ac:dyDescent="0.2">
      <c r="A67" s="161" t="s">
        <v>56</v>
      </c>
      <c r="B67" s="181" t="s">
        <v>66</v>
      </c>
      <c r="C67" s="181"/>
      <c r="D67" s="153"/>
    </row>
    <row r="68" spans="1:4" ht="14.25" x14ac:dyDescent="0.2">
      <c r="A68" s="161" t="s">
        <v>57</v>
      </c>
      <c r="B68" s="185">
        <v>44037060</v>
      </c>
      <c r="C68" s="185"/>
      <c r="D68" s="153"/>
    </row>
    <row r="69" spans="1:4" ht="14.25" x14ac:dyDescent="0.2">
      <c r="A69" s="161" t="s">
        <v>58</v>
      </c>
      <c r="B69" s="181" t="s">
        <v>87</v>
      </c>
      <c r="C69" s="181"/>
    </row>
    <row r="70" spans="1:4" ht="14.25" x14ac:dyDescent="0.2">
      <c r="A70" s="161" t="s">
        <v>60</v>
      </c>
      <c r="B70" s="181" t="s">
        <v>91</v>
      </c>
      <c r="C70" s="181"/>
    </row>
    <row r="71" spans="1:4" ht="14.25" x14ac:dyDescent="0.2">
      <c r="A71" s="161" t="s">
        <v>62</v>
      </c>
      <c r="B71" s="181" t="s">
        <v>63</v>
      </c>
      <c r="C71" s="181"/>
    </row>
    <row r="72" spans="1:4" ht="14.25" x14ac:dyDescent="0.2">
      <c r="A72" s="161" t="s">
        <v>64</v>
      </c>
      <c r="B72" s="182">
        <v>44482</v>
      </c>
      <c r="C72" s="182"/>
    </row>
    <row r="73" spans="1:4" ht="14.25" x14ac:dyDescent="0.2">
      <c r="A73" s="165"/>
      <c r="B73" s="165"/>
      <c r="C73" s="165"/>
    </row>
    <row r="74" spans="1:4" ht="14.25" x14ac:dyDescent="0.2">
      <c r="A74" s="165"/>
      <c r="B74" s="165"/>
      <c r="C74" s="165"/>
    </row>
    <row r="75" spans="1:4" ht="14.25" x14ac:dyDescent="0.2">
      <c r="A75" s="165"/>
      <c r="B75" s="165"/>
      <c r="C75" s="165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122" priority="122" stopIfTrue="1">
      <formula>$AP$47=1</formula>
    </cfRule>
  </conditionalFormatting>
  <conditionalFormatting sqref="AC46:AF46">
    <cfRule type="expression" dxfId="121" priority="121" stopIfTrue="1">
      <formula>$AP$46</formula>
    </cfRule>
  </conditionalFormatting>
  <conditionalFormatting sqref="AC50:AF50">
    <cfRule type="expression" dxfId="120" priority="120" stopIfTrue="1">
      <formula>$AP$50=1</formula>
    </cfRule>
  </conditionalFormatting>
  <conditionalFormatting sqref="AC51:AF51">
    <cfRule type="expression" dxfId="119" priority="119" stopIfTrue="1">
      <formula>$AP$51=1</formula>
    </cfRule>
  </conditionalFormatting>
  <conditionalFormatting sqref="AC49:AF49">
    <cfRule type="expression" dxfId="118" priority="118" stopIfTrue="1">
      <formula>$AP$49=1</formula>
    </cfRule>
  </conditionalFormatting>
  <conditionalFormatting sqref="AC48:AF48">
    <cfRule type="expression" dxfId="117" priority="117" stopIfTrue="1">
      <formula>$AP$48=1</formula>
    </cfRule>
  </conditionalFormatting>
  <conditionalFormatting sqref="AC45:AF45">
    <cfRule type="expression" dxfId="116" priority="116" stopIfTrue="1">
      <formula>$AP$45=1</formula>
    </cfRule>
  </conditionalFormatting>
  <conditionalFormatting sqref="AC44 AE44">
    <cfRule type="expression" dxfId="115" priority="115" stopIfTrue="1">
      <formula>$AP$44=1</formula>
    </cfRule>
  </conditionalFormatting>
  <conditionalFormatting sqref="AC43 AE43">
    <cfRule type="expression" dxfId="114" priority="114" stopIfTrue="1">
      <formula>$AP$43=1</formula>
    </cfRule>
  </conditionalFormatting>
  <conditionalFormatting sqref="AE42">
    <cfRule type="expression" dxfId="113" priority="113" stopIfTrue="1">
      <formula>$AP$42=1</formula>
    </cfRule>
  </conditionalFormatting>
  <conditionalFormatting sqref="AE41">
    <cfRule type="expression" dxfId="112" priority="112" stopIfTrue="1">
      <formula>$AP$41=1</formula>
    </cfRule>
  </conditionalFormatting>
  <conditionalFormatting sqref="AE40">
    <cfRule type="expression" dxfId="111" priority="111" stopIfTrue="1">
      <formula>$AP$40=1</formula>
    </cfRule>
  </conditionalFormatting>
  <conditionalFormatting sqref="AE39">
    <cfRule type="expression" dxfId="110" priority="110" stopIfTrue="1">
      <formula>$AP$39=1</formula>
    </cfRule>
  </conditionalFormatting>
  <conditionalFormatting sqref="AE38">
    <cfRule type="expression" dxfId="109" priority="109" stopIfTrue="1">
      <formula>$AP$38=1</formula>
    </cfRule>
  </conditionalFormatting>
  <conditionalFormatting sqref="AE37">
    <cfRule type="expression" dxfId="108" priority="108" stopIfTrue="1">
      <formula>$AP$37=1</formula>
    </cfRule>
  </conditionalFormatting>
  <conditionalFormatting sqref="AE36">
    <cfRule type="expression" dxfId="107" priority="107" stopIfTrue="1">
      <formula>$AP$36=1</formula>
    </cfRule>
  </conditionalFormatting>
  <conditionalFormatting sqref="AD35:AF36 AD30:AD34 AD37:AD44 AF30:AF34 AF37:AF44">
    <cfRule type="expression" dxfId="106" priority="105" stopIfTrue="1">
      <formula>$AP$35=1</formula>
    </cfRule>
    <cfRule type="expression" dxfId="105" priority="106" stopIfTrue="1">
      <formula>$AP$35=1</formula>
    </cfRule>
  </conditionalFormatting>
  <conditionalFormatting sqref="AD34:AF34">
    <cfRule type="expression" dxfId="104" priority="104" stopIfTrue="1">
      <formula>$AP$34=1</formula>
    </cfRule>
  </conditionalFormatting>
  <conditionalFormatting sqref="AE33:AF33">
    <cfRule type="expression" dxfId="103" priority="103" stopIfTrue="1">
      <formula>$AP$33=1</formula>
    </cfRule>
  </conditionalFormatting>
  <conditionalFormatting sqref="AD32:AF33 AD34">
    <cfRule type="expression" dxfId="102" priority="102" stopIfTrue="1">
      <formula>$AP$32=1</formula>
    </cfRule>
  </conditionalFormatting>
  <conditionalFormatting sqref="AD31:AF31">
    <cfRule type="expression" dxfId="101" priority="101" stopIfTrue="1">
      <formula>$AP$31=1</formula>
    </cfRule>
  </conditionalFormatting>
  <conditionalFormatting sqref="AD30:AF30">
    <cfRule type="expression" dxfId="100" priority="100" stopIfTrue="1">
      <formula>$AP$30</formula>
    </cfRule>
  </conditionalFormatting>
  <conditionalFormatting sqref="AD29 AF29">
    <cfRule type="expression" dxfId="99" priority="99" stopIfTrue="1">
      <formula>$AP$29=1</formula>
    </cfRule>
  </conditionalFormatting>
  <conditionalFormatting sqref="AD28 AF28">
    <cfRule type="expression" dxfId="98" priority="98" stopIfTrue="1">
      <formula>$AP$28=1</formula>
    </cfRule>
  </conditionalFormatting>
  <conditionalFormatting sqref="AD27 AF27">
    <cfRule type="expression" dxfId="97" priority="97" stopIfTrue="1">
      <formula>$AP$27=1</formula>
    </cfRule>
  </conditionalFormatting>
  <conditionalFormatting sqref="AD26 AF26">
    <cfRule type="expression" dxfId="96" priority="96" stopIfTrue="1">
      <formula>$AP$26=1</formula>
    </cfRule>
  </conditionalFormatting>
  <conditionalFormatting sqref="AD25 AF25">
    <cfRule type="expression" dxfId="95" priority="95" stopIfTrue="1">
      <formula>$AP$25=1</formula>
    </cfRule>
  </conditionalFormatting>
  <conditionalFormatting sqref="AD24 AF24">
    <cfRule type="expression" dxfId="94" priority="94" stopIfTrue="1">
      <formula>$AP$24=1</formula>
    </cfRule>
  </conditionalFormatting>
  <conditionalFormatting sqref="AD23 AF23">
    <cfRule type="expression" dxfId="93" priority="93" stopIfTrue="1">
      <formula>$AP$23=1</formula>
    </cfRule>
  </conditionalFormatting>
  <conditionalFormatting sqref="AD22 AF22">
    <cfRule type="expression" dxfId="92" priority="92" stopIfTrue="1">
      <formula>$AP$22=1</formula>
    </cfRule>
  </conditionalFormatting>
  <conditionalFormatting sqref="AD21 AF21">
    <cfRule type="expression" dxfId="91" priority="91" stopIfTrue="1">
      <formula>$AP$21=1</formula>
    </cfRule>
  </conditionalFormatting>
  <conditionalFormatting sqref="AD20 AF20">
    <cfRule type="expression" dxfId="90" priority="90" stopIfTrue="1">
      <formula>$AP$20=1</formula>
    </cfRule>
  </conditionalFormatting>
  <conditionalFormatting sqref="AD19 AF19">
    <cfRule type="expression" dxfId="89" priority="89" stopIfTrue="1">
      <formula>$AP$19=1</formula>
    </cfRule>
  </conditionalFormatting>
  <conditionalFormatting sqref="AD18 AF18">
    <cfRule type="expression" dxfId="88" priority="88" stopIfTrue="1">
      <formula>$AP$18=1</formula>
    </cfRule>
  </conditionalFormatting>
  <conditionalFormatting sqref="AD17 AF17">
    <cfRule type="expression" dxfId="87" priority="87" stopIfTrue="1">
      <formula>$AP$17=1</formula>
    </cfRule>
  </conditionalFormatting>
  <conditionalFormatting sqref="AD16 AF16">
    <cfRule type="expression" dxfId="86" priority="86" stopIfTrue="1">
      <formula>$AP$16=1</formula>
    </cfRule>
  </conditionalFormatting>
  <conditionalFormatting sqref="AD15 AF15">
    <cfRule type="expression" dxfId="85" priority="85" stopIfTrue="1">
      <formula>$AP$15=1</formula>
    </cfRule>
  </conditionalFormatting>
  <conditionalFormatting sqref="AD14 AF14">
    <cfRule type="expression" dxfId="84" priority="84" stopIfTrue="1">
      <formula>$AP$14=1</formula>
    </cfRule>
  </conditionalFormatting>
  <conditionalFormatting sqref="AD13 AF13">
    <cfRule type="expression" dxfId="83" priority="83" stopIfTrue="1">
      <formula>$AP$13=1</formula>
    </cfRule>
  </conditionalFormatting>
  <conditionalFormatting sqref="AD12:AF13 AE14:AE31">
    <cfRule type="expression" dxfId="82" priority="82" stopIfTrue="1">
      <formula>$AP$12=1</formula>
    </cfRule>
  </conditionalFormatting>
  <conditionalFormatting sqref="AD11:AF11">
    <cfRule type="expression" dxfId="81" priority="81" stopIfTrue="1">
      <formula>$AP$11=1</formula>
    </cfRule>
  </conditionalFormatting>
  <conditionalFormatting sqref="A51:B51">
    <cfRule type="expression" dxfId="80" priority="80" stopIfTrue="1">
      <formula>$AP$51=1</formula>
    </cfRule>
  </conditionalFormatting>
  <conditionalFormatting sqref="A50:B50">
    <cfRule type="expression" dxfId="79" priority="79" stopIfTrue="1">
      <formula>$AP$50=1</formula>
    </cfRule>
  </conditionalFormatting>
  <conditionalFormatting sqref="A49:B49">
    <cfRule type="expression" dxfId="78" priority="78" stopIfTrue="1">
      <formula>$AP$49=1</formula>
    </cfRule>
  </conditionalFormatting>
  <conditionalFormatting sqref="A48:B48">
    <cfRule type="expression" dxfId="77" priority="77" stopIfTrue="1">
      <formula>$AP$48=1</formula>
    </cfRule>
  </conditionalFormatting>
  <conditionalFormatting sqref="A47:B47">
    <cfRule type="expression" dxfId="76" priority="76" stopIfTrue="1">
      <formula>$AP$47=1</formula>
    </cfRule>
  </conditionalFormatting>
  <conditionalFormatting sqref="A46:B46">
    <cfRule type="expression" dxfId="75" priority="75" stopIfTrue="1">
      <formula>$AP$46=1</formula>
    </cfRule>
  </conditionalFormatting>
  <conditionalFormatting sqref="A40:B45">
    <cfRule type="expression" dxfId="74" priority="74" stopIfTrue="1">
      <formula>$AP$40=1</formula>
    </cfRule>
  </conditionalFormatting>
  <conditionalFormatting sqref="A39:B39">
    <cfRule type="expression" dxfId="73" priority="73" stopIfTrue="1">
      <formula>$AP$39=1</formula>
    </cfRule>
  </conditionalFormatting>
  <conditionalFormatting sqref="A38:B38">
    <cfRule type="expression" dxfId="72" priority="72" stopIfTrue="1">
      <formula>$AP$38=1</formula>
    </cfRule>
  </conditionalFormatting>
  <conditionalFormatting sqref="A37:B37">
    <cfRule type="expression" dxfId="71" priority="71" stopIfTrue="1">
      <formula>$AP$37=1</formula>
    </cfRule>
  </conditionalFormatting>
  <conditionalFormatting sqref="B32:B34 B36">
    <cfRule type="expression" dxfId="70" priority="70" stopIfTrue="1">
      <formula>$AP$32=1</formula>
    </cfRule>
  </conditionalFormatting>
  <conditionalFormatting sqref="B31 B35">
    <cfRule type="expression" dxfId="69" priority="69" stopIfTrue="1">
      <formula>$AP$31=1</formula>
    </cfRule>
  </conditionalFormatting>
  <conditionalFormatting sqref="A30:B30 A31:A36">
    <cfRule type="expression" dxfId="68" priority="68" stopIfTrue="1">
      <formula>$AP$30=1</formula>
    </cfRule>
  </conditionalFormatting>
  <conditionalFormatting sqref="A29:B29">
    <cfRule type="expression" dxfId="67" priority="67" stopIfTrue="1">
      <formula>$AP$29=1</formula>
    </cfRule>
  </conditionalFormatting>
  <conditionalFormatting sqref="A28:B28">
    <cfRule type="expression" dxfId="66" priority="66" stopIfTrue="1">
      <formula>$AP$28=1</formula>
    </cfRule>
  </conditionalFormatting>
  <conditionalFormatting sqref="A27:B27">
    <cfRule type="expression" dxfId="65" priority="65" stopIfTrue="1">
      <formula>$AP$27=1</formula>
    </cfRule>
  </conditionalFormatting>
  <conditionalFormatting sqref="A26:B26">
    <cfRule type="expression" dxfId="64" priority="64" stopIfTrue="1">
      <formula>$AP$26=1</formula>
    </cfRule>
  </conditionalFormatting>
  <conditionalFormatting sqref="A25:B25">
    <cfRule type="expression" dxfId="63" priority="63" stopIfTrue="1">
      <formula>$AP$25=1</formula>
    </cfRule>
  </conditionalFormatting>
  <conditionalFormatting sqref="A24:B24">
    <cfRule type="expression" dxfId="62" priority="62" stopIfTrue="1">
      <formula>$AP$24=1</formula>
    </cfRule>
  </conditionalFormatting>
  <conditionalFormatting sqref="A23:B23">
    <cfRule type="expression" dxfId="61" priority="61" stopIfTrue="1">
      <formula>$AP$23=1</formula>
    </cfRule>
  </conditionalFormatting>
  <conditionalFormatting sqref="A22:B22">
    <cfRule type="expression" dxfId="60" priority="60" stopIfTrue="1">
      <formula>$AP$22=1</formula>
    </cfRule>
  </conditionalFormatting>
  <conditionalFormatting sqref="A21:B21">
    <cfRule type="expression" dxfId="59" priority="59" stopIfTrue="1">
      <formula>$AP$21=1</formula>
    </cfRule>
  </conditionalFormatting>
  <conditionalFormatting sqref="A20:B20">
    <cfRule type="expression" dxfId="58" priority="58" stopIfTrue="1">
      <formula>$AP$20=1</formula>
    </cfRule>
  </conditionalFormatting>
  <conditionalFormatting sqref="A19:B19">
    <cfRule type="expression" dxfId="57" priority="57" stopIfTrue="1">
      <formula>$AP$19=1</formula>
    </cfRule>
  </conditionalFormatting>
  <conditionalFormatting sqref="A18:B18">
    <cfRule type="expression" dxfId="56" priority="56" stopIfTrue="1">
      <formula>$AP$18=1</formula>
    </cfRule>
  </conditionalFormatting>
  <conditionalFormatting sqref="A17:B17">
    <cfRule type="expression" dxfId="55" priority="55" stopIfTrue="1">
      <formula>$AP$17=1</formula>
    </cfRule>
  </conditionalFormatting>
  <conditionalFormatting sqref="A16:B16">
    <cfRule type="expression" dxfId="54" priority="54" stopIfTrue="1">
      <formula>$AP$16=1</formula>
    </cfRule>
  </conditionalFormatting>
  <conditionalFormatting sqref="A15:B15">
    <cfRule type="expression" dxfId="53" priority="53" stopIfTrue="1">
      <formula>$AP$15=1</formula>
    </cfRule>
  </conditionalFormatting>
  <conditionalFormatting sqref="A14:B14">
    <cfRule type="expression" dxfId="52" priority="52" stopIfTrue="1">
      <formula>$AP$14=1</formula>
    </cfRule>
  </conditionalFormatting>
  <conditionalFormatting sqref="A13:B13">
    <cfRule type="expression" dxfId="51" priority="51" stopIfTrue="1">
      <formula>$AP$13=1</formula>
    </cfRule>
  </conditionalFormatting>
  <conditionalFormatting sqref="A12:B12">
    <cfRule type="expression" dxfId="50" priority="50" stopIfTrue="1">
      <formula>$AP$12=1</formula>
    </cfRule>
  </conditionalFormatting>
  <conditionalFormatting sqref="A11:B11">
    <cfRule type="expression" dxfId="49" priority="49" stopIfTrue="1">
      <formula>$AP$11=1</formula>
    </cfRule>
  </conditionalFormatting>
  <conditionalFormatting sqref="A10:B10">
    <cfRule type="expression" dxfId="48" priority="48" stopIfTrue="1">
      <formula>$AP$10=1</formula>
    </cfRule>
  </conditionalFormatting>
  <conditionalFormatting sqref="AE31">
    <cfRule type="expression" dxfId="47" priority="47" stopIfTrue="1">
      <formula>$AP$30</formula>
    </cfRule>
  </conditionalFormatting>
  <conditionalFormatting sqref="AC10:AF10 AC11:AC42">
    <cfRule type="expression" dxfId="46" priority="46" stopIfTrue="1">
      <formula>$AP$11=1</formula>
    </cfRule>
  </conditionalFormatting>
  <conditionalFormatting sqref="AC38 AE38">
    <cfRule type="expression" dxfId="45" priority="45" stopIfTrue="1">
      <formula>$AP$44=1</formula>
    </cfRule>
  </conditionalFormatting>
  <conditionalFormatting sqref="AC37 AE37">
    <cfRule type="expression" dxfId="44" priority="44" stopIfTrue="1">
      <formula>$AP$43=1</formula>
    </cfRule>
  </conditionalFormatting>
  <conditionalFormatting sqref="AE36">
    <cfRule type="expression" dxfId="43" priority="43" stopIfTrue="1">
      <formula>$AP$42=1</formula>
    </cfRule>
  </conditionalFormatting>
  <conditionalFormatting sqref="AE35">
    <cfRule type="expression" dxfId="42" priority="42" stopIfTrue="1">
      <formula>$AP$41=1</formula>
    </cfRule>
  </conditionalFormatting>
  <conditionalFormatting sqref="AE34">
    <cfRule type="expression" dxfId="41" priority="41" stopIfTrue="1">
      <formula>$AP$40=1</formula>
    </cfRule>
  </conditionalFormatting>
  <conditionalFormatting sqref="AE33">
    <cfRule type="expression" dxfId="40" priority="40" stopIfTrue="1">
      <formula>$AP$39=1</formula>
    </cfRule>
  </conditionalFormatting>
  <conditionalFormatting sqref="AE32">
    <cfRule type="expression" dxfId="39" priority="39" stopIfTrue="1">
      <formula>$AP$38=1</formula>
    </cfRule>
  </conditionalFormatting>
  <conditionalFormatting sqref="AE31">
    <cfRule type="expression" dxfId="38" priority="38" stopIfTrue="1">
      <formula>$AP$37=1</formula>
    </cfRule>
  </conditionalFormatting>
  <conditionalFormatting sqref="AE30">
    <cfRule type="expression" dxfId="37" priority="37" stopIfTrue="1">
      <formula>$AP$36=1</formula>
    </cfRule>
  </conditionalFormatting>
  <conditionalFormatting sqref="AE41">
    <cfRule type="expression" dxfId="36" priority="36" stopIfTrue="1">
      <formula>$AP$40=1</formula>
    </cfRule>
  </conditionalFormatting>
  <conditionalFormatting sqref="AE40">
    <cfRule type="expression" dxfId="35" priority="35" stopIfTrue="1">
      <formula>$AP$39=1</formula>
    </cfRule>
  </conditionalFormatting>
  <conditionalFormatting sqref="AE39">
    <cfRule type="expression" dxfId="34" priority="34" stopIfTrue="1">
      <formula>$AP$38=1</formula>
    </cfRule>
  </conditionalFormatting>
  <conditionalFormatting sqref="AE38">
    <cfRule type="expression" dxfId="33" priority="33" stopIfTrue="1">
      <formula>$AP$37=1</formula>
    </cfRule>
  </conditionalFormatting>
  <conditionalFormatting sqref="AE37">
    <cfRule type="expression" dxfId="32" priority="32" stopIfTrue="1">
      <formula>$AP$36=1</formula>
    </cfRule>
  </conditionalFormatting>
  <conditionalFormatting sqref="AD35:AF35">
    <cfRule type="expression" dxfId="31" priority="31" stopIfTrue="1">
      <formula>$AP$34=1</formula>
    </cfRule>
  </conditionalFormatting>
  <conditionalFormatting sqref="AE34:AF34">
    <cfRule type="expression" dxfId="30" priority="30" stopIfTrue="1">
      <formula>$AP$33=1</formula>
    </cfRule>
  </conditionalFormatting>
  <conditionalFormatting sqref="AD32:AF32">
    <cfRule type="expression" dxfId="29" priority="29" stopIfTrue="1">
      <formula>$AP$31=1</formula>
    </cfRule>
  </conditionalFormatting>
  <conditionalFormatting sqref="AD31:AF31">
    <cfRule type="expression" dxfId="28" priority="28" stopIfTrue="1">
      <formula>$AP$30</formula>
    </cfRule>
  </conditionalFormatting>
  <conditionalFormatting sqref="AD30 AF30">
    <cfRule type="expression" dxfId="27" priority="27" stopIfTrue="1">
      <formula>$AP$29=1</formula>
    </cfRule>
  </conditionalFormatting>
  <conditionalFormatting sqref="AD29 AF29">
    <cfRule type="expression" dxfId="26" priority="26" stopIfTrue="1">
      <formula>$AP$28=1</formula>
    </cfRule>
  </conditionalFormatting>
  <conditionalFormatting sqref="AD28 AF28">
    <cfRule type="expression" dxfId="25" priority="25" stopIfTrue="1">
      <formula>$AP$27=1</formula>
    </cfRule>
  </conditionalFormatting>
  <conditionalFormatting sqref="AD27 AF27">
    <cfRule type="expression" dxfId="24" priority="24" stopIfTrue="1">
      <formula>$AP$26=1</formula>
    </cfRule>
  </conditionalFormatting>
  <conditionalFormatting sqref="AD26 AF26">
    <cfRule type="expression" dxfId="23" priority="23" stopIfTrue="1">
      <formula>$AP$25=1</formula>
    </cfRule>
  </conditionalFormatting>
  <conditionalFormatting sqref="AD25 AF25">
    <cfRule type="expression" dxfId="22" priority="22" stopIfTrue="1">
      <formula>$AP$24=1</formula>
    </cfRule>
  </conditionalFormatting>
  <conditionalFormatting sqref="AD24 AF24">
    <cfRule type="expression" dxfId="21" priority="21" stopIfTrue="1">
      <formula>$AP$23=1</formula>
    </cfRule>
  </conditionalFormatting>
  <conditionalFormatting sqref="AD23 AF23">
    <cfRule type="expression" dxfId="20" priority="20" stopIfTrue="1">
      <formula>$AP$22=1</formula>
    </cfRule>
  </conditionalFormatting>
  <conditionalFormatting sqref="AD22 AF22">
    <cfRule type="expression" dxfId="19" priority="19" stopIfTrue="1">
      <formula>$AP$21=1</formula>
    </cfRule>
  </conditionalFormatting>
  <conditionalFormatting sqref="AD21 AF21">
    <cfRule type="expression" dxfId="18" priority="18" stopIfTrue="1">
      <formula>$AP$20=1</formula>
    </cfRule>
  </conditionalFormatting>
  <conditionalFormatting sqref="AD20 AF20">
    <cfRule type="expression" dxfId="17" priority="17" stopIfTrue="1">
      <formula>$AP$19=1</formula>
    </cfRule>
  </conditionalFormatting>
  <conditionalFormatting sqref="AD19 AF19">
    <cfRule type="expression" dxfId="16" priority="16" stopIfTrue="1">
      <formula>$AP$18=1</formula>
    </cfRule>
  </conditionalFormatting>
  <conditionalFormatting sqref="AD18 AF18">
    <cfRule type="expression" dxfId="15" priority="15" stopIfTrue="1">
      <formula>$AP$17=1</formula>
    </cfRule>
  </conditionalFormatting>
  <conditionalFormatting sqref="AD17 AF17">
    <cfRule type="expression" dxfId="14" priority="14" stopIfTrue="1">
      <formula>$AP$16=1</formula>
    </cfRule>
  </conditionalFormatting>
  <conditionalFormatting sqref="AD16 AF16">
    <cfRule type="expression" dxfId="13" priority="13" stopIfTrue="1">
      <formula>$AP$15=1</formula>
    </cfRule>
  </conditionalFormatting>
  <conditionalFormatting sqref="AD15 AF15">
    <cfRule type="expression" dxfId="12" priority="12" stopIfTrue="1">
      <formula>$AP$14=1</formula>
    </cfRule>
  </conditionalFormatting>
  <conditionalFormatting sqref="AD14 AF14">
    <cfRule type="expression" dxfId="11" priority="11" stopIfTrue="1">
      <formula>$AP$13=1</formula>
    </cfRule>
  </conditionalFormatting>
  <conditionalFormatting sqref="AE32">
    <cfRule type="expression" dxfId="10" priority="10" stopIfTrue="1">
      <formula>$AP$30</formula>
    </cfRule>
  </conditionalFormatting>
  <conditionalFormatting sqref="AC39 AE39">
    <cfRule type="expression" dxfId="9" priority="9" stopIfTrue="1">
      <formula>$AP$44=1</formula>
    </cfRule>
  </conditionalFormatting>
  <conditionalFormatting sqref="AC38 AE38">
    <cfRule type="expression" dxfId="8" priority="8" stopIfTrue="1">
      <formula>$AP$43=1</formula>
    </cfRule>
  </conditionalFormatting>
  <conditionalFormatting sqref="AE37">
    <cfRule type="expression" dxfId="7" priority="7" stopIfTrue="1">
      <formula>$AP$42=1</formula>
    </cfRule>
  </conditionalFormatting>
  <conditionalFormatting sqref="AE36">
    <cfRule type="expression" dxfId="6" priority="6" stopIfTrue="1">
      <formula>$AP$41=1</formula>
    </cfRule>
  </conditionalFormatting>
  <conditionalFormatting sqref="AE35">
    <cfRule type="expression" dxfId="5" priority="5" stopIfTrue="1">
      <formula>$AP$40=1</formula>
    </cfRule>
  </conditionalFormatting>
  <conditionalFormatting sqref="AE34">
    <cfRule type="expression" dxfId="4" priority="4" stopIfTrue="1">
      <formula>$AP$39=1</formula>
    </cfRule>
  </conditionalFormatting>
  <conditionalFormatting sqref="AE33">
    <cfRule type="expression" dxfId="3" priority="3" stopIfTrue="1">
      <formula>$AP$38=1</formula>
    </cfRule>
  </conditionalFormatting>
  <conditionalFormatting sqref="AE32">
    <cfRule type="expression" dxfId="2" priority="2" stopIfTrue="1">
      <formula>$AP$37=1</formula>
    </cfRule>
  </conditionalFormatting>
  <conditionalFormatting sqref="AE31">
    <cfRule type="expression" dxfId="1" priority="1" stopIfTrue="1">
      <formula>$AP$36=1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FECHA2005-10-31</vt:lpstr>
      <vt:lpstr>Fecha 2006-10-26</vt:lpstr>
      <vt:lpstr>fecha 2007-03-23</vt:lpstr>
      <vt:lpstr>Fecha 2007-10-25</vt:lpstr>
      <vt:lpstr>Fecha 2009-03-24</vt:lpstr>
      <vt:lpstr>Fecha 2009-11-28</vt:lpstr>
      <vt:lpstr>Fecha 2010-03-24</vt:lpstr>
      <vt:lpstr>Fecha 2010-05-18</vt:lpstr>
      <vt:lpstr>Fecha 2010-10-06</vt:lpstr>
      <vt:lpstr>Fecha 2011-03-08</vt:lpstr>
      <vt:lpstr>Fecha 2011-08-28</vt:lpstr>
      <vt:lpstr>Fecha 2011-12-05)</vt:lpstr>
      <vt:lpstr>Fecha 2013-06-04</vt:lpstr>
      <vt:lpstr>Fecha 2013-10-01</vt:lpstr>
      <vt:lpstr>Fecha 2014-08-19</vt:lpstr>
      <vt:lpstr>Fecha 2015-07-27</vt:lpstr>
      <vt:lpstr>Fecha 2016-05-19 </vt:lpstr>
      <vt:lpstr>Fecha 2016-09-15</vt:lpstr>
      <vt:lpstr>Fecha 2016-11-21</vt:lpstr>
      <vt:lpstr>PLANTILLA NAOI-NAOD</vt:lpstr>
      <vt:lpstr>2017-3-21</vt:lpstr>
      <vt:lpstr>2017-9-11</vt:lpstr>
      <vt:lpstr>2018-4-4</vt:lpstr>
      <vt:lpstr>2018-7-19</vt:lpstr>
      <vt:lpstr>2019-03-13</vt:lpstr>
      <vt:lpstr>2019-5-24</vt:lpstr>
      <vt:lpstr>2019-07-20</vt:lpstr>
      <vt:lpstr>2020-03-04</vt:lpstr>
      <vt:lpstr>2021-10-13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Jairo Ramos Montenegro</cp:lastModifiedBy>
  <cp:lastPrinted>2011-07-11T20:26:57Z</cp:lastPrinted>
  <dcterms:created xsi:type="dcterms:W3CDTF">1999-11-17T15:55:19Z</dcterms:created>
  <dcterms:modified xsi:type="dcterms:W3CDTF">2022-02-08T21:06:56Z</dcterms:modified>
</cp:coreProperties>
</file>