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14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5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16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17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charts/chart18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19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charts/chart21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charts/chart22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charts/chart23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charts/chart24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25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charts/chart26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charts/chart27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charts/chart28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charts/chart29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charts/chart30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charts/chart31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charts/chart32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charts/chart33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charts/chart34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charts/chart35.xml" ContentType="application/vnd.openxmlformats-officedocument.drawingml.chart+xml"/>
  <Override PartName="/xl/drawings/drawing70.xml" ContentType="application/vnd.openxmlformats-officedocument.drawingml.chartshapes+xml"/>
  <Override PartName="/xl/drawings/drawing71.xml" ContentType="application/vnd.openxmlformats-officedocument.drawing+xml"/>
  <Override PartName="/xl/charts/chart36.xml" ContentType="application/vnd.openxmlformats-officedocument.drawingml.chart+xml"/>
  <Override PartName="/xl/drawings/drawing72.xml" ContentType="application/vnd.openxmlformats-officedocument.drawingml.chartshapes+xml"/>
  <Override PartName="/xl/drawings/drawing73.xml" ContentType="application/vnd.openxmlformats-officedocument.drawing+xml"/>
  <Override PartName="/xl/charts/chart37.xml" ContentType="application/vnd.openxmlformats-officedocument.drawingml.chart+xml"/>
  <Override PartName="/xl/drawings/drawing74.xml" ContentType="application/vnd.openxmlformats-officedocument.drawingml.chartshapes+xml"/>
  <Override PartName="/xl/drawings/drawing75.xml" ContentType="application/vnd.openxmlformats-officedocument.drawing+xml"/>
  <Override PartName="/xl/charts/chart38.xml" ContentType="application/vnd.openxmlformats-officedocument.drawingml.chart+xml"/>
  <Override PartName="/xl/drawings/drawing7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.shortcut-targets-by-id\1-2khaLc_OuDJ92_Ixj1UE4SHFErjN8tk\Z\HIDROLOGIA_2021\Topografias_2021_actualizadas a 17-XI-2021\caqueta\terrestre\"/>
    </mc:Choice>
  </mc:AlternateContent>
  <bookViews>
    <workbookView xWindow="0" yWindow="0" windowWidth="28800" windowHeight="12330" tabRatio="777" firstSheet="32" activeTab="37"/>
  </bookViews>
  <sheets>
    <sheet name="Fecha 1995-07-09" sheetId="28" r:id="rId1"/>
    <sheet name="Fecha 1997-03-05" sheetId="29" r:id="rId2"/>
    <sheet name="Fecha 1998-06-10" sheetId="30" r:id="rId3"/>
    <sheet name="Fecha 1998-10-04" sheetId="31" r:id="rId4"/>
    <sheet name="Fecha 1999-10-25" sheetId="32" r:id="rId5"/>
    <sheet name="Fecha 2000-12-12" sheetId="33" r:id="rId6"/>
    <sheet name="Fecha 2001-12-05" sheetId="34" r:id="rId7"/>
    <sheet name="Fecha 2003-09-10" sheetId="24" r:id="rId8"/>
    <sheet name="Fecha 2005-04-15" sheetId="25" r:id="rId9"/>
    <sheet name="Fecha 2006-10-27" sheetId="21" r:id="rId10"/>
    <sheet name="Fecha 2007-11-01" sheetId="20" r:id="rId11"/>
    <sheet name="Fecha 2007-03-23" sheetId="26" r:id="rId12"/>
    <sheet name="Fecha 2009-03-22" sheetId="27" r:id="rId13"/>
    <sheet name="Fecha 2009-11-29" sheetId="35" r:id="rId14"/>
    <sheet name="Fecha 2010-03-22" sheetId="36" r:id="rId15"/>
    <sheet name="Fecha 2010-05-14" sheetId="37" r:id="rId16"/>
    <sheet name="Fecha 2010-10-09" sheetId="38" r:id="rId17"/>
    <sheet name="Fecha 2011-03-06" sheetId="39" r:id="rId18"/>
    <sheet name="Fecha 2011-08-28" sheetId="40" r:id="rId19"/>
    <sheet name="Fecha 2011-12-06" sheetId="41" r:id="rId20"/>
    <sheet name="Fecha 2013-05-29" sheetId="42" r:id="rId21"/>
    <sheet name="Fecha 2013-10-01" sheetId="43" r:id="rId22"/>
    <sheet name="Fecha 2014-06-25" sheetId="44" r:id="rId23"/>
    <sheet name="Fecha 2014-11-22" sheetId="45" r:id="rId24"/>
    <sheet name="Fecha 2015-05-12" sheetId="47" r:id="rId25"/>
    <sheet name="Fecha 2015-11-16" sheetId="46" r:id="rId26"/>
    <sheet name="2016-05-19" sheetId="49" r:id="rId27"/>
    <sheet name="2016-07-23" sheetId="48" r:id="rId28"/>
    <sheet name="2016-09-15" sheetId="51" r:id="rId29"/>
    <sheet name="PLANTILLA NAOI-NAOD" sheetId="52" r:id="rId30"/>
    <sheet name="2017-03-24" sheetId="53" r:id="rId31"/>
    <sheet name="2017-09-11" sheetId="54" r:id="rId32"/>
    <sheet name="2018-04-04" sheetId="55" r:id="rId33"/>
    <sheet name="2018-07-19" sheetId="56" r:id="rId34"/>
    <sheet name="2019-03-13" sheetId="57" r:id="rId35"/>
    <sheet name="2019-07-20" sheetId="58" r:id="rId36"/>
    <sheet name="2020-03-04" sheetId="59" r:id="rId37"/>
    <sheet name="2021-10-12" sheetId="60" r:id="rId38"/>
  </sheets>
  <externalReferences>
    <externalReference r:id="rId39"/>
  </externalReferences>
  <calcPr calcId="162913"/>
</workbook>
</file>

<file path=xl/calcChain.xml><?xml version="1.0" encoding="utf-8"?>
<calcChain xmlns="http://schemas.openxmlformats.org/spreadsheetml/2006/main">
  <c r="AC6" i="60" l="1"/>
  <c r="C62" i="60" l="1"/>
  <c r="A60" i="60"/>
  <c r="B58" i="60"/>
  <c r="B56" i="60"/>
  <c r="AO51" i="60"/>
  <c r="AN51" i="60"/>
  <c r="AM51" i="60"/>
  <c r="AL51" i="60"/>
  <c r="AI51" i="60"/>
  <c r="C51" i="60"/>
  <c r="AO50" i="60"/>
  <c r="AN50" i="60"/>
  <c r="AM50" i="60"/>
  <c r="AL50" i="60"/>
  <c r="AI50" i="60"/>
  <c r="C50" i="60"/>
  <c r="AO49" i="60"/>
  <c r="AN49" i="60"/>
  <c r="AM49" i="60"/>
  <c r="AL49" i="60"/>
  <c r="AI49" i="60"/>
  <c r="C49" i="60"/>
  <c r="AO48" i="60"/>
  <c r="AN48" i="60"/>
  <c r="AM48" i="60"/>
  <c r="AL48" i="60"/>
  <c r="AI48" i="60"/>
  <c r="C48" i="60"/>
  <c r="AO47" i="60"/>
  <c r="AN47" i="60"/>
  <c r="AM47" i="60"/>
  <c r="AL47" i="60"/>
  <c r="AI47" i="60"/>
  <c r="C47" i="60"/>
  <c r="AO46" i="60"/>
  <c r="AN46" i="60"/>
  <c r="AM46" i="60"/>
  <c r="AL46" i="60"/>
  <c r="AI46" i="60"/>
  <c r="C46" i="60"/>
  <c r="AO45" i="60"/>
  <c r="AN45" i="60"/>
  <c r="AM45" i="60"/>
  <c r="AL45" i="60"/>
  <c r="AI45" i="60"/>
  <c r="C45" i="60"/>
  <c r="AO44" i="60"/>
  <c r="AN44" i="60"/>
  <c r="AM44" i="60"/>
  <c r="AL44" i="60"/>
  <c r="AI44" i="60"/>
  <c r="C44" i="60"/>
  <c r="AO43" i="60"/>
  <c r="AN43" i="60"/>
  <c r="AM43" i="60"/>
  <c r="AL43" i="60"/>
  <c r="AI43" i="60"/>
  <c r="C43" i="60"/>
  <c r="AO42" i="60"/>
  <c r="AN42" i="60"/>
  <c r="AM42" i="60"/>
  <c r="AL42" i="60"/>
  <c r="AI42" i="60"/>
  <c r="C42" i="60"/>
  <c r="AO41" i="60"/>
  <c r="AN41" i="60"/>
  <c r="AM41" i="60"/>
  <c r="AL41" i="60"/>
  <c r="AI41" i="60"/>
  <c r="C41" i="60"/>
  <c r="AO40" i="60"/>
  <c r="AN40" i="60"/>
  <c r="AM40" i="60"/>
  <c r="AL40" i="60"/>
  <c r="AI40" i="60"/>
  <c r="C40" i="60"/>
  <c r="AO39" i="60"/>
  <c r="AN39" i="60"/>
  <c r="AM39" i="60"/>
  <c r="AL39" i="60"/>
  <c r="C39" i="60"/>
  <c r="AO38" i="60"/>
  <c r="AN38" i="60"/>
  <c r="AM38" i="60"/>
  <c r="AL38" i="60"/>
  <c r="C38" i="60"/>
  <c r="AO37" i="60"/>
  <c r="AN37" i="60"/>
  <c r="AM37" i="60"/>
  <c r="AL37" i="60"/>
  <c r="C37" i="60"/>
  <c r="AO36" i="60"/>
  <c r="AN36" i="60"/>
  <c r="AM36" i="60"/>
  <c r="AL36" i="60"/>
  <c r="C36" i="60"/>
  <c r="AO35" i="60"/>
  <c r="AN35" i="60"/>
  <c r="AM35" i="60"/>
  <c r="AL35" i="60"/>
  <c r="C35" i="60"/>
  <c r="AO34" i="60"/>
  <c r="AN34" i="60"/>
  <c r="AM34" i="60"/>
  <c r="AL34" i="60"/>
  <c r="AI34" i="60"/>
  <c r="AI35" i="60" s="1"/>
  <c r="AI36" i="60" s="1"/>
  <c r="AI37" i="60" s="1"/>
  <c r="AI38" i="60" s="1"/>
  <c r="AI39" i="60" s="1"/>
  <c r="C34" i="60"/>
  <c r="AO33" i="60"/>
  <c r="AN33" i="60"/>
  <c r="AM33" i="60"/>
  <c r="AL33" i="60"/>
  <c r="AI33" i="60"/>
  <c r="C33" i="60"/>
  <c r="AO32" i="60"/>
  <c r="AN32" i="60"/>
  <c r="AM32" i="60"/>
  <c r="AL32" i="60"/>
  <c r="AI32" i="60"/>
  <c r="C32" i="60"/>
  <c r="AO31" i="60"/>
  <c r="AN31" i="60"/>
  <c r="AM31" i="60"/>
  <c r="AL31" i="60"/>
  <c r="C31" i="60"/>
  <c r="AO30" i="60"/>
  <c r="AN30" i="60"/>
  <c r="AM30" i="60"/>
  <c r="AL30" i="60"/>
  <c r="C30" i="60"/>
  <c r="AM29" i="60"/>
  <c r="AL29" i="60"/>
  <c r="C29" i="60"/>
  <c r="AO28" i="60"/>
  <c r="AN28" i="60"/>
  <c r="AM28" i="60"/>
  <c r="AL28" i="60"/>
  <c r="C28" i="60"/>
  <c r="AO27" i="60"/>
  <c r="AN27" i="60"/>
  <c r="AM27" i="60"/>
  <c r="AL27" i="60"/>
  <c r="C27" i="60"/>
  <c r="AM26" i="60"/>
  <c r="AL26" i="60"/>
  <c r="C26" i="60"/>
  <c r="AO25" i="60"/>
  <c r="AN25" i="60"/>
  <c r="AM25" i="60"/>
  <c r="AL25" i="60"/>
  <c r="C25" i="60"/>
  <c r="AO24" i="60"/>
  <c r="AN24" i="60"/>
  <c r="AM24" i="60"/>
  <c r="AL24" i="60"/>
  <c r="C24" i="60"/>
  <c r="AO23" i="60"/>
  <c r="AN23" i="60"/>
  <c r="AM23" i="60"/>
  <c r="AL23" i="60"/>
  <c r="C23" i="60"/>
  <c r="AO22" i="60"/>
  <c r="AN22" i="60"/>
  <c r="AM22" i="60"/>
  <c r="AL22" i="60"/>
  <c r="C22" i="60"/>
  <c r="AO21" i="60"/>
  <c r="AN21" i="60"/>
  <c r="AM21" i="60"/>
  <c r="AL21" i="60"/>
  <c r="C21" i="60"/>
  <c r="AO20" i="60"/>
  <c r="AN20" i="60"/>
  <c r="AM20" i="60"/>
  <c r="AL20" i="60"/>
  <c r="C20" i="60"/>
  <c r="AO19" i="60"/>
  <c r="AN19" i="60"/>
  <c r="AM19" i="60"/>
  <c r="AL19" i="60"/>
  <c r="C19" i="60"/>
  <c r="AO18" i="60"/>
  <c r="AN18" i="60"/>
  <c r="AM18" i="60"/>
  <c r="AL18" i="60"/>
  <c r="C18" i="60"/>
  <c r="AO17" i="60"/>
  <c r="AN17" i="60"/>
  <c r="AM17" i="60"/>
  <c r="AL17" i="60"/>
  <c r="C17" i="60"/>
  <c r="AO16" i="60"/>
  <c r="AN16" i="60"/>
  <c r="AM16" i="60"/>
  <c r="AL16" i="60"/>
  <c r="C16" i="60"/>
  <c r="AO15" i="60"/>
  <c r="AN15" i="60"/>
  <c r="AM15" i="60"/>
  <c r="AL15" i="60"/>
  <c r="C15" i="60"/>
  <c r="AO14" i="60"/>
  <c r="AN14" i="60"/>
  <c r="AM14" i="60"/>
  <c r="AL14" i="60"/>
  <c r="C14" i="60"/>
  <c r="AO13" i="60"/>
  <c r="AN13" i="60"/>
  <c r="AM13" i="60"/>
  <c r="AL13" i="60"/>
  <c r="C13" i="60"/>
  <c r="AO12" i="60"/>
  <c r="AN12" i="60"/>
  <c r="AM12" i="60"/>
  <c r="AL12" i="60"/>
  <c r="C12" i="60"/>
  <c r="AO11" i="60"/>
  <c r="AN11" i="60"/>
  <c r="C11" i="60"/>
  <c r="AO10" i="60"/>
  <c r="AN10" i="60"/>
  <c r="AM10" i="60"/>
  <c r="AL10" i="60"/>
  <c r="C10" i="60"/>
  <c r="AO9" i="60"/>
  <c r="AN9" i="60"/>
  <c r="C9" i="60"/>
  <c r="AO8" i="60"/>
  <c r="AN8" i="60"/>
  <c r="AM8" i="60"/>
  <c r="AL8" i="60"/>
  <c r="C8" i="60"/>
  <c r="AO7" i="60"/>
  <c r="AN7" i="60"/>
  <c r="AM7" i="60"/>
  <c r="AL7" i="60"/>
  <c r="C7" i="60"/>
  <c r="AO6" i="60"/>
  <c r="AN6" i="60"/>
  <c r="AM6" i="60"/>
  <c r="AL6" i="60"/>
  <c r="AF6" i="60"/>
  <c r="A6" i="60" s="1"/>
  <c r="C6" i="60"/>
  <c r="AO5" i="60"/>
  <c r="AN5" i="60"/>
  <c r="AM5" i="60"/>
  <c r="AL5" i="60"/>
  <c r="AJ5" i="60"/>
  <c r="AJ6" i="60" s="1"/>
  <c r="AC5" i="60"/>
  <c r="AI5" i="60" s="1"/>
  <c r="C5" i="60"/>
  <c r="B5" i="60"/>
  <c r="A5" i="60"/>
  <c r="AH4" i="60"/>
  <c r="AI4" i="60" s="1"/>
  <c r="AI6" i="60" l="1"/>
  <c r="AH5" i="60"/>
  <c r="AD6" i="60" s="1"/>
  <c r="B6" i="60" s="1"/>
  <c r="AJ7" i="60"/>
  <c r="AK5" i="60"/>
  <c r="AF7" i="60"/>
  <c r="AK6" i="60" l="1"/>
  <c r="AH6" i="60"/>
  <c r="AD7" i="60" s="1"/>
  <c r="B7" i="60" s="1"/>
  <c r="A7" i="60"/>
  <c r="AF8" i="60"/>
  <c r="AJ8" i="60"/>
  <c r="C62" i="59"/>
  <c r="B58" i="59"/>
  <c r="B56" i="59"/>
  <c r="AO51" i="59"/>
  <c r="AN51" i="59"/>
  <c r="AM51" i="59"/>
  <c r="AL51" i="59"/>
  <c r="AI51" i="59"/>
  <c r="C51" i="59"/>
  <c r="AO50" i="59"/>
  <c r="AN50" i="59"/>
  <c r="AM50" i="59"/>
  <c r="AL50" i="59"/>
  <c r="AI50" i="59"/>
  <c r="C50" i="59"/>
  <c r="AO49" i="59"/>
  <c r="AN49" i="59"/>
  <c r="AM49" i="59"/>
  <c r="AL49" i="59"/>
  <c r="AI49" i="59"/>
  <c r="C49" i="59"/>
  <c r="AO48" i="59"/>
  <c r="AN48" i="59"/>
  <c r="AM48" i="59"/>
  <c r="AL48" i="59"/>
  <c r="AI48" i="59"/>
  <c r="C48" i="59"/>
  <c r="AO47" i="59"/>
  <c r="AN47" i="59"/>
  <c r="AM47" i="59"/>
  <c r="AL47" i="59"/>
  <c r="AI47" i="59"/>
  <c r="C47" i="59"/>
  <c r="AO46" i="59"/>
  <c r="AN46" i="59"/>
  <c r="AM46" i="59"/>
  <c r="AL46" i="59"/>
  <c r="AI46" i="59"/>
  <c r="C46" i="59"/>
  <c r="AO45" i="59"/>
  <c r="AN45" i="59"/>
  <c r="AM45" i="59"/>
  <c r="AL45" i="59"/>
  <c r="AI45" i="59"/>
  <c r="C45" i="59"/>
  <c r="AO44" i="59"/>
  <c r="AN44" i="59"/>
  <c r="AM44" i="59"/>
  <c r="AL44" i="59"/>
  <c r="AI44" i="59"/>
  <c r="C44" i="59"/>
  <c r="AO43" i="59"/>
  <c r="AN43" i="59"/>
  <c r="AM43" i="59"/>
  <c r="AL43" i="59"/>
  <c r="AI43" i="59"/>
  <c r="C43" i="59"/>
  <c r="AO42" i="59"/>
  <c r="AN42" i="59"/>
  <c r="AM42" i="59"/>
  <c r="AL42" i="59"/>
  <c r="AI42" i="59"/>
  <c r="C42" i="59"/>
  <c r="AO41" i="59"/>
  <c r="AN41" i="59"/>
  <c r="AM41" i="59"/>
  <c r="AL41" i="59"/>
  <c r="AI41" i="59"/>
  <c r="C41" i="59"/>
  <c r="AO40" i="59"/>
  <c r="AN40" i="59"/>
  <c r="AM40" i="59"/>
  <c r="AL40" i="59"/>
  <c r="AI40" i="59"/>
  <c r="C40" i="59"/>
  <c r="AO39" i="59"/>
  <c r="AN39" i="59"/>
  <c r="AM39" i="59"/>
  <c r="AL39" i="59"/>
  <c r="AI39" i="59"/>
  <c r="C39" i="59"/>
  <c r="AO38" i="59"/>
  <c r="AN38" i="59"/>
  <c r="AM38" i="59"/>
  <c r="AL38" i="59"/>
  <c r="AI38" i="59"/>
  <c r="C38" i="59"/>
  <c r="AO37" i="59"/>
  <c r="AN37" i="59"/>
  <c r="AM37" i="59"/>
  <c r="AL37" i="59"/>
  <c r="AI37" i="59"/>
  <c r="C37" i="59"/>
  <c r="AO36" i="59"/>
  <c r="AN36" i="59"/>
  <c r="AM36" i="59"/>
  <c r="AL36" i="59"/>
  <c r="AI36" i="59"/>
  <c r="C36" i="59"/>
  <c r="AO35" i="59"/>
  <c r="AN35" i="59"/>
  <c r="AM35" i="59"/>
  <c r="AL35" i="59"/>
  <c r="AI35" i="59"/>
  <c r="C35" i="59"/>
  <c r="AO34" i="59"/>
  <c r="AN34" i="59"/>
  <c r="AM34" i="59"/>
  <c r="AL34" i="59"/>
  <c r="AI34" i="59"/>
  <c r="C34" i="59"/>
  <c r="AO33" i="59"/>
  <c r="AN33" i="59"/>
  <c r="AM33" i="59"/>
  <c r="AL33" i="59"/>
  <c r="AI33" i="59"/>
  <c r="C33" i="59"/>
  <c r="AO32" i="59"/>
  <c r="AN32" i="59"/>
  <c r="AM32" i="59"/>
  <c r="AL32" i="59"/>
  <c r="C32" i="59"/>
  <c r="AO31" i="59"/>
  <c r="AN31" i="59"/>
  <c r="AM31" i="59"/>
  <c r="AL31" i="59"/>
  <c r="C31" i="59"/>
  <c r="AO30" i="59"/>
  <c r="AN30" i="59"/>
  <c r="AM30" i="59"/>
  <c r="AL30" i="59"/>
  <c r="C30" i="59"/>
  <c r="AM29" i="59"/>
  <c r="AL29" i="59"/>
  <c r="C29" i="59"/>
  <c r="AO28" i="59"/>
  <c r="AM28" i="59"/>
  <c r="AL28" i="59"/>
  <c r="AC28" i="59"/>
  <c r="C28" i="59"/>
  <c r="AO27" i="59"/>
  <c r="AM27" i="59"/>
  <c r="AL27" i="59"/>
  <c r="AC27" i="59"/>
  <c r="C27" i="59"/>
  <c r="AM26" i="59"/>
  <c r="AL26" i="59"/>
  <c r="AC26" i="59"/>
  <c r="C26" i="59"/>
  <c r="AM25" i="59"/>
  <c r="AL25" i="59"/>
  <c r="AC25" i="59"/>
  <c r="C25" i="59"/>
  <c r="AO24" i="59"/>
  <c r="AN24" i="59"/>
  <c r="AM24" i="59"/>
  <c r="AL24" i="59"/>
  <c r="AC24" i="59"/>
  <c r="C24" i="59"/>
  <c r="AO23" i="59"/>
  <c r="AN23" i="59"/>
  <c r="AM23" i="59"/>
  <c r="AL23" i="59"/>
  <c r="AC23" i="59"/>
  <c r="C23" i="59"/>
  <c r="AO22" i="59"/>
  <c r="AN22" i="59"/>
  <c r="AM22" i="59"/>
  <c r="AL22" i="59"/>
  <c r="AC22" i="59"/>
  <c r="C22" i="59"/>
  <c r="AO21" i="59"/>
  <c r="AN21" i="59"/>
  <c r="AM21" i="59"/>
  <c r="AL21" i="59"/>
  <c r="AC21" i="59"/>
  <c r="C21" i="59"/>
  <c r="AO20" i="59"/>
  <c r="AN20" i="59"/>
  <c r="AM20" i="59"/>
  <c r="AL20" i="59"/>
  <c r="AC20" i="59"/>
  <c r="C20" i="59"/>
  <c r="AO19" i="59"/>
  <c r="AN19" i="59"/>
  <c r="AM19" i="59"/>
  <c r="AL19" i="59"/>
  <c r="AC19" i="59"/>
  <c r="C19" i="59"/>
  <c r="AO18" i="59"/>
  <c r="AN18" i="59"/>
  <c r="AM18" i="59"/>
  <c r="AL18" i="59"/>
  <c r="AC18" i="59"/>
  <c r="C18" i="59"/>
  <c r="AO17" i="59"/>
  <c r="AN17" i="59"/>
  <c r="AM17" i="59"/>
  <c r="AL17" i="59"/>
  <c r="AC17" i="59"/>
  <c r="C17" i="59"/>
  <c r="AO16" i="59"/>
  <c r="AN16" i="59"/>
  <c r="AM16" i="59"/>
  <c r="AL16" i="59"/>
  <c r="AC16" i="59"/>
  <c r="C16" i="59"/>
  <c r="AO15" i="59"/>
  <c r="AN15" i="59"/>
  <c r="AM15" i="59"/>
  <c r="AL15" i="59"/>
  <c r="AC15" i="59"/>
  <c r="C15" i="59"/>
  <c r="AO14" i="59"/>
  <c r="AN14" i="59"/>
  <c r="AM14" i="59"/>
  <c r="AL14" i="59"/>
  <c r="AC14" i="59"/>
  <c r="C14" i="59"/>
  <c r="AO13" i="59"/>
  <c r="AN13" i="59"/>
  <c r="AM13" i="59"/>
  <c r="AL13" i="59"/>
  <c r="AC13" i="59"/>
  <c r="C13" i="59"/>
  <c r="AO12" i="59"/>
  <c r="AN12" i="59"/>
  <c r="AM12" i="59"/>
  <c r="AL12" i="59"/>
  <c r="AC12" i="59"/>
  <c r="C12" i="59"/>
  <c r="AO11" i="59"/>
  <c r="AN11" i="59"/>
  <c r="AJ11" i="59"/>
  <c r="AJ12" i="59" s="1"/>
  <c r="AC11" i="59"/>
  <c r="C11" i="59"/>
  <c r="AO10" i="59"/>
  <c r="AN10" i="59"/>
  <c r="AM10" i="59"/>
  <c r="AL10" i="59"/>
  <c r="AC10" i="59"/>
  <c r="C10" i="59"/>
  <c r="AO9" i="59"/>
  <c r="AN9" i="59"/>
  <c r="AM9" i="59"/>
  <c r="AL9" i="59"/>
  <c r="AC9" i="59"/>
  <c r="C9" i="59"/>
  <c r="AO8" i="59"/>
  <c r="AN8" i="59"/>
  <c r="AM8" i="59"/>
  <c r="AL8" i="59"/>
  <c r="AC8" i="59"/>
  <c r="C8" i="59"/>
  <c r="AO7" i="59"/>
  <c r="AN7" i="59"/>
  <c r="AM7" i="59"/>
  <c r="AL7" i="59"/>
  <c r="AC7" i="59"/>
  <c r="C7" i="59"/>
  <c r="AO6" i="59"/>
  <c r="AN6" i="59"/>
  <c r="AM6" i="59"/>
  <c r="AL6" i="59"/>
  <c r="AJ6" i="59"/>
  <c r="AJ7" i="59" s="1"/>
  <c r="AF6" i="59"/>
  <c r="AF7" i="59" s="1"/>
  <c r="AC6" i="59"/>
  <c r="C6" i="59"/>
  <c r="B6" i="59"/>
  <c r="A6" i="59"/>
  <c r="AO5" i="59"/>
  <c r="AN5" i="59"/>
  <c r="AM5" i="59"/>
  <c r="AL5" i="59"/>
  <c r="AJ5" i="59"/>
  <c r="AK5" i="59" s="1"/>
  <c r="AC5" i="59"/>
  <c r="AI5" i="59" s="1"/>
  <c r="AI6" i="59" s="1"/>
  <c r="AI7" i="59" s="1"/>
  <c r="AI8" i="59" s="1"/>
  <c r="AI9" i="59" s="1"/>
  <c r="AI10" i="59" s="1"/>
  <c r="AI11" i="59" s="1"/>
  <c r="AI12" i="59" s="1"/>
  <c r="AI13" i="59" s="1"/>
  <c r="AI14" i="59" s="1"/>
  <c r="AI15" i="59" s="1"/>
  <c r="AI16" i="59" s="1"/>
  <c r="AI17" i="59" s="1"/>
  <c r="AI18" i="59" s="1"/>
  <c r="AI19" i="59" s="1"/>
  <c r="AI20" i="59" s="1"/>
  <c r="AI21" i="59" s="1"/>
  <c r="AI22" i="59" s="1"/>
  <c r="AI23" i="59" s="1"/>
  <c r="AI24" i="59" s="1"/>
  <c r="AI25" i="59" s="1"/>
  <c r="AI26" i="59" s="1"/>
  <c r="AI27" i="59" s="1"/>
  <c r="AI28" i="59" s="1"/>
  <c r="C5" i="59"/>
  <c r="B5" i="59"/>
  <c r="A5" i="59"/>
  <c r="AH4" i="59"/>
  <c r="AI4" i="59" s="1"/>
  <c r="AP12" i="59" l="1"/>
  <c r="AK7" i="60"/>
  <c r="AC7" i="60"/>
  <c r="AI7" i="60" s="1"/>
  <c r="AH7" i="60" s="1"/>
  <c r="AD8" i="60" s="1"/>
  <c r="AF9" i="60"/>
  <c r="AM9" i="60" s="1"/>
  <c r="A8" i="60"/>
  <c r="AJ9" i="60"/>
  <c r="A7" i="59"/>
  <c r="AF8" i="59"/>
  <c r="AJ8" i="59"/>
  <c r="AH7" i="59"/>
  <c r="AD8" i="59" s="1"/>
  <c r="B8" i="59" s="1"/>
  <c r="AH5" i="59"/>
  <c r="AP13" i="59"/>
  <c r="AJ13" i="59"/>
  <c r="AK6" i="59"/>
  <c r="AH6" i="59"/>
  <c r="AD7" i="59" s="1"/>
  <c r="B7" i="59" s="1"/>
  <c r="C62" i="58"/>
  <c r="B58" i="58"/>
  <c r="B56" i="58"/>
  <c r="AO51" i="58"/>
  <c r="AN51" i="58"/>
  <c r="AM51" i="58"/>
  <c r="AL51" i="58"/>
  <c r="AI51" i="58"/>
  <c r="C51" i="58"/>
  <c r="AO50" i="58"/>
  <c r="AN50" i="58"/>
  <c r="AM50" i="58"/>
  <c r="AL50" i="58"/>
  <c r="AI50" i="58"/>
  <c r="C50" i="58"/>
  <c r="AO49" i="58"/>
  <c r="AN49" i="58"/>
  <c r="AM49" i="58"/>
  <c r="AL49" i="58"/>
  <c r="AI49" i="58"/>
  <c r="C49" i="58"/>
  <c r="AO48" i="58"/>
  <c r="AN48" i="58"/>
  <c r="AM48" i="58"/>
  <c r="AL48" i="58"/>
  <c r="AI48" i="58"/>
  <c r="C48" i="58"/>
  <c r="AO47" i="58"/>
  <c r="AN47" i="58"/>
  <c r="AM47" i="58"/>
  <c r="AL47" i="58"/>
  <c r="AI47" i="58"/>
  <c r="C47" i="58"/>
  <c r="AO46" i="58"/>
  <c r="AN46" i="58"/>
  <c r="AM46" i="58"/>
  <c r="AL46" i="58"/>
  <c r="AI46" i="58"/>
  <c r="C46" i="58"/>
  <c r="AO45" i="58"/>
  <c r="AN45" i="58"/>
  <c r="AM45" i="58"/>
  <c r="AL45" i="58"/>
  <c r="AI45" i="58"/>
  <c r="C45" i="58"/>
  <c r="AO44" i="58"/>
  <c r="AN44" i="58"/>
  <c r="AM44" i="58"/>
  <c r="AL44" i="58"/>
  <c r="AI44" i="58"/>
  <c r="C44" i="58"/>
  <c r="AO43" i="58"/>
  <c r="AN43" i="58"/>
  <c r="AM43" i="58"/>
  <c r="AL43" i="58"/>
  <c r="AI43" i="58"/>
  <c r="C43" i="58"/>
  <c r="AO42" i="58"/>
  <c r="AN42" i="58"/>
  <c r="AM42" i="58"/>
  <c r="AL42" i="58"/>
  <c r="AI42" i="58"/>
  <c r="C42" i="58"/>
  <c r="AO41" i="58"/>
  <c r="AN41" i="58"/>
  <c r="AM41" i="58"/>
  <c r="AL41" i="58"/>
  <c r="AI41" i="58"/>
  <c r="C41" i="58"/>
  <c r="AO40" i="58"/>
  <c r="AN40" i="58"/>
  <c r="AM40" i="58"/>
  <c r="AL40" i="58"/>
  <c r="AI40" i="58"/>
  <c r="C40" i="58"/>
  <c r="AO39" i="58"/>
  <c r="AN39" i="58"/>
  <c r="AM39" i="58"/>
  <c r="AL39" i="58"/>
  <c r="AI39" i="58"/>
  <c r="C39" i="58"/>
  <c r="AO38" i="58"/>
  <c r="AN38" i="58"/>
  <c r="AM38" i="58"/>
  <c r="AL38" i="58"/>
  <c r="AI38" i="58"/>
  <c r="C38" i="58"/>
  <c r="AO37" i="58"/>
  <c r="AN37" i="58"/>
  <c r="AM37" i="58"/>
  <c r="AL37" i="58"/>
  <c r="AI37" i="58"/>
  <c r="C37" i="58"/>
  <c r="AO36" i="58"/>
  <c r="AN36" i="58"/>
  <c r="AM36" i="58"/>
  <c r="AL36" i="58"/>
  <c r="AI36" i="58"/>
  <c r="C36" i="58"/>
  <c r="AO35" i="58"/>
  <c r="AN35" i="58"/>
  <c r="AM35" i="58"/>
  <c r="AL35" i="58"/>
  <c r="AI35" i="58"/>
  <c r="C35" i="58"/>
  <c r="AO34" i="58"/>
  <c r="AN34" i="58"/>
  <c r="AM34" i="58"/>
  <c r="AL34" i="58"/>
  <c r="AI34" i="58"/>
  <c r="C34" i="58"/>
  <c r="AO33" i="58"/>
  <c r="AN33" i="58"/>
  <c r="AM33" i="58"/>
  <c r="AL33" i="58"/>
  <c r="C33" i="58"/>
  <c r="AO32" i="58"/>
  <c r="AN32" i="58"/>
  <c r="AM32" i="58"/>
  <c r="AL32" i="58"/>
  <c r="C32" i="58"/>
  <c r="AO31" i="58"/>
  <c r="AN31" i="58"/>
  <c r="AM31" i="58"/>
  <c r="AL31" i="58"/>
  <c r="AC31" i="58"/>
  <c r="C31" i="58"/>
  <c r="AM30" i="58"/>
  <c r="AL30" i="58"/>
  <c r="AC30" i="58"/>
  <c r="C30" i="58"/>
  <c r="AM29" i="58"/>
  <c r="AL29" i="58"/>
  <c r="AC29" i="58"/>
  <c r="C29" i="58"/>
  <c r="AO28" i="58"/>
  <c r="AN28" i="58"/>
  <c r="AM28" i="58"/>
  <c r="AL28" i="58"/>
  <c r="AC28" i="58"/>
  <c r="C28" i="58"/>
  <c r="AO27" i="58"/>
  <c r="AN27" i="58"/>
  <c r="AM27" i="58"/>
  <c r="AL27" i="58"/>
  <c r="AC27" i="58"/>
  <c r="C27" i="58"/>
  <c r="AO26" i="58"/>
  <c r="AN26" i="58"/>
  <c r="AM26" i="58"/>
  <c r="AL26" i="58"/>
  <c r="AC26" i="58"/>
  <c r="C26" i="58"/>
  <c r="AO25" i="58"/>
  <c r="AN25" i="58"/>
  <c r="AM25" i="58"/>
  <c r="AL25" i="58"/>
  <c r="AC25" i="58"/>
  <c r="C25" i="58"/>
  <c r="AO24" i="58"/>
  <c r="AN24" i="58"/>
  <c r="AM24" i="58"/>
  <c r="AL24" i="58"/>
  <c r="AC24" i="58"/>
  <c r="C24" i="58"/>
  <c r="AO23" i="58"/>
  <c r="AN23" i="58"/>
  <c r="AM23" i="58"/>
  <c r="AL23" i="58"/>
  <c r="AC23" i="58"/>
  <c r="C23" i="58"/>
  <c r="AO22" i="58"/>
  <c r="AN22" i="58"/>
  <c r="AM22" i="58"/>
  <c r="AL22" i="58"/>
  <c r="AC22" i="58"/>
  <c r="C22" i="58"/>
  <c r="AO21" i="58"/>
  <c r="AN21" i="58"/>
  <c r="AM21" i="58"/>
  <c r="AL21" i="58"/>
  <c r="AC21" i="58"/>
  <c r="C21" i="58"/>
  <c r="AO20" i="58"/>
  <c r="AN20" i="58"/>
  <c r="AM20" i="58"/>
  <c r="AL20" i="58"/>
  <c r="AC20" i="58"/>
  <c r="C20" i="58"/>
  <c r="AO19" i="58"/>
  <c r="AN19" i="58"/>
  <c r="AM19" i="58"/>
  <c r="AL19" i="58"/>
  <c r="AC19" i="58"/>
  <c r="C19" i="58"/>
  <c r="AO18" i="58"/>
  <c r="AN18" i="58"/>
  <c r="AM18" i="58"/>
  <c r="AL18" i="58"/>
  <c r="AC18" i="58"/>
  <c r="C18" i="58"/>
  <c r="AO17" i="58"/>
  <c r="AN17" i="58"/>
  <c r="AM17" i="58"/>
  <c r="AL17" i="58"/>
  <c r="AC17" i="58"/>
  <c r="C17" i="58"/>
  <c r="AO16" i="58"/>
  <c r="AN16" i="58"/>
  <c r="AM16" i="58"/>
  <c r="AL16" i="58"/>
  <c r="AC16" i="58"/>
  <c r="C16" i="58"/>
  <c r="AO15" i="58"/>
  <c r="AN15" i="58"/>
  <c r="AM15" i="58"/>
  <c r="AL15" i="58"/>
  <c r="AC15" i="58"/>
  <c r="C15" i="58"/>
  <c r="AO14" i="58"/>
  <c r="AN14" i="58"/>
  <c r="AM14" i="58"/>
  <c r="AL14" i="58"/>
  <c r="AC14" i="58"/>
  <c r="C14" i="58"/>
  <c r="AO13" i="58"/>
  <c r="AN13" i="58"/>
  <c r="AM13" i="58"/>
  <c r="AL13" i="58"/>
  <c r="AC13" i="58"/>
  <c r="C13" i="58"/>
  <c r="AO12" i="58"/>
  <c r="AN12" i="58"/>
  <c r="AM12" i="58"/>
  <c r="AL12" i="58"/>
  <c r="AC12" i="58"/>
  <c r="C12" i="58"/>
  <c r="AO11" i="58"/>
  <c r="AN11" i="58"/>
  <c r="AJ11" i="58"/>
  <c r="AP12" i="58" s="1"/>
  <c r="AC11" i="58"/>
  <c r="C11" i="58"/>
  <c r="AO10" i="58"/>
  <c r="AN10" i="58"/>
  <c r="AM10" i="58"/>
  <c r="AL10" i="58"/>
  <c r="AC10" i="58"/>
  <c r="C10" i="58"/>
  <c r="AO9" i="58"/>
  <c r="AN9" i="58"/>
  <c r="AM9" i="58"/>
  <c r="AL9" i="58"/>
  <c r="AC9" i="58"/>
  <c r="C9" i="58"/>
  <c r="AO8" i="58"/>
  <c r="AN8" i="58"/>
  <c r="AM8" i="58"/>
  <c r="AL8" i="58"/>
  <c r="AC8" i="58"/>
  <c r="C8" i="58"/>
  <c r="AO7" i="58"/>
  <c r="AN7" i="58"/>
  <c r="AM7" i="58"/>
  <c r="AL7" i="58"/>
  <c r="AC7" i="58"/>
  <c r="C7" i="58"/>
  <c r="AO6" i="58"/>
  <c r="AN6" i="58"/>
  <c r="AM6" i="58"/>
  <c r="AL6" i="58"/>
  <c r="AJ6" i="58"/>
  <c r="AJ7" i="58" s="1"/>
  <c r="AJ8" i="58" s="1"/>
  <c r="AJ9" i="58" s="1"/>
  <c r="AF6" i="58"/>
  <c r="AF7" i="58" s="1"/>
  <c r="AF8" i="58" s="1"/>
  <c r="AC6" i="58"/>
  <c r="C6" i="58"/>
  <c r="B6" i="58"/>
  <c r="A6" i="58"/>
  <c r="AO5" i="58"/>
  <c r="AN5" i="58"/>
  <c r="AM5" i="58"/>
  <c r="AL5" i="58"/>
  <c r="AJ5" i="58"/>
  <c r="AC5" i="58"/>
  <c r="AI5" i="58" s="1"/>
  <c r="AI6" i="58" s="1"/>
  <c r="C5" i="58"/>
  <c r="B5" i="58"/>
  <c r="A5" i="58"/>
  <c r="AH4" i="58"/>
  <c r="AI4" i="58" s="1"/>
  <c r="AJ12" i="58" l="1"/>
  <c r="AJ13" i="58" s="1"/>
  <c r="AK6" i="58"/>
  <c r="AK8" i="60"/>
  <c r="B8" i="60"/>
  <c r="AC8" i="60"/>
  <c r="AI8" i="60" s="1"/>
  <c r="AH8" i="60" s="1"/>
  <c r="AD9" i="60" s="1"/>
  <c r="AJ10" i="60"/>
  <c r="AJ11" i="60" s="1"/>
  <c r="AF10" i="60"/>
  <c r="A9" i="60"/>
  <c r="AP14" i="59"/>
  <c r="AJ14" i="59"/>
  <c r="AK7" i="59"/>
  <c r="AF9" i="59"/>
  <c r="A8" i="59"/>
  <c r="AJ9" i="59"/>
  <c r="AK8" i="59"/>
  <c r="A7" i="58"/>
  <c r="AI7" i="58"/>
  <c r="AI8" i="58" s="1"/>
  <c r="AI9" i="58" s="1"/>
  <c r="AI10" i="58" s="1"/>
  <c r="AI11" i="58" s="1"/>
  <c r="AI12" i="58" s="1"/>
  <c r="AI13" i="58" s="1"/>
  <c r="AI14" i="58" s="1"/>
  <c r="AI15" i="58" s="1"/>
  <c r="AI16" i="58" s="1"/>
  <c r="AI17" i="58" s="1"/>
  <c r="AI18" i="58" s="1"/>
  <c r="AI19" i="58" s="1"/>
  <c r="AI20" i="58" s="1"/>
  <c r="AI21" i="58" s="1"/>
  <c r="AI22" i="58" s="1"/>
  <c r="AI23" i="58" s="1"/>
  <c r="AI24" i="58" s="1"/>
  <c r="AI25" i="58" s="1"/>
  <c r="AI26" i="58" s="1"/>
  <c r="AI27" i="58" s="1"/>
  <c r="AI28" i="58" s="1"/>
  <c r="AI29" i="58" s="1"/>
  <c r="AI30" i="58" s="1"/>
  <c r="AI31" i="58" s="1"/>
  <c r="AI32" i="58" s="1"/>
  <c r="AI33" i="58" s="1"/>
  <c r="AH6" i="58"/>
  <c r="AD7" i="58" s="1"/>
  <c r="B7" i="58" s="1"/>
  <c r="AJ10" i="58"/>
  <c r="AF9" i="58"/>
  <c r="A8" i="58"/>
  <c r="AJ14" i="58"/>
  <c r="AK5" i="58"/>
  <c r="AP13" i="58"/>
  <c r="AP14" i="58"/>
  <c r="AH5" i="58"/>
  <c r="AJ32" i="58"/>
  <c r="AJ33" i="58" s="1"/>
  <c r="AJ34" i="58" s="1"/>
  <c r="AJ35" i="58" s="1"/>
  <c r="AH34" i="58" s="1"/>
  <c r="B58" i="57"/>
  <c r="C62" i="57"/>
  <c r="B56" i="57"/>
  <c r="AO51" i="57"/>
  <c r="AN51" i="57"/>
  <c r="AM51" i="57"/>
  <c r="AL51" i="57"/>
  <c r="AI51" i="57"/>
  <c r="C51" i="57"/>
  <c r="AO50" i="57"/>
  <c r="AN50" i="57"/>
  <c r="AM50" i="57"/>
  <c r="AL50" i="57"/>
  <c r="AI50" i="57"/>
  <c r="C50" i="57"/>
  <c r="AO49" i="57"/>
  <c r="AN49" i="57"/>
  <c r="AM49" i="57"/>
  <c r="AL49" i="57"/>
  <c r="AI49" i="57"/>
  <c r="C49" i="57"/>
  <c r="AO48" i="57"/>
  <c r="AN48" i="57"/>
  <c r="AM48" i="57"/>
  <c r="AL48" i="57"/>
  <c r="AI48" i="57"/>
  <c r="C48" i="57"/>
  <c r="AO47" i="57"/>
  <c r="AN47" i="57"/>
  <c r="AM47" i="57"/>
  <c r="AL47" i="57"/>
  <c r="AI47" i="57"/>
  <c r="C47" i="57"/>
  <c r="AO46" i="57"/>
  <c r="AN46" i="57"/>
  <c r="AM46" i="57"/>
  <c r="AL46" i="57"/>
  <c r="AI46" i="57"/>
  <c r="C46" i="57"/>
  <c r="AO45" i="57"/>
  <c r="AN45" i="57"/>
  <c r="AM45" i="57"/>
  <c r="AL45" i="57"/>
  <c r="AI45" i="57"/>
  <c r="C45" i="57"/>
  <c r="AO44" i="57"/>
  <c r="AN44" i="57"/>
  <c r="AM44" i="57"/>
  <c r="AL44" i="57"/>
  <c r="AI44" i="57"/>
  <c r="C44" i="57"/>
  <c r="AO43" i="57"/>
  <c r="AN43" i="57"/>
  <c r="AM43" i="57"/>
  <c r="AL43" i="57"/>
  <c r="AI43" i="57"/>
  <c r="C43" i="57"/>
  <c r="AO42" i="57"/>
  <c r="AN42" i="57"/>
  <c r="AM42" i="57"/>
  <c r="AL42" i="57"/>
  <c r="AI42" i="57"/>
  <c r="C42" i="57"/>
  <c r="AO41" i="57"/>
  <c r="AN41" i="57"/>
  <c r="AM41" i="57"/>
  <c r="AL41" i="57"/>
  <c r="AI41" i="57"/>
  <c r="C41" i="57"/>
  <c r="AO40" i="57"/>
  <c r="AN40" i="57"/>
  <c r="AM40" i="57"/>
  <c r="AL40" i="57"/>
  <c r="AI40" i="57"/>
  <c r="C40" i="57"/>
  <c r="AO39" i="57"/>
  <c r="AN39" i="57"/>
  <c r="AM39" i="57"/>
  <c r="AL39" i="57"/>
  <c r="AI39" i="57"/>
  <c r="C39" i="57"/>
  <c r="AO38" i="57"/>
  <c r="AN38" i="57"/>
  <c r="AM38" i="57"/>
  <c r="AL38" i="57"/>
  <c r="AI38" i="57"/>
  <c r="C38" i="57"/>
  <c r="AO37" i="57"/>
  <c r="AN37" i="57"/>
  <c r="AM37" i="57"/>
  <c r="AL37" i="57"/>
  <c r="AI37" i="57"/>
  <c r="C37" i="57"/>
  <c r="AO36" i="57"/>
  <c r="AN36" i="57"/>
  <c r="AM36" i="57"/>
  <c r="AL36" i="57"/>
  <c r="AI36" i="57"/>
  <c r="C36" i="57"/>
  <c r="AO35" i="57"/>
  <c r="AN35" i="57"/>
  <c r="AM35" i="57"/>
  <c r="AL35" i="57"/>
  <c r="AI35" i="57"/>
  <c r="C35" i="57"/>
  <c r="AO34" i="57"/>
  <c r="AN34" i="57"/>
  <c r="AM34" i="57"/>
  <c r="AL34" i="57"/>
  <c r="AI34" i="57"/>
  <c r="C34" i="57"/>
  <c r="AO33" i="57"/>
  <c r="AN33" i="57"/>
  <c r="AM33" i="57"/>
  <c r="AL33" i="57"/>
  <c r="AJ33" i="57"/>
  <c r="AP34" i="57" s="1"/>
  <c r="C33" i="57"/>
  <c r="AO32" i="57"/>
  <c r="AN32" i="57"/>
  <c r="AM32" i="57"/>
  <c r="AL32" i="57"/>
  <c r="C32" i="57"/>
  <c r="AO31" i="57"/>
  <c r="AN31" i="57"/>
  <c r="AM31" i="57"/>
  <c r="AL31" i="57"/>
  <c r="AC31" i="57"/>
  <c r="C31" i="57"/>
  <c r="AM30" i="57"/>
  <c r="AL30" i="57"/>
  <c r="AC30" i="57"/>
  <c r="C30" i="57"/>
  <c r="AM29" i="57"/>
  <c r="AL29" i="57"/>
  <c r="AC29" i="57"/>
  <c r="C29" i="57"/>
  <c r="AO28" i="57"/>
  <c r="AN28" i="57"/>
  <c r="AM28" i="57"/>
  <c r="AL28" i="57"/>
  <c r="AC28" i="57"/>
  <c r="C28" i="57"/>
  <c r="AO27" i="57"/>
  <c r="AN27" i="57"/>
  <c r="AM27" i="57"/>
  <c r="AL27" i="57"/>
  <c r="AC27" i="57"/>
  <c r="C27" i="57"/>
  <c r="AO26" i="57"/>
  <c r="AN26" i="57"/>
  <c r="AM26" i="57"/>
  <c r="AL26" i="57"/>
  <c r="AC26" i="57"/>
  <c r="C26" i="57"/>
  <c r="AO25" i="57"/>
  <c r="AN25" i="57"/>
  <c r="AM25" i="57"/>
  <c r="AL25" i="57"/>
  <c r="AC25" i="57"/>
  <c r="C25" i="57"/>
  <c r="AO24" i="57"/>
  <c r="AN24" i="57"/>
  <c r="AM24" i="57"/>
  <c r="AL24" i="57"/>
  <c r="AC24" i="57"/>
  <c r="C24" i="57"/>
  <c r="AO23" i="57"/>
  <c r="AN23" i="57"/>
  <c r="AM23" i="57"/>
  <c r="AL23" i="57"/>
  <c r="AC23" i="57"/>
  <c r="C23" i="57"/>
  <c r="AO22" i="57"/>
  <c r="AN22" i="57"/>
  <c r="AM22" i="57"/>
  <c r="AL22" i="57"/>
  <c r="AC22" i="57"/>
  <c r="C22" i="57"/>
  <c r="AO21" i="57"/>
  <c r="AN21" i="57"/>
  <c r="AM21" i="57"/>
  <c r="AL21" i="57"/>
  <c r="AC21" i="57"/>
  <c r="C21" i="57"/>
  <c r="AO20" i="57"/>
  <c r="AN20" i="57"/>
  <c r="AM20" i="57"/>
  <c r="AL20" i="57"/>
  <c r="AC20" i="57"/>
  <c r="C20" i="57"/>
  <c r="AO19" i="57"/>
  <c r="AN19" i="57"/>
  <c r="AM19" i="57"/>
  <c r="AL19" i="57"/>
  <c r="AC19" i="57"/>
  <c r="C19" i="57"/>
  <c r="AO18" i="57"/>
  <c r="AN18" i="57"/>
  <c r="AM18" i="57"/>
  <c r="AL18" i="57"/>
  <c r="AC18" i="57"/>
  <c r="C18" i="57"/>
  <c r="AO17" i="57"/>
  <c r="AN17" i="57"/>
  <c r="AM17" i="57"/>
  <c r="AL17" i="57"/>
  <c r="AC17" i="57"/>
  <c r="C17" i="57"/>
  <c r="AO16" i="57"/>
  <c r="AN16" i="57"/>
  <c r="AM16" i="57"/>
  <c r="AL16" i="57"/>
  <c r="AC16" i="57"/>
  <c r="C16" i="57"/>
  <c r="AO15" i="57"/>
  <c r="AN15" i="57"/>
  <c r="AM15" i="57"/>
  <c r="AL15" i="57"/>
  <c r="AC15" i="57"/>
  <c r="C15" i="57"/>
  <c r="AO14" i="57"/>
  <c r="AN14" i="57"/>
  <c r="AM14" i="57"/>
  <c r="AL14" i="57"/>
  <c r="AC14" i="57"/>
  <c r="C14" i="57"/>
  <c r="AO13" i="57"/>
  <c r="AN13" i="57"/>
  <c r="AM13" i="57"/>
  <c r="AL13" i="57"/>
  <c r="AC13" i="57"/>
  <c r="C13" i="57"/>
  <c r="AO12" i="57"/>
  <c r="AN12" i="57"/>
  <c r="AM12" i="57"/>
  <c r="AL12" i="57"/>
  <c r="AC12" i="57"/>
  <c r="C12" i="57"/>
  <c r="AO11" i="57"/>
  <c r="AN11" i="57"/>
  <c r="AJ11" i="57"/>
  <c r="AP12" i="57" s="1"/>
  <c r="AC11" i="57"/>
  <c r="C11" i="57"/>
  <c r="AO10" i="57"/>
  <c r="AN10" i="57"/>
  <c r="AM10" i="57"/>
  <c r="AL10" i="57"/>
  <c r="AC10" i="57"/>
  <c r="C10" i="57"/>
  <c r="AO9" i="57"/>
  <c r="AN9" i="57"/>
  <c r="AM9" i="57"/>
  <c r="AL9" i="57"/>
  <c r="AC9" i="57"/>
  <c r="C9" i="57"/>
  <c r="AO8" i="57"/>
  <c r="AN8" i="57"/>
  <c r="AM8" i="57"/>
  <c r="AL8" i="57"/>
  <c r="AC8" i="57"/>
  <c r="C8" i="57"/>
  <c r="AO7" i="57"/>
  <c r="AN7" i="57"/>
  <c r="AM7" i="57"/>
  <c r="AL7" i="57"/>
  <c r="AC7" i="57"/>
  <c r="C7" i="57"/>
  <c r="AO6" i="57"/>
  <c r="AN6" i="57"/>
  <c r="AM6" i="57"/>
  <c r="AL6" i="57"/>
  <c r="AJ6" i="57"/>
  <c r="AJ7" i="57" s="1"/>
  <c r="AF6" i="57"/>
  <c r="AF7" i="57" s="1"/>
  <c r="A7" i="57" s="1"/>
  <c r="AC6" i="57"/>
  <c r="C6" i="57"/>
  <c r="A6" i="57"/>
  <c r="AO5" i="57"/>
  <c r="AN5" i="57"/>
  <c r="AM5" i="57"/>
  <c r="AL5" i="57"/>
  <c r="AJ5" i="57"/>
  <c r="AK5" i="57" s="1"/>
  <c r="AC5" i="57"/>
  <c r="AI5" i="57" s="1"/>
  <c r="C5" i="57"/>
  <c r="B5" i="57"/>
  <c r="A5" i="57"/>
  <c r="AH4" i="57"/>
  <c r="AI4" i="57" s="1"/>
  <c r="AJ34" i="57" l="1"/>
  <c r="AJ35" i="57" s="1"/>
  <c r="AK34" i="58"/>
  <c r="AH33" i="58"/>
  <c r="AP34" i="58"/>
  <c r="AP35" i="58"/>
  <c r="AC9" i="60"/>
  <c r="AI9" i="60" s="1"/>
  <c r="AL9" i="60"/>
  <c r="AK9" i="60"/>
  <c r="AH9" i="60" s="1"/>
  <c r="AD10" i="60" s="1"/>
  <c r="AK10" i="60" s="1"/>
  <c r="B9" i="60"/>
  <c r="AP12" i="60"/>
  <c r="AJ12" i="60"/>
  <c r="AF11" i="60"/>
  <c r="A10" i="60"/>
  <c r="AP11" i="60"/>
  <c r="AJ10" i="59"/>
  <c r="AJ15" i="59"/>
  <c r="AP15" i="59"/>
  <c r="AF10" i="59"/>
  <c r="A9" i="59"/>
  <c r="AH8" i="59"/>
  <c r="AD9" i="59" s="1"/>
  <c r="B9" i="59" s="1"/>
  <c r="AH8" i="58"/>
  <c r="AD9" i="58" s="1"/>
  <c r="B9" i="58" s="1"/>
  <c r="AJ15" i="58"/>
  <c r="AP15" i="58"/>
  <c r="AH7" i="58"/>
  <c r="AD8" i="58" s="1"/>
  <c r="A9" i="58"/>
  <c r="AF10" i="58"/>
  <c r="AK9" i="58"/>
  <c r="AH32" i="58"/>
  <c r="AP33" i="58"/>
  <c r="AH10" i="58"/>
  <c r="AD11" i="58" s="1"/>
  <c r="AP11" i="58"/>
  <c r="AK35" i="58"/>
  <c r="AP36" i="58"/>
  <c r="AJ36" i="58"/>
  <c r="AH35" i="58" s="1"/>
  <c r="AK7" i="58"/>
  <c r="AH9" i="58"/>
  <c r="AD10" i="58" s="1"/>
  <c r="B10" i="58" s="1"/>
  <c r="AI6" i="57"/>
  <c r="AI7" i="57" s="1"/>
  <c r="AI8" i="57" s="1"/>
  <c r="AI9" i="57" s="1"/>
  <c r="AI10" i="57" s="1"/>
  <c r="AI11" i="57" s="1"/>
  <c r="AI12" i="57" s="1"/>
  <c r="AI13" i="57" s="1"/>
  <c r="AI14" i="57" s="1"/>
  <c r="AI15" i="57" s="1"/>
  <c r="AI16" i="57" s="1"/>
  <c r="AI17" i="57" s="1"/>
  <c r="AI18" i="57" s="1"/>
  <c r="AI19" i="57" s="1"/>
  <c r="AI20" i="57" s="1"/>
  <c r="AI21" i="57" s="1"/>
  <c r="AI22" i="57" s="1"/>
  <c r="AI23" i="57" s="1"/>
  <c r="AI24" i="57" s="1"/>
  <c r="AI25" i="57" s="1"/>
  <c r="AI26" i="57" s="1"/>
  <c r="AI27" i="57" s="1"/>
  <c r="AI28" i="57" s="1"/>
  <c r="AI29" i="57" s="1"/>
  <c r="AI30" i="57" s="1"/>
  <c r="AI31" i="57" s="1"/>
  <c r="AI32" i="57" s="1"/>
  <c r="AI33" i="57" s="1"/>
  <c r="AH33" i="57" s="1"/>
  <c r="AH5" i="57"/>
  <c r="B6" i="57" s="1"/>
  <c r="AJ8" i="57"/>
  <c r="AF8" i="57"/>
  <c r="AJ30" i="57"/>
  <c r="AK34" i="57"/>
  <c r="AP35" i="57"/>
  <c r="AJ12" i="57"/>
  <c r="AJ13" i="60" l="1"/>
  <c r="AP13" i="60"/>
  <c r="B10" i="60"/>
  <c r="AC10" i="60"/>
  <c r="AI10" i="60" s="1"/>
  <c r="A11" i="60"/>
  <c r="AM11" i="60"/>
  <c r="AM4" i="60" s="1"/>
  <c r="AF12" i="60"/>
  <c r="AF11" i="59"/>
  <c r="A10" i="59"/>
  <c r="AH10" i="59"/>
  <c r="AD11" i="59" s="1"/>
  <c r="AP11" i="59"/>
  <c r="AJ16" i="59"/>
  <c r="AP16" i="59"/>
  <c r="AK9" i="59"/>
  <c r="AH9" i="59"/>
  <c r="AD10" i="59" s="1"/>
  <c r="B10" i="59" s="1"/>
  <c r="AK33" i="58"/>
  <c r="B8" i="58"/>
  <c r="AK8" i="58"/>
  <c r="AK10" i="58"/>
  <c r="AF11" i="58"/>
  <c r="A10" i="58"/>
  <c r="AP16" i="58"/>
  <c r="AJ16" i="58"/>
  <c r="AJ37" i="58"/>
  <c r="AH36" i="58" s="1"/>
  <c r="AP37" i="58"/>
  <c r="AK36" i="58"/>
  <c r="B11" i="58"/>
  <c r="AL11" i="58"/>
  <c r="AL4" i="58" s="1"/>
  <c r="B53" i="58" s="1"/>
  <c r="AK11" i="58"/>
  <c r="AK6" i="57"/>
  <c r="AH7" i="57"/>
  <c r="AD8" i="57" s="1"/>
  <c r="B8" i="57" s="1"/>
  <c r="AH6" i="57"/>
  <c r="AD7" i="57" s="1"/>
  <c r="B7" i="57" s="1"/>
  <c r="AJ31" i="57"/>
  <c r="AH30" i="57" s="1"/>
  <c r="AP31" i="57"/>
  <c r="AK35" i="57"/>
  <c r="AP36" i="57"/>
  <c r="AJ36" i="57"/>
  <c r="AH35" i="57" s="1"/>
  <c r="AP13" i="57"/>
  <c r="AJ13" i="57"/>
  <c r="AH34" i="57"/>
  <c r="AF9" i="57"/>
  <c r="A8" i="57"/>
  <c r="AJ9" i="57"/>
  <c r="C62" i="56"/>
  <c r="B58" i="56"/>
  <c r="B56" i="56"/>
  <c r="AO51" i="56"/>
  <c r="AN51" i="56"/>
  <c r="AM51" i="56"/>
  <c r="AL51" i="56"/>
  <c r="AI51" i="56"/>
  <c r="C51" i="56"/>
  <c r="AO50" i="56"/>
  <c r="AN50" i="56"/>
  <c r="AM50" i="56"/>
  <c r="AL50" i="56"/>
  <c r="AI50" i="56"/>
  <c r="C50" i="56"/>
  <c r="AO49" i="56"/>
  <c r="AN49" i="56"/>
  <c r="AM49" i="56"/>
  <c r="AL49" i="56"/>
  <c r="AI49" i="56"/>
  <c r="C49" i="56"/>
  <c r="AO48" i="56"/>
  <c r="AN48" i="56"/>
  <c r="AM48" i="56"/>
  <c r="AL48" i="56"/>
  <c r="AI48" i="56"/>
  <c r="C48" i="56"/>
  <c r="AO47" i="56"/>
  <c r="AN47" i="56"/>
  <c r="AM47" i="56"/>
  <c r="AL47" i="56"/>
  <c r="AI47" i="56"/>
  <c r="C47" i="56"/>
  <c r="AO46" i="56"/>
  <c r="AN46" i="56"/>
  <c r="AM46" i="56"/>
  <c r="AL46" i="56"/>
  <c r="AI46" i="56"/>
  <c r="C46" i="56"/>
  <c r="AO45" i="56"/>
  <c r="AN45" i="56"/>
  <c r="AM45" i="56"/>
  <c r="AL45" i="56"/>
  <c r="AI45" i="56"/>
  <c r="C45" i="56"/>
  <c r="AO44" i="56"/>
  <c r="AN44" i="56"/>
  <c r="AM44" i="56"/>
  <c r="AL44" i="56"/>
  <c r="AI44" i="56"/>
  <c r="C44" i="56"/>
  <c r="AO43" i="56"/>
  <c r="AN43" i="56"/>
  <c r="AM43" i="56"/>
  <c r="AL43" i="56"/>
  <c r="AI43" i="56"/>
  <c r="C43" i="56"/>
  <c r="AO42" i="56"/>
  <c r="AN42" i="56"/>
  <c r="AM42" i="56"/>
  <c r="AL42" i="56"/>
  <c r="AI42" i="56"/>
  <c r="C42" i="56"/>
  <c r="AO41" i="56"/>
  <c r="AN41" i="56"/>
  <c r="AM41" i="56"/>
  <c r="AL41" i="56"/>
  <c r="AI41" i="56"/>
  <c r="C41" i="56"/>
  <c r="AO40" i="56"/>
  <c r="AN40" i="56"/>
  <c r="AM40" i="56"/>
  <c r="AL40" i="56"/>
  <c r="AI40" i="56"/>
  <c r="C40" i="56"/>
  <c r="AO39" i="56"/>
  <c r="AN39" i="56"/>
  <c r="AM39" i="56"/>
  <c r="AL39" i="56"/>
  <c r="AI39" i="56"/>
  <c r="C39" i="56"/>
  <c r="AO38" i="56"/>
  <c r="AN38" i="56"/>
  <c r="AM38" i="56"/>
  <c r="AL38" i="56"/>
  <c r="AI38" i="56"/>
  <c r="C38" i="56"/>
  <c r="AO37" i="56"/>
  <c r="AN37" i="56"/>
  <c r="AM37" i="56"/>
  <c r="AL37" i="56"/>
  <c r="AI37" i="56"/>
  <c r="C37" i="56"/>
  <c r="AO36" i="56"/>
  <c r="AN36" i="56"/>
  <c r="AM36" i="56"/>
  <c r="AL36" i="56"/>
  <c r="AI36" i="56"/>
  <c r="C36" i="56"/>
  <c r="AO35" i="56"/>
  <c r="AN35" i="56"/>
  <c r="AM35" i="56"/>
  <c r="AL35" i="56"/>
  <c r="AI35" i="56"/>
  <c r="C35" i="56"/>
  <c r="AO34" i="56"/>
  <c r="AN34" i="56"/>
  <c r="AM34" i="56"/>
  <c r="AL34" i="56"/>
  <c r="AI34" i="56"/>
  <c r="C34" i="56"/>
  <c r="AO33" i="56"/>
  <c r="AN33" i="56"/>
  <c r="AM33" i="56"/>
  <c r="AL33" i="56"/>
  <c r="C33" i="56"/>
  <c r="AO32" i="56"/>
  <c r="AN32" i="56"/>
  <c r="AM32" i="56"/>
  <c r="AL32" i="56"/>
  <c r="C32" i="56"/>
  <c r="AO31" i="56"/>
  <c r="AN31" i="56"/>
  <c r="AM31" i="56"/>
  <c r="AL31" i="56"/>
  <c r="C31" i="56"/>
  <c r="AO30" i="56"/>
  <c r="AN30" i="56"/>
  <c r="AM30" i="56"/>
  <c r="AL30" i="56"/>
  <c r="C30" i="56"/>
  <c r="AM29" i="56"/>
  <c r="AL29" i="56"/>
  <c r="C29" i="56"/>
  <c r="AO28" i="56"/>
  <c r="AN28" i="56"/>
  <c r="AM28" i="56"/>
  <c r="AL28" i="56"/>
  <c r="C28" i="56"/>
  <c r="AO27" i="56"/>
  <c r="AN27" i="56"/>
  <c r="AM27" i="56"/>
  <c r="AL27" i="56"/>
  <c r="C27" i="56"/>
  <c r="AM26" i="56"/>
  <c r="AL26" i="56"/>
  <c r="C26" i="56"/>
  <c r="AO25" i="56"/>
  <c r="AN25" i="56"/>
  <c r="AM25" i="56"/>
  <c r="AL25" i="56"/>
  <c r="C25" i="56"/>
  <c r="AO24" i="56"/>
  <c r="AN24" i="56"/>
  <c r="AM24" i="56"/>
  <c r="AL24" i="56"/>
  <c r="C24" i="56"/>
  <c r="AO23" i="56"/>
  <c r="AN23" i="56"/>
  <c r="AM23" i="56"/>
  <c r="AL23" i="56"/>
  <c r="C23" i="56"/>
  <c r="AO22" i="56"/>
  <c r="AN22" i="56"/>
  <c r="AM22" i="56"/>
  <c r="AL22" i="56"/>
  <c r="C22" i="56"/>
  <c r="AO21" i="56"/>
  <c r="AN21" i="56"/>
  <c r="AM21" i="56"/>
  <c r="AL21" i="56"/>
  <c r="C21" i="56"/>
  <c r="AO20" i="56"/>
  <c r="AN20" i="56"/>
  <c r="AM20" i="56"/>
  <c r="AL20" i="56"/>
  <c r="C20" i="56"/>
  <c r="AO19" i="56"/>
  <c r="AN19" i="56"/>
  <c r="AM19" i="56"/>
  <c r="AL19" i="56"/>
  <c r="C19" i="56"/>
  <c r="AO18" i="56"/>
  <c r="AN18" i="56"/>
  <c r="AM18" i="56"/>
  <c r="AL18" i="56"/>
  <c r="C18" i="56"/>
  <c r="AO17" i="56"/>
  <c r="AN17" i="56"/>
  <c r="AM17" i="56"/>
  <c r="AL17" i="56"/>
  <c r="C17" i="56"/>
  <c r="AO16" i="56"/>
  <c r="AN16" i="56"/>
  <c r="AM16" i="56"/>
  <c r="AL16" i="56"/>
  <c r="C16" i="56"/>
  <c r="AO15" i="56"/>
  <c r="AN15" i="56"/>
  <c r="AM15" i="56"/>
  <c r="AL15" i="56"/>
  <c r="C15" i="56"/>
  <c r="AO14" i="56"/>
  <c r="AN14" i="56"/>
  <c r="AM14" i="56"/>
  <c r="AL14" i="56"/>
  <c r="C14" i="56"/>
  <c r="AO13" i="56"/>
  <c r="AN13" i="56"/>
  <c r="AM13" i="56"/>
  <c r="AL13" i="56"/>
  <c r="C13" i="56"/>
  <c r="AO12" i="56"/>
  <c r="AN12" i="56"/>
  <c r="AM12" i="56"/>
  <c r="AL12" i="56"/>
  <c r="C12" i="56"/>
  <c r="AO11" i="56"/>
  <c r="AN11" i="56"/>
  <c r="C11" i="56"/>
  <c r="AO10" i="56"/>
  <c r="AN10" i="56"/>
  <c r="AM10" i="56"/>
  <c r="AL10" i="56"/>
  <c r="C10" i="56"/>
  <c r="AO9" i="56"/>
  <c r="AN9" i="56"/>
  <c r="C9" i="56"/>
  <c r="AO8" i="56"/>
  <c r="AN8" i="56"/>
  <c r="AM8" i="56"/>
  <c r="AL8" i="56"/>
  <c r="C8" i="56"/>
  <c r="AO7" i="56"/>
  <c r="AN7" i="56"/>
  <c r="AM7" i="56"/>
  <c r="AL7" i="56"/>
  <c r="C7" i="56"/>
  <c r="AO6" i="56"/>
  <c r="AN6" i="56"/>
  <c r="AM6" i="56"/>
  <c r="AL6" i="56"/>
  <c r="AJ6" i="56"/>
  <c r="AF6" i="56"/>
  <c r="AF7" i="56" s="1"/>
  <c r="C6" i="56"/>
  <c r="A6" i="56"/>
  <c r="AO5" i="56"/>
  <c r="AN5" i="56"/>
  <c r="AM5" i="56"/>
  <c r="AL5" i="56"/>
  <c r="AJ5" i="56"/>
  <c r="AK5" i="56" s="1"/>
  <c r="AC5" i="56"/>
  <c r="AI5" i="56" s="1"/>
  <c r="AH5" i="56" s="1"/>
  <c r="AD6" i="56" s="1"/>
  <c r="B6" i="56" s="1"/>
  <c r="C5" i="56"/>
  <c r="B5" i="56"/>
  <c r="A5" i="56"/>
  <c r="AI4" i="56"/>
  <c r="AH4" i="56"/>
  <c r="AK8" i="57" l="1"/>
  <c r="AP14" i="60"/>
  <c r="AJ14" i="60"/>
  <c r="AH10" i="60"/>
  <c r="AD11" i="60" s="1"/>
  <c r="A12" i="60"/>
  <c r="AF13" i="60"/>
  <c r="AL11" i="59"/>
  <c r="AL4" i="59" s="1"/>
  <c r="B53" i="59" s="1"/>
  <c r="B11" i="59"/>
  <c r="AK11" i="59"/>
  <c r="AP17" i="59"/>
  <c r="AJ17" i="59"/>
  <c r="AK10" i="59"/>
  <c r="AF12" i="59"/>
  <c r="A11" i="59"/>
  <c r="AM11" i="59"/>
  <c r="AM4" i="59" s="1"/>
  <c r="A53" i="59" s="1"/>
  <c r="AF12" i="58"/>
  <c r="A11" i="58"/>
  <c r="AM11" i="58"/>
  <c r="AM4" i="58" s="1"/>
  <c r="A53" i="58" s="1"/>
  <c r="AH11" i="58"/>
  <c r="AD12" i="58" s="1"/>
  <c r="B12" i="58" s="1"/>
  <c r="E10" i="58" s="1"/>
  <c r="AK12" i="58"/>
  <c r="AP17" i="58"/>
  <c r="AJ17" i="58"/>
  <c r="AK37" i="58"/>
  <c r="AP38" i="58"/>
  <c r="AJ38" i="58"/>
  <c r="AH37" i="58" s="1"/>
  <c r="AD31" i="57"/>
  <c r="B31" i="57" s="1"/>
  <c r="AK7" i="57"/>
  <c r="AJ10" i="57"/>
  <c r="AH9" i="57" s="1"/>
  <c r="AD10" i="57" s="1"/>
  <c r="B10" i="57" s="1"/>
  <c r="AJ14" i="57"/>
  <c r="AP14" i="57"/>
  <c r="AH8" i="57"/>
  <c r="AD9" i="57" s="1"/>
  <c r="B9" i="57" s="1"/>
  <c r="AF10" i="57"/>
  <c r="A9" i="57"/>
  <c r="AJ37" i="57"/>
  <c r="AH36" i="57" s="1"/>
  <c r="AK36" i="57"/>
  <c r="AP37" i="57"/>
  <c r="AP32" i="57"/>
  <c r="AJ32" i="57"/>
  <c r="AH31" i="57" s="1"/>
  <c r="AI6" i="56"/>
  <c r="AC6" i="56"/>
  <c r="AK6" i="56"/>
  <c r="AF8" i="56"/>
  <c r="A7" i="56"/>
  <c r="AJ11" i="56"/>
  <c r="AJ7" i="56"/>
  <c r="AJ33" i="56"/>
  <c r="B56" i="55"/>
  <c r="B56" i="54"/>
  <c r="AP15" i="60" l="1"/>
  <c r="AJ15" i="60"/>
  <c r="AC11" i="60"/>
  <c r="AI11" i="60" s="1"/>
  <c r="AK11" i="60"/>
  <c r="AL11" i="60"/>
  <c r="AL4" i="60" s="1"/>
  <c r="B11" i="60"/>
  <c r="AF14" i="60"/>
  <c r="A13" i="60"/>
  <c r="AF13" i="59"/>
  <c r="A12" i="59"/>
  <c r="AH11" i="59"/>
  <c r="AD12" i="59" s="1"/>
  <c r="B12" i="59" s="1"/>
  <c r="E10" i="59" s="1"/>
  <c r="AK12" i="59"/>
  <c r="AP18" i="59"/>
  <c r="AJ18" i="59"/>
  <c r="AJ39" i="58"/>
  <c r="AH38" i="58" s="1"/>
  <c r="AP39" i="58"/>
  <c r="AK38" i="58"/>
  <c r="AJ18" i="58"/>
  <c r="AP18" i="58"/>
  <c r="AH12" i="58"/>
  <c r="AD13" i="58" s="1"/>
  <c r="B13" i="58" s="1"/>
  <c r="AK13" i="58"/>
  <c r="A12" i="58"/>
  <c r="AF13" i="58"/>
  <c r="AK31" i="57"/>
  <c r="AD32" i="57"/>
  <c r="B32" i="57" s="1"/>
  <c r="AF11" i="57"/>
  <c r="A10" i="57"/>
  <c r="AK9" i="57"/>
  <c r="AH32" i="57"/>
  <c r="AD33" i="57" s="1"/>
  <c r="AP33" i="57"/>
  <c r="AK37" i="57"/>
  <c r="AP38" i="57"/>
  <c r="AJ38" i="57"/>
  <c r="AH37" i="57" s="1"/>
  <c r="AJ15" i="57"/>
  <c r="AP15" i="57"/>
  <c r="AH10" i="57"/>
  <c r="AD11" i="57" s="1"/>
  <c r="AK10" i="57"/>
  <c r="AP11" i="57"/>
  <c r="AJ8" i="56"/>
  <c r="AJ9" i="56" s="1"/>
  <c r="AJ10" i="56" s="1"/>
  <c r="AP11" i="56" s="1"/>
  <c r="AF9" i="56"/>
  <c r="A8" i="56"/>
  <c r="AJ29" i="56"/>
  <c r="AJ30" i="56" s="1"/>
  <c r="AH6" i="56"/>
  <c r="AD7" i="56" s="1"/>
  <c r="AP12" i="56"/>
  <c r="AJ12" i="56"/>
  <c r="AP34" i="56"/>
  <c r="AJ34" i="56"/>
  <c r="C62" i="55"/>
  <c r="B58" i="55"/>
  <c r="AO51" i="55"/>
  <c r="AN51" i="55"/>
  <c r="AM51" i="55"/>
  <c r="AL51" i="55"/>
  <c r="C51" i="55"/>
  <c r="AO50" i="55"/>
  <c r="AN50" i="55"/>
  <c r="AM50" i="55"/>
  <c r="AL50" i="55"/>
  <c r="C50" i="55"/>
  <c r="AO49" i="55"/>
  <c r="AN49" i="55"/>
  <c r="AM49" i="55"/>
  <c r="AL49" i="55"/>
  <c r="C49" i="55"/>
  <c r="AO48" i="55"/>
  <c r="AN48" i="55"/>
  <c r="AM48" i="55"/>
  <c r="AL48" i="55"/>
  <c r="C48" i="55"/>
  <c r="AO47" i="55"/>
  <c r="AN47" i="55"/>
  <c r="AM47" i="55"/>
  <c r="AL47" i="55"/>
  <c r="C47" i="55"/>
  <c r="AO46" i="55"/>
  <c r="AN46" i="55"/>
  <c r="AM46" i="55"/>
  <c r="AL46" i="55"/>
  <c r="C46" i="55"/>
  <c r="AO45" i="55"/>
  <c r="AN45" i="55"/>
  <c r="AM45" i="55"/>
  <c r="AL45" i="55"/>
  <c r="C45" i="55"/>
  <c r="AO44" i="55"/>
  <c r="AN44" i="55"/>
  <c r="AM44" i="55"/>
  <c r="AL44" i="55"/>
  <c r="C44" i="55"/>
  <c r="AO43" i="55"/>
  <c r="AN43" i="55"/>
  <c r="AM43" i="55"/>
  <c r="AL43" i="55"/>
  <c r="C43" i="55"/>
  <c r="AO42" i="55"/>
  <c r="AN42" i="55"/>
  <c r="AM42" i="55"/>
  <c r="AL42" i="55"/>
  <c r="C42" i="55"/>
  <c r="AO41" i="55"/>
  <c r="AN41" i="55"/>
  <c r="AM41" i="55"/>
  <c r="AL41" i="55"/>
  <c r="C41" i="55"/>
  <c r="AO40" i="55"/>
  <c r="AN40" i="55"/>
  <c r="AM40" i="55"/>
  <c r="AL40" i="55"/>
  <c r="C40" i="55"/>
  <c r="AO39" i="55"/>
  <c r="AN39" i="55"/>
  <c r="AM39" i="55"/>
  <c r="AL39" i="55"/>
  <c r="C39" i="55"/>
  <c r="AO38" i="55"/>
  <c r="AN38" i="55"/>
  <c r="AM38" i="55"/>
  <c r="AL38" i="55"/>
  <c r="C38" i="55"/>
  <c r="AO37" i="55"/>
  <c r="AN37" i="55"/>
  <c r="AM37" i="55"/>
  <c r="AL37" i="55"/>
  <c r="C37" i="55"/>
  <c r="AO36" i="55"/>
  <c r="AN36" i="55"/>
  <c r="AM36" i="55"/>
  <c r="AL36" i="55"/>
  <c r="C36" i="55"/>
  <c r="AO35" i="55"/>
  <c r="AN35" i="55"/>
  <c r="AM35" i="55"/>
  <c r="AL35" i="55"/>
  <c r="C35" i="55"/>
  <c r="AO34" i="55"/>
  <c r="AN34" i="55"/>
  <c r="AM34" i="55"/>
  <c r="AL34" i="55"/>
  <c r="C34" i="55"/>
  <c r="AO33" i="55"/>
  <c r="AN33" i="55"/>
  <c r="AM33" i="55"/>
  <c r="AL33" i="55"/>
  <c r="C33" i="55"/>
  <c r="AM32" i="55"/>
  <c r="AL32" i="55"/>
  <c r="C32" i="55"/>
  <c r="AO31" i="55"/>
  <c r="AN31" i="55"/>
  <c r="AM31" i="55"/>
  <c r="AL31" i="55"/>
  <c r="C31" i="55"/>
  <c r="AO30" i="55"/>
  <c r="AN30" i="55"/>
  <c r="AM30" i="55"/>
  <c r="AL30" i="55"/>
  <c r="AC30" i="55"/>
  <c r="C30" i="55"/>
  <c r="AO29" i="55"/>
  <c r="AN29" i="55"/>
  <c r="AM29" i="55"/>
  <c r="AL29" i="55"/>
  <c r="AC29" i="55"/>
  <c r="C29" i="55"/>
  <c r="AO28" i="55"/>
  <c r="AN28" i="55"/>
  <c r="AM28" i="55"/>
  <c r="AL28" i="55"/>
  <c r="AC28" i="55"/>
  <c r="C28" i="55"/>
  <c r="AO27" i="55"/>
  <c r="AN27" i="55"/>
  <c r="AM27" i="55"/>
  <c r="AL27" i="55"/>
  <c r="AC27" i="55"/>
  <c r="C27" i="55"/>
  <c r="AM26" i="55"/>
  <c r="AL26" i="55"/>
  <c r="AC26" i="55"/>
  <c r="C26" i="55"/>
  <c r="AO25" i="55"/>
  <c r="AN25" i="55"/>
  <c r="AM25" i="55"/>
  <c r="AL25" i="55"/>
  <c r="AC25" i="55"/>
  <c r="C25" i="55"/>
  <c r="AO24" i="55"/>
  <c r="AN24" i="55"/>
  <c r="AM24" i="55"/>
  <c r="AL24" i="55"/>
  <c r="AC24" i="55"/>
  <c r="C24" i="55"/>
  <c r="AO23" i="55"/>
  <c r="AN23" i="55"/>
  <c r="AM23" i="55"/>
  <c r="AL23" i="55"/>
  <c r="AC23" i="55"/>
  <c r="C23" i="55"/>
  <c r="AO22" i="55"/>
  <c r="AN22" i="55"/>
  <c r="AM22" i="55"/>
  <c r="AL22" i="55"/>
  <c r="AC22" i="55"/>
  <c r="C22" i="55"/>
  <c r="AO21" i="55"/>
  <c r="AN21" i="55"/>
  <c r="AM21" i="55"/>
  <c r="AL21" i="55"/>
  <c r="AC21" i="55"/>
  <c r="C21" i="55"/>
  <c r="AO20" i="55"/>
  <c r="AN20" i="55"/>
  <c r="AM20" i="55"/>
  <c r="AL20" i="55"/>
  <c r="AC20" i="55"/>
  <c r="C20" i="55"/>
  <c r="AO19" i="55"/>
  <c r="AN19" i="55"/>
  <c r="AM19" i="55"/>
  <c r="AL19" i="55"/>
  <c r="AC19" i="55"/>
  <c r="C19" i="55"/>
  <c r="AO18" i="55"/>
  <c r="AN18" i="55"/>
  <c r="AM18" i="55"/>
  <c r="AL18" i="55"/>
  <c r="AC18" i="55"/>
  <c r="C18" i="55"/>
  <c r="AO17" i="55"/>
  <c r="AN17" i="55"/>
  <c r="AM17" i="55"/>
  <c r="AL17" i="55"/>
  <c r="AC17" i="55"/>
  <c r="C17" i="55"/>
  <c r="AO16" i="55"/>
  <c r="AN16" i="55"/>
  <c r="AM16" i="55"/>
  <c r="AL16" i="55"/>
  <c r="AC16" i="55"/>
  <c r="C16" i="55"/>
  <c r="AO15" i="55"/>
  <c r="AN15" i="55"/>
  <c r="AM15" i="55"/>
  <c r="AL15" i="55"/>
  <c r="AC15" i="55"/>
  <c r="C15" i="55"/>
  <c r="AO14" i="55"/>
  <c r="AN14" i="55"/>
  <c r="AM14" i="55"/>
  <c r="AL14" i="55"/>
  <c r="AC14" i="55"/>
  <c r="C14" i="55"/>
  <c r="AO13" i="55"/>
  <c r="AN13" i="55"/>
  <c r="AC13" i="55"/>
  <c r="C13" i="55"/>
  <c r="AO12" i="55"/>
  <c r="AN12" i="55"/>
  <c r="AM12" i="55"/>
  <c r="AL12" i="55"/>
  <c r="AC12" i="55"/>
  <c r="C12" i="55"/>
  <c r="AO11" i="55"/>
  <c r="AN11" i="55"/>
  <c r="AM11" i="55"/>
  <c r="AL11" i="55"/>
  <c r="AC11" i="55"/>
  <c r="C11" i="55"/>
  <c r="AO10" i="55"/>
  <c r="AN10" i="55"/>
  <c r="AM10" i="55"/>
  <c r="AL10" i="55"/>
  <c r="AC10" i="55"/>
  <c r="C10" i="55"/>
  <c r="AO9" i="55"/>
  <c r="AN9" i="55"/>
  <c r="AC9" i="55"/>
  <c r="C9" i="55"/>
  <c r="AO8" i="55"/>
  <c r="AN8" i="55"/>
  <c r="AM8" i="55"/>
  <c r="AL8" i="55"/>
  <c r="AC8" i="55"/>
  <c r="C8" i="55"/>
  <c r="AO7" i="55"/>
  <c r="AN7" i="55"/>
  <c r="AM7" i="55"/>
  <c r="AL7" i="55"/>
  <c r="AC7" i="55"/>
  <c r="C7" i="55"/>
  <c r="AO6" i="55"/>
  <c r="AN6" i="55"/>
  <c r="AM6" i="55"/>
  <c r="AL6" i="55"/>
  <c r="AJ6" i="55"/>
  <c r="AF6" i="55"/>
  <c r="AF7" i="55" s="1"/>
  <c r="AF8" i="55" s="1"/>
  <c r="AF9" i="55" s="1"/>
  <c r="AM9" i="55" s="1"/>
  <c r="AC6" i="55"/>
  <c r="C6" i="55"/>
  <c r="A6" i="55"/>
  <c r="AO5" i="55"/>
  <c r="AN5" i="55"/>
  <c r="AM5" i="55"/>
  <c r="AL5" i="55"/>
  <c r="AJ5" i="55"/>
  <c r="AK5" i="55" s="1"/>
  <c r="AC5" i="55"/>
  <c r="AI5" i="55" s="1"/>
  <c r="AI6" i="55" s="1"/>
  <c r="AI7" i="55" s="1"/>
  <c r="AI8" i="55" s="1"/>
  <c r="AI9" i="55" s="1"/>
  <c r="AI10" i="55" s="1"/>
  <c r="AI11" i="55" s="1"/>
  <c r="AI12" i="55" s="1"/>
  <c r="AI13" i="55" s="1"/>
  <c r="AI14" i="55" s="1"/>
  <c r="AI15" i="55" s="1"/>
  <c r="AI16" i="55" s="1"/>
  <c r="AI17" i="55" s="1"/>
  <c r="AI18" i="55" s="1"/>
  <c r="AI19" i="55" s="1"/>
  <c r="AI20" i="55" s="1"/>
  <c r="AI21" i="55" s="1"/>
  <c r="AI22" i="55" s="1"/>
  <c r="AI23" i="55" s="1"/>
  <c r="AI24" i="55" s="1"/>
  <c r="AI25" i="55" s="1"/>
  <c r="AI26" i="55" s="1"/>
  <c r="AI27" i="55" s="1"/>
  <c r="AI28" i="55" s="1"/>
  <c r="AI29" i="55" s="1"/>
  <c r="AI30" i="55" s="1"/>
  <c r="C5" i="55"/>
  <c r="B5" i="55"/>
  <c r="A5" i="55"/>
  <c r="AH4" i="55"/>
  <c r="AI4" i="55" s="1"/>
  <c r="AP31" i="56" l="1"/>
  <c r="AJ31" i="56"/>
  <c r="AJ16" i="60"/>
  <c r="AP16" i="60"/>
  <c r="AH11" i="60"/>
  <c r="AD12" i="60" s="1"/>
  <c r="AK12" i="60" s="1"/>
  <c r="AF15" i="60"/>
  <c r="A14" i="60"/>
  <c r="AH12" i="59"/>
  <c r="AD13" i="59" s="1"/>
  <c r="B13" i="59" s="1"/>
  <c r="AK13" i="59"/>
  <c r="AJ19" i="59"/>
  <c r="AP19" i="59"/>
  <c r="AF14" i="59"/>
  <c r="A13" i="59"/>
  <c r="AH13" i="58"/>
  <c r="AD14" i="58" s="1"/>
  <c r="B14" i="58" s="1"/>
  <c r="AK14" i="58"/>
  <c r="A13" i="58"/>
  <c r="AF14" i="58"/>
  <c r="AJ19" i="58"/>
  <c r="AP19" i="58"/>
  <c r="AK39" i="58"/>
  <c r="AP40" i="58"/>
  <c r="AJ40" i="58"/>
  <c r="AK32" i="57"/>
  <c r="B33" i="57"/>
  <c r="AK33" i="57"/>
  <c r="B11" i="57"/>
  <c r="AL11" i="57"/>
  <c r="AL4" i="57" s="1"/>
  <c r="B53" i="57" s="1"/>
  <c r="AK11" i="57"/>
  <c r="AJ39" i="57"/>
  <c r="AH38" i="57" s="1"/>
  <c r="AK38" i="57"/>
  <c r="AP39" i="57"/>
  <c r="AP16" i="57"/>
  <c r="AJ16" i="57"/>
  <c r="AF12" i="57"/>
  <c r="A11" i="57"/>
  <c r="AM11" i="57"/>
  <c r="AM4" i="57" s="1"/>
  <c r="A53" i="57" s="1"/>
  <c r="B7" i="56"/>
  <c r="AC7" i="56"/>
  <c r="AI7" i="56" s="1"/>
  <c r="AJ35" i="56"/>
  <c r="AH34" i="56" s="1"/>
  <c r="AP35" i="56"/>
  <c r="AF10" i="56"/>
  <c r="A9" i="56"/>
  <c r="AM9" i="56"/>
  <c r="AP13" i="56"/>
  <c r="AJ13" i="56"/>
  <c r="AK7" i="56"/>
  <c r="AP30" i="56"/>
  <c r="A7" i="55"/>
  <c r="AF10" i="55"/>
  <c r="A9" i="55"/>
  <c r="AJ7" i="55"/>
  <c r="AH5" i="55"/>
  <c r="AD6" i="55" s="1"/>
  <c r="B6" i="55" s="1"/>
  <c r="AH6" i="55"/>
  <c r="AD7" i="55" s="1"/>
  <c r="B7" i="55" s="1"/>
  <c r="A8" i="55"/>
  <c r="C62" i="54"/>
  <c r="B58" i="54"/>
  <c r="AO51" i="54"/>
  <c r="AN51" i="54"/>
  <c r="AM51" i="54"/>
  <c r="AL51" i="54"/>
  <c r="C51" i="54"/>
  <c r="AO50" i="54"/>
  <c r="AN50" i="54"/>
  <c r="AM50" i="54"/>
  <c r="AL50" i="54"/>
  <c r="C50" i="54"/>
  <c r="AO49" i="54"/>
  <c r="AN49" i="54"/>
  <c r="AM49" i="54"/>
  <c r="AL49" i="54"/>
  <c r="C49" i="54"/>
  <c r="AO48" i="54"/>
  <c r="AN48" i="54"/>
  <c r="AM48" i="54"/>
  <c r="AL48" i="54"/>
  <c r="C48" i="54"/>
  <c r="AO47" i="54"/>
  <c r="AN47" i="54"/>
  <c r="AM47" i="54"/>
  <c r="AL47" i="54"/>
  <c r="C47" i="54"/>
  <c r="AO46" i="54"/>
  <c r="AN46" i="54"/>
  <c r="AM46" i="54"/>
  <c r="AL46" i="54"/>
  <c r="C46" i="54"/>
  <c r="AO45" i="54"/>
  <c r="AN45" i="54"/>
  <c r="AM45" i="54"/>
  <c r="AL45" i="54"/>
  <c r="C45" i="54"/>
  <c r="AO44" i="54"/>
  <c r="AN44" i="54"/>
  <c r="AM44" i="54"/>
  <c r="AL44" i="54"/>
  <c r="C44" i="54"/>
  <c r="AO43" i="54"/>
  <c r="AN43" i="54"/>
  <c r="AM43" i="54"/>
  <c r="AL43" i="54"/>
  <c r="C43" i="54"/>
  <c r="AO42" i="54"/>
  <c r="AN42" i="54"/>
  <c r="AM42" i="54"/>
  <c r="AL42" i="54"/>
  <c r="C42" i="54"/>
  <c r="AO41" i="54"/>
  <c r="AN41" i="54"/>
  <c r="AM41" i="54"/>
  <c r="AL41" i="54"/>
  <c r="C41" i="54"/>
  <c r="AO40" i="54"/>
  <c r="AN40" i="54"/>
  <c r="AM40" i="54"/>
  <c r="AL40" i="54"/>
  <c r="C40" i="54"/>
  <c r="AO39" i="54"/>
  <c r="AN39" i="54"/>
  <c r="AM39" i="54"/>
  <c r="AL39" i="54"/>
  <c r="C39" i="54"/>
  <c r="AO38" i="54"/>
  <c r="AN38" i="54"/>
  <c r="AM38" i="54"/>
  <c r="AL38" i="54"/>
  <c r="C38" i="54"/>
  <c r="AO37" i="54"/>
  <c r="AN37" i="54"/>
  <c r="AM37" i="54"/>
  <c r="AL37" i="54"/>
  <c r="C37" i="54"/>
  <c r="AO36" i="54"/>
  <c r="AN36" i="54"/>
  <c r="AM36" i="54"/>
  <c r="AL36" i="54"/>
  <c r="C36" i="54"/>
  <c r="AO35" i="54"/>
  <c r="AN35" i="54"/>
  <c r="AM35" i="54"/>
  <c r="AL35" i="54"/>
  <c r="C35" i="54"/>
  <c r="AO34" i="54"/>
  <c r="AN34" i="54"/>
  <c r="AM34" i="54"/>
  <c r="AL34" i="54"/>
  <c r="C34" i="54"/>
  <c r="AO33" i="54"/>
  <c r="AN33" i="54"/>
  <c r="AM33" i="54"/>
  <c r="AL33" i="54"/>
  <c r="AC33" i="54"/>
  <c r="C33" i="54"/>
  <c r="AM32" i="54"/>
  <c r="AL32" i="54"/>
  <c r="AJ32" i="54"/>
  <c r="AJ33" i="54" s="1"/>
  <c r="AC32" i="54"/>
  <c r="C32" i="54"/>
  <c r="AO31" i="54"/>
  <c r="AN31" i="54"/>
  <c r="AM31" i="54"/>
  <c r="AL31" i="54"/>
  <c r="AC31" i="54"/>
  <c r="C31" i="54"/>
  <c r="AO30" i="54"/>
  <c r="AN30" i="54"/>
  <c r="AM30" i="54"/>
  <c r="AL30" i="54"/>
  <c r="AC30" i="54"/>
  <c r="C30" i="54"/>
  <c r="AM29" i="54"/>
  <c r="AL29" i="54"/>
  <c r="AC29" i="54"/>
  <c r="C29" i="54"/>
  <c r="AO28" i="54"/>
  <c r="AN28" i="54"/>
  <c r="AM28" i="54"/>
  <c r="AL28" i="54"/>
  <c r="AC28" i="54"/>
  <c r="C28" i="54"/>
  <c r="AO27" i="54"/>
  <c r="AN27" i="54"/>
  <c r="AM27" i="54"/>
  <c r="AL27" i="54"/>
  <c r="AC27" i="54"/>
  <c r="C27" i="54"/>
  <c r="AO26" i="54"/>
  <c r="AN26" i="54"/>
  <c r="AM26" i="54"/>
  <c r="AL26" i="54"/>
  <c r="AC26" i="54"/>
  <c r="C26" i="54"/>
  <c r="AO25" i="54"/>
  <c r="AN25" i="54"/>
  <c r="AM25" i="54"/>
  <c r="AL25" i="54"/>
  <c r="AC25" i="54"/>
  <c r="C25" i="54"/>
  <c r="AO24" i="54"/>
  <c r="AN24" i="54"/>
  <c r="AM24" i="54"/>
  <c r="AL24" i="54"/>
  <c r="AC24" i="54"/>
  <c r="C24" i="54"/>
  <c r="AO23" i="54"/>
  <c r="AN23" i="54"/>
  <c r="AM23" i="54"/>
  <c r="AL23" i="54"/>
  <c r="AC23" i="54"/>
  <c r="C23" i="54"/>
  <c r="AO22" i="54"/>
  <c r="AN22" i="54"/>
  <c r="AM22" i="54"/>
  <c r="AL22" i="54"/>
  <c r="AC22" i="54"/>
  <c r="C22" i="54"/>
  <c r="AO21" i="54"/>
  <c r="AN21" i="54"/>
  <c r="AM21" i="54"/>
  <c r="AL21" i="54"/>
  <c r="AC21" i="54"/>
  <c r="C21" i="54"/>
  <c r="AO20" i="54"/>
  <c r="AN20" i="54"/>
  <c r="AM20" i="54"/>
  <c r="AL20" i="54"/>
  <c r="AC20" i="54"/>
  <c r="C20" i="54"/>
  <c r="AO19" i="54"/>
  <c r="AN19" i="54"/>
  <c r="AM19" i="54"/>
  <c r="AL19" i="54"/>
  <c r="AC19" i="54"/>
  <c r="C19" i="54"/>
  <c r="AO18" i="54"/>
  <c r="AN18" i="54"/>
  <c r="AM18" i="54"/>
  <c r="AL18" i="54"/>
  <c r="AC18" i="54"/>
  <c r="C18" i="54"/>
  <c r="AO17" i="54"/>
  <c r="AN17" i="54"/>
  <c r="AM17" i="54"/>
  <c r="AL17" i="54"/>
  <c r="AC17" i="54"/>
  <c r="C17" i="54"/>
  <c r="AO16" i="54"/>
  <c r="AN16" i="54"/>
  <c r="AM16" i="54"/>
  <c r="AL16" i="54"/>
  <c r="AC16" i="54"/>
  <c r="C16" i="54"/>
  <c r="AO15" i="54"/>
  <c r="AN15" i="54"/>
  <c r="AM15" i="54"/>
  <c r="AL15" i="54"/>
  <c r="AC15" i="54"/>
  <c r="C15" i="54"/>
  <c r="AO14" i="54"/>
  <c r="AN14" i="54"/>
  <c r="AM14" i="54"/>
  <c r="AL14" i="54"/>
  <c r="AC14" i="54"/>
  <c r="C14" i="54"/>
  <c r="AO13" i="54"/>
  <c r="AN13" i="54"/>
  <c r="AC13" i="54"/>
  <c r="C13" i="54"/>
  <c r="AO12" i="54"/>
  <c r="AN12" i="54"/>
  <c r="AM12" i="54"/>
  <c r="AL12" i="54"/>
  <c r="AC12" i="54"/>
  <c r="C12" i="54"/>
  <c r="AO11" i="54"/>
  <c r="AN11" i="54"/>
  <c r="AC11" i="54"/>
  <c r="C11" i="54"/>
  <c r="AO10" i="54"/>
  <c r="AN10" i="54"/>
  <c r="AM10" i="54"/>
  <c r="AL10" i="54"/>
  <c r="AC10" i="54"/>
  <c r="C10" i="54"/>
  <c r="AO9" i="54"/>
  <c r="AN9" i="54"/>
  <c r="AM9" i="54"/>
  <c r="AL9" i="54"/>
  <c r="AC9" i="54"/>
  <c r="C9" i="54"/>
  <c r="AO8" i="54"/>
  <c r="AN8" i="54"/>
  <c r="AM8" i="54"/>
  <c r="AL8" i="54"/>
  <c r="AC8" i="54"/>
  <c r="C8" i="54"/>
  <c r="AO7" i="54"/>
  <c r="AN7" i="54"/>
  <c r="AM7" i="54"/>
  <c r="AL7" i="54"/>
  <c r="AC7" i="54"/>
  <c r="C7" i="54"/>
  <c r="AO6" i="54"/>
  <c r="AN6" i="54"/>
  <c r="AM6" i="54"/>
  <c r="AL6" i="54"/>
  <c r="AJ6" i="54"/>
  <c r="AJ7" i="54" s="1"/>
  <c r="AF6" i="54"/>
  <c r="AC6" i="54"/>
  <c r="C6" i="54"/>
  <c r="AO5" i="54"/>
  <c r="AN5" i="54"/>
  <c r="AM5" i="54"/>
  <c r="AL5" i="54"/>
  <c r="AJ5" i="54"/>
  <c r="AC5" i="54"/>
  <c r="AI5" i="54" s="1"/>
  <c r="AI6" i="54" s="1"/>
  <c r="C5" i="54"/>
  <c r="B5" i="54"/>
  <c r="A5" i="54"/>
  <c r="AH4" i="54"/>
  <c r="AI4" i="54" s="1"/>
  <c r="AJ32" i="56" l="1"/>
  <c r="AP32" i="56"/>
  <c r="AP17" i="60"/>
  <c r="AJ17" i="60"/>
  <c r="B12" i="60"/>
  <c r="E10" i="60" s="1"/>
  <c r="AC12" i="60"/>
  <c r="AI12" i="60" s="1"/>
  <c r="AH12" i="60" s="1"/>
  <c r="AD13" i="60" s="1"/>
  <c r="AK13" i="60" s="1"/>
  <c r="AF16" i="60"/>
  <c r="A15" i="60"/>
  <c r="AJ20" i="59"/>
  <c r="AP20" i="59"/>
  <c r="AH13" i="59"/>
  <c r="AD14" i="59" s="1"/>
  <c r="B14" i="59" s="1"/>
  <c r="AK14" i="59"/>
  <c r="AF15" i="59"/>
  <c r="A14" i="59"/>
  <c r="AF15" i="58"/>
  <c r="A14" i="58"/>
  <c r="AH14" i="58"/>
  <c r="AD15" i="58" s="1"/>
  <c r="B15" i="58" s="1"/>
  <c r="AK15" i="58"/>
  <c r="AJ41" i="58"/>
  <c r="AH40" i="58" s="1"/>
  <c r="AP41" i="58"/>
  <c r="AK40" i="58"/>
  <c r="AH39" i="58"/>
  <c r="AP20" i="58"/>
  <c r="AJ20" i="58"/>
  <c r="AK12" i="57"/>
  <c r="AH11" i="57"/>
  <c r="AD12" i="57" s="1"/>
  <c r="B12" i="57" s="1"/>
  <c r="E10" i="57" s="1"/>
  <c r="AF13" i="57"/>
  <c r="A12" i="57"/>
  <c r="AK39" i="57"/>
  <c r="AP40" i="57"/>
  <c r="AJ40" i="57"/>
  <c r="AP17" i="57"/>
  <c r="AJ17" i="57"/>
  <c r="AH7" i="56"/>
  <c r="AD8" i="56" s="1"/>
  <c r="AJ14" i="56"/>
  <c r="AP14" i="56"/>
  <c r="AF11" i="56"/>
  <c r="AM11" i="56" s="1"/>
  <c r="AM4" i="56" s="1"/>
  <c r="A53" i="56" s="1"/>
  <c r="A10" i="56"/>
  <c r="AK35" i="56"/>
  <c r="AP36" i="56"/>
  <c r="AJ36" i="56"/>
  <c r="AH35" i="56" s="1"/>
  <c r="AJ8" i="55"/>
  <c r="AH7" i="55" s="1"/>
  <c r="AD8" i="55" s="1"/>
  <c r="B8" i="55" s="1"/>
  <c r="AK7" i="55"/>
  <c r="AF11" i="55"/>
  <c r="A10" i="55"/>
  <c r="AK6" i="55"/>
  <c r="A6" i="54"/>
  <c r="AF7" i="54"/>
  <c r="AI7" i="54"/>
  <c r="AI8" i="54" s="1"/>
  <c r="AI9" i="54" s="1"/>
  <c r="AI10" i="54" s="1"/>
  <c r="AI11" i="54" s="1"/>
  <c r="AI12" i="54" s="1"/>
  <c r="AI13" i="54" s="1"/>
  <c r="AI14" i="54" s="1"/>
  <c r="AI15" i="54" s="1"/>
  <c r="AI16" i="54" s="1"/>
  <c r="AI17" i="54" s="1"/>
  <c r="AI18" i="54" s="1"/>
  <c r="AI19" i="54" s="1"/>
  <c r="AI20" i="54" s="1"/>
  <c r="AI21" i="54" s="1"/>
  <c r="AI22" i="54" s="1"/>
  <c r="AI23" i="54" s="1"/>
  <c r="AI24" i="54" s="1"/>
  <c r="AI25" i="54" s="1"/>
  <c r="AI26" i="54" s="1"/>
  <c r="AI27" i="54" s="1"/>
  <c r="AI28" i="54" s="1"/>
  <c r="AI29" i="54" s="1"/>
  <c r="AI30" i="54" s="1"/>
  <c r="AI31" i="54" s="1"/>
  <c r="AI32" i="54" s="1"/>
  <c r="AI33" i="54" s="1"/>
  <c r="AH6" i="54"/>
  <c r="AD7" i="54" s="1"/>
  <c r="B7" i="54" s="1"/>
  <c r="AJ34" i="54"/>
  <c r="AJ13" i="54"/>
  <c r="AP33" i="54"/>
  <c r="AP34" i="54"/>
  <c r="AH5" i="54"/>
  <c r="AD6" i="54" s="1"/>
  <c r="B6" i="54" s="1"/>
  <c r="AJ8" i="54"/>
  <c r="AK5" i="54"/>
  <c r="AC33" i="53"/>
  <c r="AH7" i="54" l="1"/>
  <c r="AD8" i="54" s="1"/>
  <c r="B8" i="54" s="1"/>
  <c r="AP33" i="56"/>
  <c r="AP18" i="60"/>
  <c r="AJ18" i="60"/>
  <c r="B13" i="60"/>
  <c r="AC13" i="60"/>
  <c r="AI13" i="60" s="1"/>
  <c r="AH13" i="60" s="1"/>
  <c r="AD14" i="60" s="1"/>
  <c r="AK14" i="60" s="1"/>
  <c r="AF17" i="60"/>
  <c r="A16" i="60"/>
  <c r="AF16" i="59"/>
  <c r="A15" i="59"/>
  <c r="AH14" i="59"/>
  <c r="AD15" i="59" s="1"/>
  <c r="B15" i="59" s="1"/>
  <c r="AK15" i="59"/>
  <c r="AP21" i="59"/>
  <c r="AJ21" i="59"/>
  <c r="AK41" i="58"/>
  <c r="AP42" i="58"/>
  <c r="AJ42" i="58"/>
  <c r="AH41" i="58" s="1"/>
  <c r="AF16" i="58"/>
  <c r="A15" i="58"/>
  <c r="AP21" i="58"/>
  <c r="AJ21" i="58"/>
  <c r="AH15" i="58"/>
  <c r="AD16" i="58" s="1"/>
  <c r="B16" i="58" s="1"/>
  <c r="AK16" i="58"/>
  <c r="AH12" i="57"/>
  <c r="AD13" i="57" s="1"/>
  <c r="B13" i="57" s="1"/>
  <c r="AK13" i="57"/>
  <c r="AJ18" i="57"/>
  <c r="AP18" i="57"/>
  <c r="AJ41" i="57"/>
  <c r="AH40" i="57" s="1"/>
  <c r="AK40" i="57"/>
  <c r="AP41" i="57"/>
  <c r="AH39" i="57"/>
  <c r="AF14" i="57"/>
  <c r="A13" i="57"/>
  <c r="B8" i="56"/>
  <c r="AC8" i="56"/>
  <c r="AI8" i="56" s="1"/>
  <c r="AK8" i="56"/>
  <c r="AF12" i="56"/>
  <c r="A11" i="56"/>
  <c r="AJ37" i="56"/>
  <c r="AH36" i="56" s="1"/>
  <c r="AP37" i="56"/>
  <c r="AK36" i="56"/>
  <c r="AJ15" i="56"/>
  <c r="AP15" i="56"/>
  <c r="A11" i="55"/>
  <c r="AF12" i="55"/>
  <c r="AK8" i="55"/>
  <c r="AJ9" i="55"/>
  <c r="AF8" i="54"/>
  <c r="A7" i="54"/>
  <c r="AH33" i="54"/>
  <c r="AK7" i="54"/>
  <c r="AH32" i="54"/>
  <c r="AD33" i="54" s="1"/>
  <c r="AK6" i="54"/>
  <c r="AP35" i="54"/>
  <c r="AJ35" i="54"/>
  <c r="AK8" i="54"/>
  <c r="AJ9" i="54"/>
  <c r="AJ14" i="54"/>
  <c r="AP14" i="54"/>
  <c r="C62" i="53"/>
  <c r="B58" i="53"/>
  <c r="B56" i="53"/>
  <c r="AO51" i="53"/>
  <c r="AN51" i="53"/>
  <c r="AM51" i="53"/>
  <c r="AL51" i="53"/>
  <c r="C51" i="53"/>
  <c r="AO50" i="53"/>
  <c r="AN50" i="53"/>
  <c r="AM50" i="53"/>
  <c r="AL50" i="53"/>
  <c r="C50" i="53"/>
  <c r="AO49" i="53"/>
  <c r="AN49" i="53"/>
  <c r="AM49" i="53"/>
  <c r="AL49" i="53"/>
  <c r="C49" i="53"/>
  <c r="AO48" i="53"/>
  <c r="AN48" i="53"/>
  <c r="AM48" i="53"/>
  <c r="AL48" i="53"/>
  <c r="C48" i="53"/>
  <c r="AO47" i="53"/>
  <c r="AN47" i="53"/>
  <c r="AM47" i="53"/>
  <c r="AL47" i="53"/>
  <c r="C47" i="53"/>
  <c r="AO46" i="53"/>
  <c r="AN46" i="53"/>
  <c r="AM46" i="53"/>
  <c r="AL46" i="53"/>
  <c r="C46" i="53"/>
  <c r="AO45" i="53"/>
  <c r="AN45" i="53"/>
  <c r="AM45" i="53"/>
  <c r="AL45" i="53"/>
  <c r="C45" i="53"/>
  <c r="AO44" i="53"/>
  <c r="AN44" i="53"/>
  <c r="AM44" i="53"/>
  <c r="AL44" i="53"/>
  <c r="C44" i="53"/>
  <c r="AO43" i="53"/>
  <c r="AN43" i="53"/>
  <c r="AM43" i="53"/>
  <c r="AL43" i="53"/>
  <c r="C43" i="53"/>
  <c r="AO42" i="53"/>
  <c r="AN42" i="53"/>
  <c r="AM42" i="53"/>
  <c r="AL42" i="53"/>
  <c r="C42" i="53"/>
  <c r="AO41" i="53"/>
  <c r="AN41" i="53"/>
  <c r="AM41" i="53"/>
  <c r="AL41" i="53"/>
  <c r="C41" i="53"/>
  <c r="AO40" i="53"/>
  <c r="AN40" i="53"/>
  <c r="AM40" i="53"/>
  <c r="AL40" i="53"/>
  <c r="C40" i="53"/>
  <c r="AO39" i="53"/>
  <c r="AN39" i="53"/>
  <c r="AM39" i="53"/>
  <c r="AL39" i="53"/>
  <c r="C39" i="53"/>
  <c r="AO38" i="53"/>
  <c r="AN38" i="53"/>
  <c r="AM38" i="53"/>
  <c r="AL38" i="53"/>
  <c r="C38" i="53"/>
  <c r="AO37" i="53"/>
  <c r="AN37" i="53"/>
  <c r="AM37" i="53"/>
  <c r="AL37" i="53"/>
  <c r="C37" i="53"/>
  <c r="AO36" i="53"/>
  <c r="AN36" i="53"/>
  <c r="AM36" i="53"/>
  <c r="AL36" i="53"/>
  <c r="C36" i="53"/>
  <c r="AO35" i="53"/>
  <c r="AN35" i="53"/>
  <c r="AM35" i="53"/>
  <c r="AL35" i="53"/>
  <c r="C35" i="53"/>
  <c r="AO34" i="53"/>
  <c r="AN34" i="53"/>
  <c r="AM34" i="53"/>
  <c r="AL34" i="53"/>
  <c r="C34" i="53"/>
  <c r="AO33" i="53"/>
  <c r="AN33" i="53"/>
  <c r="AM33" i="53"/>
  <c r="AL33" i="53"/>
  <c r="C33" i="53"/>
  <c r="AO32" i="53"/>
  <c r="AN32" i="53"/>
  <c r="AM32" i="53"/>
  <c r="AL32" i="53"/>
  <c r="C32" i="53"/>
  <c r="AO31" i="53"/>
  <c r="AN31" i="53"/>
  <c r="AM31" i="53"/>
  <c r="AL31" i="53"/>
  <c r="C31" i="53"/>
  <c r="AM30" i="53"/>
  <c r="AL30" i="53"/>
  <c r="C30" i="53"/>
  <c r="AM29" i="53"/>
  <c r="AL29" i="53"/>
  <c r="C29" i="53"/>
  <c r="AO28" i="53"/>
  <c r="AN28" i="53"/>
  <c r="AM28" i="53"/>
  <c r="AL28" i="53"/>
  <c r="C28" i="53"/>
  <c r="AO27" i="53"/>
  <c r="AN27" i="53"/>
  <c r="AM27" i="53"/>
  <c r="AL27" i="53"/>
  <c r="C27" i="53"/>
  <c r="AO26" i="53"/>
  <c r="AN26" i="53"/>
  <c r="AM26" i="53"/>
  <c r="AL26" i="53"/>
  <c r="C26" i="53"/>
  <c r="AO25" i="53"/>
  <c r="AN25" i="53"/>
  <c r="AM25" i="53"/>
  <c r="AL25" i="53"/>
  <c r="C25" i="53"/>
  <c r="AO24" i="53"/>
  <c r="AN24" i="53"/>
  <c r="AM24" i="53"/>
  <c r="AL24" i="53"/>
  <c r="C24" i="53"/>
  <c r="AO23" i="53"/>
  <c r="AN23" i="53"/>
  <c r="AM23" i="53"/>
  <c r="AL23" i="53"/>
  <c r="C23" i="53"/>
  <c r="AO22" i="53"/>
  <c r="AN22" i="53"/>
  <c r="AM22" i="53"/>
  <c r="AL22" i="53"/>
  <c r="C22" i="53"/>
  <c r="AO21" i="53"/>
  <c r="AN21" i="53"/>
  <c r="AM21" i="53"/>
  <c r="AL21" i="53"/>
  <c r="C21" i="53"/>
  <c r="AO20" i="53"/>
  <c r="AN20" i="53"/>
  <c r="AM20" i="53"/>
  <c r="AL20" i="53"/>
  <c r="C20" i="53"/>
  <c r="AO19" i="53"/>
  <c r="AN19" i="53"/>
  <c r="AM19" i="53"/>
  <c r="AL19" i="53"/>
  <c r="C19" i="53"/>
  <c r="AO18" i="53"/>
  <c r="AN18" i="53"/>
  <c r="AM18" i="53"/>
  <c r="AL18" i="53"/>
  <c r="C18" i="53"/>
  <c r="AO17" i="53"/>
  <c r="AN17" i="53"/>
  <c r="AM17" i="53"/>
  <c r="AL17" i="53"/>
  <c r="C17" i="53"/>
  <c r="AO16" i="53"/>
  <c r="AN16" i="53"/>
  <c r="AM16" i="53"/>
  <c r="AL16" i="53"/>
  <c r="C16" i="53"/>
  <c r="AO15" i="53"/>
  <c r="AN15" i="53"/>
  <c r="AM15" i="53"/>
  <c r="AL15" i="53"/>
  <c r="C15" i="53"/>
  <c r="AO14" i="53"/>
  <c r="AN14" i="53"/>
  <c r="AM14" i="53"/>
  <c r="AL14" i="53"/>
  <c r="C14" i="53"/>
  <c r="AO13" i="53"/>
  <c r="AN13" i="53"/>
  <c r="AM13" i="53"/>
  <c r="AL13" i="53"/>
  <c r="C13" i="53"/>
  <c r="AO12" i="53"/>
  <c r="AN12" i="53"/>
  <c r="AM12" i="53"/>
  <c r="C12" i="53"/>
  <c r="AO11" i="53"/>
  <c r="AN11" i="53"/>
  <c r="C11" i="53"/>
  <c r="AO10" i="53"/>
  <c r="AN10" i="53"/>
  <c r="AM10" i="53"/>
  <c r="AL10" i="53"/>
  <c r="C10" i="53"/>
  <c r="AO9" i="53"/>
  <c r="AN9" i="53"/>
  <c r="C9" i="53"/>
  <c r="AO8" i="53"/>
  <c r="AN8" i="53"/>
  <c r="AM8" i="53"/>
  <c r="AL8" i="53"/>
  <c r="C8" i="53"/>
  <c r="AO7" i="53"/>
  <c r="AN7" i="53"/>
  <c r="AM7" i="53"/>
  <c r="AL7" i="53"/>
  <c r="C7" i="53"/>
  <c r="AO6" i="53"/>
  <c r="AN6" i="53"/>
  <c r="AM6" i="53"/>
  <c r="AL6" i="53"/>
  <c r="AJ6" i="53"/>
  <c r="AJ7" i="53" s="1"/>
  <c r="AF6" i="53"/>
  <c r="AF7" i="53" s="1"/>
  <c r="AF8" i="53" s="1"/>
  <c r="A8" i="53" s="1"/>
  <c r="C6" i="53"/>
  <c r="AO5" i="53"/>
  <c r="AN5" i="53"/>
  <c r="AM5" i="53"/>
  <c r="AL5" i="53"/>
  <c r="AJ5" i="53"/>
  <c r="AK5" i="53" s="1"/>
  <c r="AC5" i="53"/>
  <c r="AI5" i="53" s="1"/>
  <c r="C5" i="53"/>
  <c r="B5" i="53"/>
  <c r="A5" i="53"/>
  <c r="AH4" i="53"/>
  <c r="AI4" i="53" s="1"/>
  <c r="AJ19" i="60" l="1"/>
  <c r="AP19" i="60"/>
  <c r="B14" i="60"/>
  <c r="AC14" i="60"/>
  <c r="AI14" i="60" s="1"/>
  <c r="AH14" i="60" s="1"/>
  <c r="AD15" i="60" s="1"/>
  <c r="AK15" i="60" s="1"/>
  <c r="A17" i="60"/>
  <c r="AF18" i="60"/>
  <c r="AK16" i="59"/>
  <c r="AH15" i="59"/>
  <c r="AD16" i="59" s="1"/>
  <c r="B16" i="59" s="1"/>
  <c r="AP22" i="59"/>
  <c r="AJ22" i="59"/>
  <c r="AF17" i="59"/>
  <c r="A16" i="59"/>
  <c r="AJ22" i="58"/>
  <c r="AP22" i="58"/>
  <c r="AJ43" i="58"/>
  <c r="AH42" i="58" s="1"/>
  <c r="AP43" i="58"/>
  <c r="AK42" i="58"/>
  <c r="AH16" i="58"/>
  <c r="AD17" i="58" s="1"/>
  <c r="B17" i="58" s="1"/>
  <c r="AK17" i="58"/>
  <c r="A16" i="58"/>
  <c r="AF17" i="58"/>
  <c r="AK41" i="57"/>
  <c r="AP42" i="57"/>
  <c r="AJ42" i="57"/>
  <c r="AH41" i="57" s="1"/>
  <c r="AH13" i="57"/>
  <c r="AD14" i="57" s="1"/>
  <c r="B14" i="57" s="1"/>
  <c r="AK14" i="57"/>
  <c r="AF15" i="57"/>
  <c r="A14" i="57"/>
  <c r="AJ19" i="57"/>
  <c r="AP19" i="57"/>
  <c r="AH8" i="56"/>
  <c r="AD9" i="56" s="1"/>
  <c r="AK37" i="56"/>
  <c r="AP38" i="56"/>
  <c r="AJ38" i="56"/>
  <c r="AP16" i="56"/>
  <c r="AJ16" i="56"/>
  <c r="A12" i="56"/>
  <c r="AF13" i="56"/>
  <c r="AJ10" i="55"/>
  <c r="A12" i="55"/>
  <c r="AF13" i="55"/>
  <c r="AH8" i="55"/>
  <c r="AD9" i="55" s="1"/>
  <c r="A6" i="53"/>
  <c r="AF9" i="54"/>
  <c r="A8" i="54"/>
  <c r="AP15" i="54"/>
  <c r="AJ15" i="54"/>
  <c r="AJ10" i="54"/>
  <c r="AJ11" i="54" s="1"/>
  <c r="B33" i="54"/>
  <c r="AD34" i="54"/>
  <c r="AK33" i="54"/>
  <c r="AP36" i="54"/>
  <c r="AJ36" i="54"/>
  <c r="AH8" i="54"/>
  <c r="AD9" i="54" s="1"/>
  <c r="B9" i="54" s="1"/>
  <c r="A7" i="53"/>
  <c r="AJ11" i="53"/>
  <c r="AP12" i="53" s="1"/>
  <c r="AP11" i="53"/>
  <c r="AJ8" i="53"/>
  <c r="AJ9" i="53" s="1"/>
  <c r="AJ10" i="53" s="1"/>
  <c r="AF9" i="53"/>
  <c r="AH5" i="53"/>
  <c r="AD6" i="53" s="1"/>
  <c r="AJ32" i="53"/>
  <c r="C62" i="52"/>
  <c r="B58" i="52"/>
  <c r="A58" i="52"/>
  <c r="B56" i="52"/>
  <c r="AO51" i="52"/>
  <c r="AN51" i="52"/>
  <c r="AM51" i="52"/>
  <c r="AL51" i="52"/>
  <c r="C51" i="52"/>
  <c r="AO50" i="52"/>
  <c r="AN50" i="52"/>
  <c r="AM50" i="52"/>
  <c r="AL50" i="52"/>
  <c r="C50" i="52"/>
  <c r="AO49" i="52"/>
  <c r="AN49" i="52"/>
  <c r="AM49" i="52"/>
  <c r="AL49" i="52"/>
  <c r="C49" i="52"/>
  <c r="AO48" i="52"/>
  <c r="AN48" i="52"/>
  <c r="AM48" i="52"/>
  <c r="AL48" i="52"/>
  <c r="C48" i="52"/>
  <c r="AO47" i="52"/>
  <c r="AN47" i="52"/>
  <c r="AM47" i="52"/>
  <c r="AL47" i="52"/>
  <c r="C47" i="52"/>
  <c r="AO46" i="52"/>
  <c r="AN46" i="52"/>
  <c r="AM46" i="52"/>
  <c r="AL46" i="52"/>
  <c r="C46" i="52"/>
  <c r="AO45" i="52"/>
  <c r="AN45" i="52"/>
  <c r="AM45" i="52"/>
  <c r="AL45" i="52"/>
  <c r="C45" i="52"/>
  <c r="AO44" i="52"/>
  <c r="AN44" i="52"/>
  <c r="AM44" i="52"/>
  <c r="AL44" i="52"/>
  <c r="C44" i="52"/>
  <c r="AO43" i="52"/>
  <c r="AN43" i="52"/>
  <c r="AM43" i="52"/>
  <c r="AL43" i="52"/>
  <c r="C43" i="52"/>
  <c r="AO42" i="52"/>
  <c r="AN42" i="52"/>
  <c r="AM42" i="52"/>
  <c r="AL42" i="52"/>
  <c r="C42" i="52"/>
  <c r="AO41" i="52"/>
  <c r="AN41" i="52"/>
  <c r="AM41" i="52"/>
  <c r="AL41" i="52"/>
  <c r="C41" i="52"/>
  <c r="AO40" i="52"/>
  <c r="AN40" i="52"/>
  <c r="AM40" i="52"/>
  <c r="AL40" i="52"/>
  <c r="C40" i="52"/>
  <c r="AO39" i="52"/>
  <c r="AN39" i="52"/>
  <c r="AM39" i="52"/>
  <c r="AL39" i="52"/>
  <c r="C39" i="52"/>
  <c r="AO38" i="52"/>
  <c r="AN38" i="52"/>
  <c r="AM38" i="52"/>
  <c r="AL38" i="52"/>
  <c r="C38" i="52"/>
  <c r="AO37" i="52"/>
  <c r="AN37" i="52"/>
  <c r="AM37" i="52"/>
  <c r="AL37" i="52"/>
  <c r="C37" i="52"/>
  <c r="AO36" i="52"/>
  <c r="AN36" i="52"/>
  <c r="AM36" i="52"/>
  <c r="AL36" i="52"/>
  <c r="C36" i="52"/>
  <c r="AO35" i="52"/>
  <c r="AN35" i="52"/>
  <c r="AM35" i="52"/>
  <c r="AL35" i="52"/>
  <c r="AJ35" i="52"/>
  <c r="AJ36" i="52" s="1"/>
  <c r="AC35" i="52"/>
  <c r="C35" i="52"/>
  <c r="AO34" i="52"/>
  <c r="AN34" i="52"/>
  <c r="AM34" i="52"/>
  <c r="AL34" i="52"/>
  <c r="AJ34" i="52"/>
  <c r="C34" i="52"/>
  <c r="AO33" i="52"/>
  <c r="AN33" i="52"/>
  <c r="AM33" i="52"/>
  <c r="AL33" i="52"/>
  <c r="C33" i="52"/>
  <c r="AO32" i="52"/>
  <c r="AN32" i="52"/>
  <c r="AM32" i="52"/>
  <c r="AL32" i="52"/>
  <c r="AC32" i="52"/>
  <c r="C32" i="52"/>
  <c r="AO31" i="52"/>
  <c r="AN31" i="52"/>
  <c r="AM31" i="52"/>
  <c r="AL31" i="52"/>
  <c r="AC31" i="52"/>
  <c r="C31" i="52"/>
  <c r="AM30" i="52"/>
  <c r="AL30" i="52"/>
  <c r="AJ30" i="52"/>
  <c r="AP31" i="52" s="1"/>
  <c r="AC30" i="52"/>
  <c r="C30" i="52"/>
  <c r="AO29" i="52"/>
  <c r="AN29" i="52"/>
  <c r="AM29" i="52"/>
  <c r="AL29" i="52"/>
  <c r="AC29" i="52"/>
  <c r="C29" i="52"/>
  <c r="AO28" i="52"/>
  <c r="AN28" i="52"/>
  <c r="AM28" i="52"/>
  <c r="AL28" i="52"/>
  <c r="AC28" i="52"/>
  <c r="C28" i="52"/>
  <c r="AO27" i="52"/>
  <c r="AN27" i="52"/>
  <c r="AM27" i="52"/>
  <c r="AL27" i="52"/>
  <c r="AC27" i="52"/>
  <c r="C27" i="52"/>
  <c r="AO26" i="52"/>
  <c r="AN26" i="52"/>
  <c r="AM26" i="52"/>
  <c r="AL26" i="52"/>
  <c r="AC26" i="52"/>
  <c r="C26" i="52"/>
  <c r="AO25" i="52"/>
  <c r="AN25" i="52"/>
  <c r="AM25" i="52"/>
  <c r="AL25" i="52"/>
  <c r="AC25" i="52"/>
  <c r="C25" i="52"/>
  <c r="AO24" i="52"/>
  <c r="AN24" i="52"/>
  <c r="AM24" i="52"/>
  <c r="AL24" i="52"/>
  <c r="AC24" i="52"/>
  <c r="C24" i="52"/>
  <c r="AO23" i="52"/>
  <c r="AN23" i="52"/>
  <c r="AM23" i="52"/>
  <c r="AL23" i="52"/>
  <c r="AC23" i="52"/>
  <c r="C23" i="52"/>
  <c r="AO22" i="52"/>
  <c r="AN22" i="52"/>
  <c r="AM22" i="52"/>
  <c r="AL22" i="52"/>
  <c r="AC22" i="52"/>
  <c r="C22" i="52"/>
  <c r="AO21" i="52"/>
  <c r="AN21" i="52"/>
  <c r="AM21" i="52"/>
  <c r="AL21" i="52"/>
  <c r="AC21" i="52"/>
  <c r="C21" i="52"/>
  <c r="AO20" i="52"/>
  <c r="AN20" i="52"/>
  <c r="AM20" i="52"/>
  <c r="AL20" i="52"/>
  <c r="AC20" i="52"/>
  <c r="C20" i="52"/>
  <c r="AO19" i="52"/>
  <c r="AN19" i="52"/>
  <c r="AM19" i="52"/>
  <c r="AL19" i="52"/>
  <c r="AC19" i="52"/>
  <c r="C19" i="52"/>
  <c r="AO18" i="52"/>
  <c r="AN18" i="52"/>
  <c r="AM18" i="52"/>
  <c r="AL18" i="52"/>
  <c r="AC18" i="52"/>
  <c r="C18" i="52"/>
  <c r="AO17" i="52"/>
  <c r="AN17" i="52"/>
  <c r="AM17" i="52"/>
  <c r="AL17" i="52"/>
  <c r="AC17" i="52"/>
  <c r="C17" i="52"/>
  <c r="AO16" i="52"/>
  <c r="AN16" i="52"/>
  <c r="AM16" i="52"/>
  <c r="AL16" i="52"/>
  <c r="AC16" i="52"/>
  <c r="C16" i="52"/>
  <c r="AO15" i="52"/>
  <c r="AN15" i="52"/>
  <c r="AM15" i="52"/>
  <c r="AL15" i="52"/>
  <c r="AC15" i="52"/>
  <c r="C15" i="52"/>
  <c r="AO14" i="52"/>
  <c r="AN14" i="52"/>
  <c r="AM14" i="52"/>
  <c r="AL14" i="52"/>
  <c r="AC14" i="52"/>
  <c r="C14" i="52"/>
  <c r="AO13" i="52"/>
  <c r="AN13" i="52"/>
  <c r="AM13" i="52"/>
  <c r="AL13" i="52"/>
  <c r="AC13" i="52"/>
  <c r="C13" i="52"/>
  <c r="AO12" i="52"/>
  <c r="AN12" i="52"/>
  <c r="AM12" i="52"/>
  <c r="AL12" i="52"/>
  <c r="AC12" i="52"/>
  <c r="C12" i="52"/>
  <c r="AO11" i="52"/>
  <c r="AN11" i="52"/>
  <c r="AM11" i="52"/>
  <c r="AL11" i="52"/>
  <c r="AC11" i="52"/>
  <c r="C11" i="52"/>
  <c r="AO10" i="52"/>
  <c r="AN10" i="52"/>
  <c r="AM10" i="52"/>
  <c r="AL10" i="52"/>
  <c r="AC10" i="52"/>
  <c r="C10" i="52"/>
  <c r="AO9" i="52"/>
  <c r="AN9" i="52"/>
  <c r="AJ9" i="52"/>
  <c r="AJ10" i="52" s="1"/>
  <c r="AJ11" i="52" s="1"/>
  <c r="AC9" i="52"/>
  <c r="C9" i="52"/>
  <c r="AO8" i="52"/>
  <c r="AN8" i="52"/>
  <c r="AM8" i="52"/>
  <c r="AL8" i="52"/>
  <c r="AC8" i="52"/>
  <c r="C8" i="52"/>
  <c r="AO7" i="52"/>
  <c r="AN7" i="52"/>
  <c r="AM7" i="52"/>
  <c r="AL7" i="52"/>
  <c r="AC7" i="52"/>
  <c r="C7" i="52"/>
  <c r="AO6" i="52"/>
  <c r="AN6" i="52"/>
  <c r="AM6" i="52"/>
  <c r="AL6" i="52"/>
  <c r="AJ6" i="52"/>
  <c r="AJ7" i="52" s="1"/>
  <c r="AF6" i="52"/>
  <c r="AF7" i="52" s="1"/>
  <c r="A7" i="52" s="1"/>
  <c r="AC6" i="52"/>
  <c r="C6" i="52"/>
  <c r="AO5" i="52"/>
  <c r="AN5" i="52"/>
  <c r="AM5" i="52"/>
  <c r="AL5" i="52"/>
  <c r="AJ5" i="52"/>
  <c r="AK5" i="52" s="1"/>
  <c r="AC5" i="52"/>
  <c r="AI5" i="52" s="1"/>
  <c r="C5" i="52"/>
  <c r="B5" i="52"/>
  <c r="A5" i="52"/>
  <c r="AH4" i="52"/>
  <c r="AI4" i="52" s="1"/>
  <c r="A6" i="52" l="1"/>
  <c r="AJ12" i="53"/>
  <c r="AJ20" i="60"/>
  <c r="AP20" i="60"/>
  <c r="B15" i="60"/>
  <c r="AC15" i="60"/>
  <c r="AI15" i="60" s="1"/>
  <c r="AH15" i="60" s="1"/>
  <c r="AD16" i="60" s="1"/>
  <c r="AK16" i="60" s="1"/>
  <c r="AF19" i="60"/>
  <c r="A18" i="60"/>
  <c r="AJ23" i="59"/>
  <c r="AP23" i="59"/>
  <c r="AF18" i="59"/>
  <c r="A17" i="59"/>
  <c r="AH16" i="59"/>
  <c r="AD17" i="59" s="1"/>
  <c r="B17" i="59" s="1"/>
  <c r="AK17" i="59"/>
  <c r="AK43" i="58"/>
  <c r="AP44" i="58"/>
  <c r="AJ44" i="58"/>
  <c r="AH43" i="58" s="1"/>
  <c r="AH17" i="58"/>
  <c r="AD18" i="58" s="1"/>
  <c r="B18" i="58" s="1"/>
  <c r="AK18" i="58"/>
  <c r="A17" i="58"/>
  <c r="AF18" i="58"/>
  <c r="AJ23" i="58"/>
  <c r="AP23" i="58"/>
  <c r="AK15" i="57"/>
  <c r="AH14" i="57"/>
  <c r="AD15" i="57" s="1"/>
  <c r="B15" i="57" s="1"/>
  <c r="AP20" i="57"/>
  <c r="AJ20" i="57"/>
  <c r="AF16" i="57"/>
  <c r="A15" i="57"/>
  <c r="AJ43" i="57"/>
  <c r="AH42" i="57" s="1"/>
  <c r="AK42" i="57"/>
  <c r="AP43" i="57"/>
  <c r="AC9" i="56"/>
  <c r="AI9" i="56" s="1"/>
  <c r="AL9" i="56"/>
  <c r="AK9" i="56"/>
  <c r="B9" i="56"/>
  <c r="AJ39" i="56"/>
  <c r="AP39" i="56"/>
  <c r="AK38" i="56"/>
  <c r="AF14" i="56"/>
  <c r="A13" i="56"/>
  <c r="AP17" i="56"/>
  <c r="AJ17" i="56"/>
  <c r="AH37" i="56"/>
  <c r="B9" i="55"/>
  <c r="AL9" i="55"/>
  <c r="AK9" i="55"/>
  <c r="AH9" i="55" s="1"/>
  <c r="AD10" i="55" s="1"/>
  <c r="B10" i="55" s="1"/>
  <c r="AF14" i="55"/>
  <c r="A13" i="55"/>
  <c r="AM13" i="55"/>
  <c r="AM4" i="55" s="1"/>
  <c r="A53" i="55" s="1"/>
  <c r="AP11" i="55"/>
  <c r="AJ11" i="55"/>
  <c r="AK10" i="55"/>
  <c r="AI6" i="52"/>
  <c r="AI7" i="52" s="1"/>
  <c r="AI8" i="52" s="1"/>
  <c r="AI9" i="52" s="1"/>
  <c r="AI10" i="52" s="1"/>
  <c r="AI11" i="52" s="1"/>
  <c r="AI12" i="52" s="1"/>
  <c r="AI13" i="52" s="1"/>
  <c r="AI14" i="52" s="1"/>
  <c r="AI15" i="52" s="1"/>
  <c r="AI16" i="52" s="1"/>
  <c r="AI17" i="52" s="1"/>
  <c r="AI18" i="52" s="1"/>
  <c r="AI19" i="52" s="1"/>
  <c r="AI20" i="52" s="1"/>
  <c r="AI21" i="52" s="1"/>
  <c r="AI22" i="52" s="1"/>
  <c r="AI23" i="52" s="1"/>
  <c r="AI24" i="52" s="1"/>
  <c r="AI25" i="52" s="1"/>
  <c r="AI26" i="52" s="1"/>
  <c r="AI27" i="52" s="1"/>
  <c r="AI28" i="52" s="1"/>
  <c r="AI29" i="52" s="1"/>
  <c r="AI30" i="52" s="1"/>
  <c r="AI31" i="52" s="1"/>
  <c r="AI32" i="52" s="1"/>
  <c r="AH5" i="52"/>
  <c r="AD6" i="52" s="1"/>
  <c r="B6" i="52" s="1"/>
  <c r="AF8" i="52"/>
  <c r="A8" i="52" s="1"/>
  <c r="AJ12" i="54"/>
  <c r="AP13" i="54" s="1"/>
  <c r="AP12" i="54"/>
  <c r="AF10" i="54"/>
  <c r="A9" i="54"/>
  <c r="AK6" i="52"/>
  <c r="AP16" i="54"/>
  <c r="AJ16" i="54"/>
  <c r="AJ37" i="54"/>
  <c r="AP37" i="54"/>
  <c r="AC34" i="54"/>
  <c r="AI34" i="54" s="1"/>
  <c r="AH34" i="54" s="1"/>
  <c r="AD35" i="54" s="1"/>
  <c r="B34" i="54"/>
  <c r="AK34" i="54"/>
  <c r="AM11" i="54"/>
  <c r="AP11" i="54"/>
  <c r="AH10" i="54"/>
  <c r="AD11" i="54" s="1"/>
  <c r="AK9" i="54"/>
  <c r="AH9" i="54"/>
  <c r="AD10" i="54" s="1"/>
  <c r="B10" i="54" s="1"/>
  <c r="B6" i="53"/>
  <c r="AC6" i="53"/>
  <c r="AI6" i="53" s="1"/>
  <c r="AP33" i="53"/>
  <c r="AJ33" i="53"/>
  <c r="AJ34" i="53" s="1"/>
  <c r="A9" i="53"/>
  <c r="AM9" i="53"/>
  <c r="AF10" i="53"/>
  <c r="AP13" i="53"/>
  <c r="AJ13" i="53"/>
  <c r="AK6" i="53"/>
  <c r="AP12" i="52"/>
  <c r="AJ12" i="52"/>
  <c r="AJ37" i="52"/>
  <c r="AP37" i="52"/>
  <c r="AJ8" i="52"/>
  <c r="AH7" i="52" s="1"/>
  <c r="AD8" i="52" s="1"/>
  <c r="B8" i="52" s="1"/>
  <c r="AH6" i="52"/>
  <c r="AD7" i="52" s="1"/>
  <c r="B7" i="52" s="1"/>
  <c r="AP36" i="52"/>
  <c r="AP11" i="52"/>
  <c r="AP35" i="52"/>
  <c r="AJ31" i="52"/>
  <c r="A42" i="51"/>
  <c r="B42" i="51"/>
  <c r="B41" i="51"/>
  <c r="B36" i="51"/>
  <c r="A36" i="51"/>
  <c r="A35" i="51"/>
  <c r="B35" i="51"/>
  <c r="C45" i="51"/>
  <c r="C44" i="51"/>
  <c r="C37" i="49"/>
  <c r="C45" i="48"/>
  <c r="C44" i="48"/>
  <c r="C44" i="47"/>
  <c r="C45" i="47"/>
  <c r="C44" i="46"/>
  <c r="C45" i="46"/>
  <c r="C45" i="45"/>
  <c r="C45" i="44"/>
  <c r="C44" i="43"/>
  <c r="C45" i="43"/>
  <c r="C44" i="42"/>
  <c r="C45" i="42"/>
  <c r="C45" i="41"/>
  <c r="C44" i="41"/>
  <c r="C44" i="40"/>
  <c r="C45" i="40"/>
  <c r="C44" i="39"/>
  <c r="C45" i="39"/>
  <c r="C44" i="38"/>
  <c r="C45" i="38"/>
  <c r="C44" i="37"/>
  <c r="C45" i="37"/>
  <c r="C44" i="36"/>
  <c r="C45" i="36"/>
  <c r="C44" i="35"/>
  <c r="C45" i="35"/>
  <c r="C49" i="34"/>
  <c r="C50" i="34"/>
  <c r="C49" i="33"/>
  <c r="C50" i="33"/>
  <c r="C49" i="32"/>
  <c r="C50" i="32"/>
  <c r="C49" i="31"/>
  <c r="C50" i="31"/>
  <c r="C49" i="30"/>
  <c r="C50" i="30"/>
  <c r="C49" i="29"/>
  <c r="C50" i="29"/>
  <c r="C49" i="28"/>
  <c r="C50" i="28"/>
  <c r="C44" i="27"/>
  <c r="C45" i="27"/>
  <c r="C57" i="26"/>
  <c r="C58" i="26"/>
  <c r="C57" i="25"/>
  <c r="C58" i="25"/>
  <c r="C57" i="24"/>
  <c r="C58" i="24"/>
  <c r="C57" i="21"/>
  <c r="C58" i="21"/>
  <c r="C57" i="20"/>
  <c r="C58" i="20"/>
  <c r="AF9" i="52" l="1"/>
  <c r="AP21" i="60"/>
  <c r="AJ21" i="60"/>
  <c r="B16" i="60"/>
  <c r="AC16" i="60"/>
  <c r="AI16" i="60" s="1"/>
  <c r="AH16" i="60" s="1"/>
  <c r="AD17" i="60" s="1"/>
  <c r="AK17" i="60" s="1"/>
  <c r="A19" i="60"/>
  <c r="AF20" i="60"/>
  <c r="AK18" i="59"/>
  <c r="AH17" i="59"/>
  <c r="AD18" i="59" s="1"/>
  <c r="B18" i="59" s="1"/>
  <c r="AF19" i="59"/>
  <c r="A18" i="59"/>
  <c r="AJ24" i="59"/>
  <c r="AP24" i="59"/>
  <c r="AJ45" i="58"/>
  <c r="AP45" i="58"/>
  <c r="AK44" i="58"/>
  <c r="AH18" i="58"/>
  <c r="AD19" i="58" s="1"/>
  <c r="B19" i="58" s="1"/>
  <c r="AK19" i="58"/>
  <c r="AF19" i="58"/>
  <c r="A18" i="58"/>
  <c r="AP24" i="58"/>
  <c r="AJ24" i="58"/>
  <c r="AP21" i="57"/>
  <c r="AJ21" i="57"/>
  <c r="AF17" i="57"/>
  <c r="A16" i="57"/>
  <c r="AH15" i="57"/>
  <c r="AD16" i="57" s="1"/>
  <c r="B16" i="57" s="1"/>
  <c r="AK16" i="57"/>
  <c r="AK43" i="57"/>
  <c r="AP44" i="57"/>
  <c r="AJ44" i="57"/>
  <c r="AH43" i="57" s="1"/>
  <c r="AH9" i="56"/>
  <c r="AD10" i="56" s="1"/>
  <c r="AK10" i="56" s="1"/>
  <c r="AF15" i="56"/>
  <c r="A14" i="56"/>
  <c r="AJ18" i="56"/>
  <c r="AP18" i="56"/>
  <c r="AK39" i="56"/>
  <c r="AP40" i="56"/>
  <c r="AJ40" i="56"/>
  <c r="AH39" i="56" s="1"/>
  <c r="AH38" i="56"/>
  <c r="AH10" i="55"/>
  <c r="AD11" i="55" s="1"/>
  <c r="B11" i="55" s="1"/>
  <c r="AF15" i="55"/>
  <c r="A14" i="55"/>
  <c r="AJ12" i="55"/>
  <c r="AJ13" i="55" s="1"/>
  <c r="AK11" i="55"/>
  <c r="AP12" i="55"/>
  <c r="A10" i="54"/>
  <c r="AF11" i="54"/>
  <c r="B11" i="54"/>
  <c r="AL11" i="54"/>
  <c r="AK11" i="54"/>
  <c r="B35" i="54"/>
  <c r="AC35" i="54"/>
  <c r="AI35" i="54" s="1"/>
  <c r="AH35" i="54" s="1"/>
  <c r="AD36" i="54" s="1"/>
  <c r="AC36" i="54" s="1"/>
  <c r="AK35" i="54"/>
  <c r="AJ38" i="54"/>
  <c r="AP38" i="54"/>
  <c r="AK10" i="54"/>
  <c r="AP17" i="54"/>
  <c r="AJ17" i="54"/>
  <c r="AP35" i="53"/>
  <c r="AJ35" i="53"/>
  <c r="AH6" i="53"/>
  <c r="AD7" i="53" s="1"/>
  <c r="AP34" i="53"/>
  <c r="AJ14" i="53"/>
  <c r="AP14" i="53"/>
  <c r="AF11" i="53"/>
  <c r="AM11" i="53" s="1"/>
  <c r="AM4" i="53" s="1"/>
  <c r="A53" i="53" s="1"/>
  <c r="A10" i="53"/>
  <c r="AJ32" i="52"/>
  <c r="AH31" i="52" s="1"/>
  <c r="AD32" i="52" s="1"/>
  <c r="B32" i="52" s="1"/>
  <c r="AH30" i="52"/>
  <c r="AD31" i="52" s="1"/>
  <c r="B31" i="52" s="1"/>
  <c r="AP32" i="52"/>
  <c r="AM9" i="52"/>
  <c r="AM4" i="52" s="1"/>
  <c r="A53" i="52" s="1"/>
  <c r="A9" i="52"/>
  <c r="AF10" i="52"/>
  <c r="AK8" i="52"/>
  <c r="AH8" i="52"/>
  <c r="AD9" i="52" s="1"/>
  <c r="AJ38" i="52"/>
  <c r="AP38" i="52"/>
  <c r="AK7" i="52"/>
  <c r="AJ13" i="52"/>
  <c r="AP13" i="52"/>
  <c r="AJ14" i="55" l="1"/>
  <c r="AP14" i="55"/>
  <c r="AP22" i="60"/>
  <c r="AJ22" i="60"/>
  <c r="B17" i="60"/>
  <c r="AC17" i="60"/>
  <c r="AI17" i="60" s="1"/>
  <c r="AH17" i="60" s="1"/>
  <c r="AD18" i="60" s="1"/>
  <c r="AK18" i="60" s="1"/>
  <c r="A20" i="60"/>
  <c r="AF21" i="60"/>
  <c r="AF20" i="59"/>
  <c r="A19" i="59"/>
  <c r="AP25" i="59"/>
  <c r="AJ25" i="59"/>
  <c r="AH18" i="59"/>
  <c r="AD19" i="59" s="1"/>
  <c r="B19" i="59" s="1"/>
  <c r="AK19" i="59"/>
  <c r="AK45" i="58"/>
  <c r="AP46" i="58"/>
  <c r="AJ46" i="58"/>
  <c r="AH45" i="58" s="1"/>
  <c r="AF20" i="58"/>
  <c r="A19" i="58"/>
  <c r="AP25" i="58"/>
  <c r="AJ25" i="58"/>
  <c r="AH19" i="58"/>
  <c r="AD20" i="58" s="1"/>
  <c r="B20" i="58" s="1"/>
  <c r="AK20" i="58"/>
  <c r="AH44" i="58"/>
  <c r="AH16" i="57"/>
  <c r="AD17" i="57" s="1"/>
  <c r="B17" i="57" s="1"/>
  <c r="AK17" i="57"/>
  <c r="AJ45" i="57"/>
  <c r="AH44" i="57" s="1"/>
  <c r="AK44" i="57"/>
  <c r="AP45" i="57"/>
  <c r="AJ22" i="57"/>
  <c r="AP22" i="57"/>
  <c r="AF18" i="57"/>
  <c r="A17" i="57"/>
  <c r="B10" i="56"/>
  <c r="AC10" i="56"/>
  <c r="AI10" i="56" s="1"/>
  <c r="AH10" i="56" s="1"/>
  <c r="AD11" i="56" s="1"/>
  <c r="AF16" i="56"/>
  <c r="A15" i="56"/>
  <c r="AJ41" i="56"/>
  <c r="AH40" i="56" s="1"/>
  <c r="AP41" i="56"/>
  <c r="AK40" i="56"/>
  <c r="AJ19" i="56"/>
  <c r="AP19" i="56"/>
  <c r="AH11" i="55"/>
  <c r="AD12" i="55" s="1"/>
  <c r="B12" i="55" s="1"/>
  <c r="AK12" i="55"/>
  <c r="AH12" i="55" s="1"/>
  <c r="AD13" i="55" s="1"/>
  <c r="AK13" i="55" s="1"/>
  <c r="AP13" i="55"/>
  <c r="AF16" i="55"/>
  <c r="A15" i="55"/>
  <c r="AF12" i="54"/>
  <c r="A11" i="54"/>
  <c r="AK31" i="52"/>
  <c r="AJ39" i="54"/>
  <c r="AP39" i="54"/>
  <c r="AJ18" i="54"/>
  <c r="AP18" i="54"/>
  <c r="B36" i="54"/>
  <c r="AI36" i="54"/>
  <c r="AH36" i="54" s="1"/>
  <c r="AK36" i="54"/>
  <c r="AH11" i="54"/>
  <c r="AD12" i="54" s="1"/>
  <c r="B12" i="54" s="1"/>
  <c r="E10" i="54" s="1"/>
  <c r="AP36" i="53"/>
  <c r="AJ36" i="53"/>
  <c r="B7" i="53"/>
  <c r="AC7" i="53"/>
  <c r="AI7" i="53" s="1"/>
  <c r="AK7" i="53"/>
  <c r="AF12" i="53"/>
  <c r="A11" i="53"/>
  <c r="AJ15" i="53"/>
  <c r="AP15" i="53"/>
  <c r="AL9" i="52"/>
  <c r="AL4" i="52" s="1"/>
  <c r="B53" i="52" s="1"/>
  <c r="B9" i="52"/>
  <c r="AK9" i="52"/>
  <c r="AJ39" i="52"/>
  <c r="AP39" i="52"/>
  <c r="AJ14" i="52"/>
  <c r="AP14" i="52"/>
  <c r="AF11" i="52"/>
  <c r="A10" i="52"/>
  <c r="AK32" i="52"/>
  <c r="AP33" i="52"/>
  <c r="AJ33" i="52"/>
  <c r="AH32" i="52" s="1"/>
  <c r="AD33" i="52" s="1"/>
  <c r="AP15" i="55" l="1"/>
  <c r="AJ15" i="55"/>
  <c r="AP23" i="60"/>
  <c r="AJ23" i="60"/>
  <c r="B18" i="60"/>
  <c r="AC18" i="60"/>
  <c r="AI18" i="60" s="1"/>
  <c r="AH18" i="60" s="1"/>
  <c r="AD19" i="60" s="1"/>
  <c r="AK19" i="60" s="1"/>
  <c r="AF22" i="60"/>
  <c r="A21" i="60"/>
  <c r="AH19" i="59"/>
  <c r="AD20" i="59" s="1"/>
  <c r="B20" i="59" s="1"/>
  <c r="AK20" i="59"/>
  <c r="AP26" i="59"/>
  <c r="AJ26" i="59"/>
  <c r="AF21" i="59"/>
  <c r="A20" i="59"/>
  <c r="AJ47" i="58"/>
  <c r="AH46" i="58" s="1"/>
  <c r="AP47" i="58"/>
  <c r="AK46" i="58"/>
  <c r="AJ26" i="58"/>
  <c r="AP26" i="58"/>
  <c r="AH20" i="58"/>
  <c r="AD21" i="58" s="1"/>
  <c r="B21" i="58" s="1"/>
  <c r="AK21" i="58"/>
  <c r="A20" i="58"/>
  <c r="AF21" i="58"/>
  <c r="AF19" i="57"/>
  <c r="A18" i="57"/>
  <c r="AH17" i="57"/>
  <c r="AD18" i="57" s="1"/>
  <c r="B18" i="57" s="1"/>
  <c r="AK18" i="57"/>
  <c r="AJ23" i="57"/>
  <c r="AP23" i="57"/>
  <c r="AK45" i="57"/>
  <c r="AP46" i="57"/>
  <c r="AJ46" i="57"/>
  <c r="AH45" i="57" s="1"/>
  <c r="AL11" i="56"/>
  <c r="AL4" i="56" s="1"/>
  <c r="B53" i="56" s="1"/>
  <c r="AK11" i="56"/>
  <c r="AK12" i="56" s="1"/>
  <c r="AH11" i="56"/>
  <c r="AD12" i="56" s="1"/>
  <c r="B11" i="56"/>
  <c r="AC11" i="56"/>
  <c r="AI11" i="56" s="1"/>
  <c r="A16" i="56"/>
  <c r="AF17" i="56"/>
  <c r="AP20" i="56"/>
  <c r="AJ20" i="56"/>
  <c r="AK41" i="56"/>
  <c r="AP42" i="56"/>
  <c r="AJ42" i="56"/>
  <c r="AH13" i="55"/>
  <c r="AD14" i="55" s="1"/>
  <c r="B14" i="55" s="1"/>
  <c r="AK14" i="55"/>
  <c r="AL13" i="55"/>
  <c r="AL4" i="55" s="1"/>
  <c r="B53" i="55" s="1"/>
  <c r="B13" i="55"/>
  <c r="AF17" i="55"/>
  <c r="A16" i="55"/>
  <c r="A12" i="54"/>
  <c r="AF13" i="54"/>
  <c r="AK12" i="54"/>
  <c r="AI37" i="54"/>
  <c r="AH37" i="54" s="1"/>
  <c r="B37" i="54"/>
  <c r="AK37" i="54"/>
  <c r="AP40" i="54"/>
  <c r="AJ40" i="54"/>
  <c r="AH12" i="54"/>
  <c r="AD13" i="54" s="1"/>
  <c r="AP19" i="54"/>
  <c r="AJ19" i="54"/>
  <c r="AJ37" i="53"/>
  <c r="AP37" i="53"/>
  <c r="AH7" i="53"/>
  <c r="AD8" i="53" s="1"/>
  <c r="AJ16" i="53"/>
  <c r="AP16" i="53"/>
  <c r="AF13" i="53"/>
  <c r="A12" i="53"/>
  <c r="AC33" i="52"/>
  <c r="AI33" i="52" s="1"/>
  <c r="B33" i="52"/>
  <c r="AK33" i="52"/>
  <c r="AP34" i="52"/>
  <c r="AH33" i="52"/>
  <c r="AD34" i="52" s="1"/>
  <c r="AH9" i="52"/>
  <c r="AD10" i="52" s="1"/>
  <c r="B10" i="52" s="1"/>
  <c r="AK10" i="52"/>
  <c r="AF12" i="52"/>
  <c r="A11" i="52"/>
  <c r="AJ40" i="52"/>
  <c r="AP40" i="52"/>
  <c r="AJ15" i="52"/>
  <c r="AP15" i="52"/>
  <c r="AP16" i="55" l="1"/>
  <c r="AJ16" i="55"/>
  <c r="AJ24" i="60"/>
  <c r="AP24" i="60"/>
  <c r="B19" i="60"/>
  <c r="AC19" i="60"/>
  <c r="AI19" i="60" s="1"/>
  <c r="AH19" i="60" s="1"/>
  <c r="AD20" i="60" s="1"/>
  <c r="AK20" i="60" s="1"/>
  <c r="AF23" i="60"/>
  <c r="A22" i="60"/>
  <c r="AF22" i="59"/>
  <c r="A21" i="59"/>
  <c r="AJ27" i="59"/>
  <c r="AP27" i="59"/>
  <c r="AK21" i="59"/>
  <c r="AH20" i="59"/>
  <c r="AD21" i="59" s="1"/>
  <c r="B21" i="59" s="1"/>
  <c r="AH21" i="58"/>
  <c r="AD22" i="58" s="1"/>
  <c r="B22" i="58" s="1"/>
  <c r="AK22" i="58"/>
  <c r="A21" i="58"/>
  <c r="AF22" i="58"/>
  <c r="AJ27" i="58"/>
  <c r="AP27" i="58"/>
  <c r="AK47" i="58"/>
  <c r="AP48" i="58"/>
  <c r="AJ48" i="58"/>
  <c r="AH47" i="58" s="1"/>
  <c r="AJ47" i="57"/>
  <c r="AH46" i="57" s="1"/>
  <c r="AK46" i="57"/>
  <c r="AP47" i="57"/>
  <c r="AK19" i="57"/>
  <c r="AH18" i="57"/>
  <c r="AD19" i="57" s="1"/>
  <c r="B19" i="57" s="1"/>
  <c r="AP24" i="57"/>
  <c r="AJ24" i="57"/>
  <c r="AF20" i="57"/>
  <c r="A19" i="57"/>
  <c r="B12" i="56"/>
  <c r="E10" i="56" s="1"/>
  <c r="AC12" i="56"/>
  <c r="AI12" i="56" s="1"/>
  <c r="AK13" i="56"/>
  <c r="AH12" i="56"/>
  <c r="AD13" i="56" s="1"/>
  <c r="A17" i="56"/>
  <c r="AF18" i="56"/>
  <c r="AJ43" i="56"/>
  <c r="AP43" i="56"/>
  <c r="AK42" i="56"/>
  <c r="AH41" i="56"/>
  <c r="AP21" i="56"/>
  <c r="AJ21" i="56"/>
  <c r="AH14" i="55"/>
  <c r="AD15" i="55" s="1"/>
  <c r="B15" i="55" s="1"/>
  <c r="AK15" i="55"/>
  <c r="AF18" i="55"/>
  <c r="A17" i="55"/>
  <c r="AM13" i="54"/>
  <c r="AM4" i="54" s="1"/>
  <c r="A53" i="54" s="1"/>
  <c r="A13" i="54"/>
  <c r="AF14" i="54"/>
  <c r="B13" i="54"/>
  <c r="AL13" i="54"/>
  <c r="AL4" i="54" s="1"/>
  <c r="B53" i="54" s="1"/>
  <c r="AK13" i="54"/>
  <c r="AH13" i="54" s="1"/>
  <c r="AD14" i="54" s="1"/>
  <c r="B14" i="54" s="1"/>
  <c r="B38" i="54"/>
  <c r="AI38" i="54"/>
  <c r="AH38" i="54" s="1"/>
  <c r="AK38" i="54"/>
  <c r="AP20" i="54"/>
  <c r="AJ20" i="54"/>
  <c r="AP41" i="54"/>
  <c r="AJ41" i="54"/>
  <c r="AJ38" i="53"/>
  <c r="AP38" i="53"/>
  <c r="B8" i="53"/>
  <c r="AC8" i="53"/>
  <c r="AI8" i="53" s="1"/>
  <c r="AK8" i="53"/>
  <c r="A13" i="53"/>
  <c r="AF14" i="53"/>
  <c r="AJ17" i="53"/>
  <c r="AP17" i="53"/>
  <c r="AC34" i="52"/>
  <c r="AI34" i="52" s="1"/>
  <c r="B34" i="52"/>
  <c r="AK34" i="52"/>
  <c r="AJ16" i="52"/>
  <c r="AP16" i="52"/>
  <c r="AJ41" i="52"/>
  <c r="AP41" i="52"/>
  <c r="AF13" i="52"/>
  <c r="A12" i="52"/>
  <c r="AK11" i="52"/>
  <c r="AH10" i="52"/>
  <c r="AD11" i="52" s="1"/>
  <c r="B11" i="52" s="1"/>
  <c r="AJ17" i="55" l="1"/>
  <c r="AP17" i="55"/>
  <c r="AP25" i="60"/>
  <c r="AJ25" i="60"/>
  <c r="B20" i="60"/>
  <c r="AC20" i="60"/>
  <c r="AI20" i="60" s="1"/>
  <c r="AH20" i="60" s="1"/>
  <c r="AD21" i="60" s="1"/>
  <c r="AK21" i="60" s="1"/>
  <c r="AF24" i="60"/>
  <c r="A23" i="60"/>
  <c r="AJ28" i="59"/>
  <c r="AJ29" i="59" s="1"/>
  <c r="AP28" i="59"/>
  <c r="AF23" i="59"/>
  <c r="A22" i="59"/>
  <c r="AK22" i="59"/>
  <c r="AH21" i="59"/>
  <c r="AD22" i="59" s="1"/>
  <c r="B22" i="59" s="1"/>
  <c r="AJ49" i="58"/>
  <c r="AH48" i="58" s="1"/>
  <c r="AP49" i="58"/>
  <c r="AK48" i="58"/>
  <c r="AF23" i="58"/>
  <c r="A22" i="58"/>
  <c r="AP28" i="58"/>
  <c r="AJ28" i="58"/>
  <c r="AH22" i="58"/>
  <c r="AD23" i="58" s="1"/>
  <c r="B23" i="58" s="1"/>
  <c r="AK23" i="58"/>
  <c r="AF21" i="57"/>
  <c r="A20" i="57"/>
  <c r="AP25" i="57"/>
  <c r="AJ25" i="57"/>
  <c r="AK20" i="57"/>
  <c r="AH19" i="57"/>
  <c r="AD20" i="57" s="1"/>
  <c r="B20" i="57" s="1"/>
  <c r="AK47" i="57"/>
  <c r="AP48" i="57"/>
  <c r="AJ48" i="57"/>
  <c r="AH47" i="57" s="1"/>
  <c r="AH13" i="56"/>
  <c r="AD14" i="56" s="1"/>
  <c r="AK14" i="56"/>
  <c r="B13" i="56"/>
  <c r="AC13" i="56"/>
  <c r="AI13" i="56" s="1"/>
  <c r="AF19" i="56"/>
  <c r="A18" i="56"/>
  <c r="AK43" i="56"/>
  <c r="AP44" i="56"/>
  <c r="AJ44" i="56"/>
  <c r="AJ22" i="56"/>
  <c r="AP22" i="56"/>
  <c r="AH42" i="56"/>
  <c r="AF19" i="55"/>
  <c r="A18" i="55"/>
  <c r="AH15" i="55"/>
  <c r="AD16" i="55" s="1"/>
  <c r="B16" i="55" s="1"/>
  <c r="AK16" i="55"/>
  <c r="A14" i="54"/>
  <c r="AF15" i="54"/>
  <c r="AK14" i="54"/>
  <c r="AH14" i="54" s="1"/>
  <c r="AD15" i="54" s="1"/>
  <c r="B15" i="54" s="1"/>
  <c r="B39" i="54"/>
  <c r="AI39" i="54"/>
  <c r="AH39" i="54" s="1"/>
  <c r="AK39" i="54"/>
  <c r="AJ21" i="54"/>
  <c r="AP21" i="54"/>
  <c r="AJ42" i="54"/>
  <c r="AP42" i="54"/>
  <c r="AJ39" i="53"/>
  <c r="AP39" i="53"/>
  <c r="AH8" i="53"/>
  <c r="AD9" i="53" s="1"/>
  <c r="A14" i="53"/>
  <c r="AF15" i="53"/>
  <c r="AJ18" i="53"/>
  <c r="AP18" i="53"/>
  <c r="A13" i="52"/>
  <c r="AF14" i="52"/>
  <c r="AP17" i="52"/>
  <c r="AJ17" i="52"/>
  <c r="AP42" i="52"/>
  <c r="AJ42" i="52"/>
  <c r="AK12" i="52"/>
  <c r="AH11" i="52"/>
  <c r="AD12" i="52" s="1"/>
  <c r="B12" i="52" s="1"/>
  <c r="AI35" i="52"/>
  <c r="AH35" i="52" s="1"/>
  <c r="AH34" i="52"/>
  <c r="AD35" i="52" s="1"/>
  <c r="AP18" i="55" l="1"/>
  <c r="AJ18" i="55"/>
  <c r="AJ26" i="60"/>
  <c r="AP26" i="60"/>
  <c r="B21" i="60"/>
  <c r="AC21" i="60"/>
  <c r="AI21" i="60" s="1"/>
  <c r="AH21" i="60" s="1"/>
  <c r="AD22" i="60" s="1"/>
  <c r="AK22" i="60" s="1"/>
  <c r="AF25" i="60"/>
  <c r="A24" i="60"/>
  <c r="AJ30" i="59"/>
  <c r="AP30" i="59"/>
  <c r="AF24" i="59"/>
  <c r="A23" i="59"/>
  <c r="AH22" i="59"/>
  <c r="AD23" i="59" s="1"/>
  <c r="B23" i="59" s="1"/>
  <c r="AK23" i="59"/>
  <c r="AP29" i="59"/>
  <c r="AH28" i="59"/>
  <c r="AH23" i="58"/>
  <c r="AD24" i="58" s="1"/>
  <c r="B24" i="58" s="1"/>
  <c r="AK24" i="58"/>
  <c r="AP29" i="58"/>
  <c r="AJ29" i="58"/>
  <c r="AJ30" i="58" s="1"/>
  <c r="AF24" i="58"/>
  <c r="A23" i="58"/>
  <c r="AK49" i="58"/>
  <c r="AP50" i="58"/>
  <c r="AJ50" i="58"/>
  <c r="AH20" i="57"/>
  <c r="AD21" i="57" s="1"/>
  <c r="B21" i="57" s="1"/>
  <c r="AK21" i="57"/>
  <c r="AJ26" i="57"/>
  <c r="AP26" i="57"/>
  <c r="AJ49" i="57"/>
  <c r="AH48" i="57" s="1"/>
  <c r="AK48" i="57"/>
  <c r="AP49" i="57"/>
  <c r="AF22" i="57"/>
  <c r="A21" i="57"/>
  <c r="AK15" i="56"/>
  <c r="AH14" i="56"/>
  <c r="AD15" i="56" s="1"/>
  <c r="B14" i="56"/>
  <c r="AC14" i="56"/>
  <c r="AI14" i="56" s="1"/>
  <c r="AJ45" i="56"/>
  <c r="AH44" i="56" s="1"/>
  <c r="AP45" i="56"/>
  <c r="AK44" i="56"/>
  <c r="AH43" i="56"/>
  <c r="AF20" i="56"/>
  <c r="A19" i="56"/>
  <c r="AJ23" i="56"/>
  <c r="AP23" i="56"/>
  <c r="AF20" i="55"/>
  <c r="A19" i="55"/>
  <c r="AH16" i="55"/>
  <c r="AD17" i="55" s="1"/>
  <c r="B17" i="55" s="1"/>
  <c r="AK17" i="55"/>
  <c r="AF16" i="54"/>
  <c r="A15" i="54"/>
  <c r="AK15" i="54"/>
  <c r="AH15" i="54" s="1"/>
  <c r="AD16" i="54" s="1"/>
  <c r="B16" i="54" s="1"/>
  <c r="AJ22" i="54"/>
  <c r="AP22" i="54"/>
  <c r="AI40" i="54"/>
  <c r="AH40" i="54" s="1"/>
  <c r="B40" i="54"/>
  <c r="AK40" i="54"/>
  <c r="AP43" i="54"/>
  <c r="AJ43" i="54"/>
  <c r="AJ40" i="53"/>
  <c r="AP40" i="53"/>
  <c r="AC9" i="53"/>
  <c r="AI9" i="53" s="1"/>
  <c r="AL9" i="53"/>
  <c r="AK9" i="53"/>
  <c r="B9" i="53"/>
  <c r="AJ19" i="53"/>
  <c r="AP19" i="53"/>
  <c r="A15" i="53"/>
  <c r="AF16" i="53"/>
  <c r="AP43" i="52"/>
  <c r="AJ43" i="52"/>
  <c r="B35" i="52"/>
  <c r="E10" i="52" s="1"/>
  <c r="AK35" i="52"/>
  <c r="AD36" i="52"/>
  <c r="AP18" i="52"/>
  <c r="AJ18" i="52"/>
  <c r="AH12" i="52"/>
  <c r="AD13" i="52" s="1"/>
  <c r="B13" i="52" s="1"/>
  <c r="AK13" i="52"/>
  <c r="A14" i="52"/>
  <c r="AF15" i="52"/>
  <c r="AJ31" i="58" l="1"/>
  <c r="AH30" i="58" s="1"/>
  <c r="AD31" i="58" s="1"/>
  <c r="B31" i="58" s="1"/>
  <c r="AP31" i="58"/>
  <c r="AJ19" i="55"/>
  <c r="AP19" i="55"/>
  <c r="AP27" i="60"/>
  <c r="AJ27" i="60"/>
  <c r="B22" i="60"/>
  <c r="AC22" i="60"/>
  <c r="AI22" i="60" s="1"/>
  <c r="AH22" i="60" s="1"/>
  <c r="AD23" i="60" s="1"/>
  <c r="AK23" i="60" s="1"/>
  <c r="A25" i="60"/>
  <c r="AF26" i="60"/>
  <c r="AI29" i="59"/>
  <c r="AD29" i="59"/>
  <c r="B29" i="59" s="1"/>
  <c r="AJ31" i="59"/>
  <c r="AP31" i="59"/>
  <c r="AH29" i="59"/>
  <c r="AI30" i="59" s="1"/>
  <c r="AN29" i="59"/>
  <c r="AH23" i="59"/>
  <c r="AD24" i="59" s="1"/>
  <c r="B24" i="59" s="1"/>
  <c r="AK24" i="59"/>
  <c r="AF25" i="59"/>
  <c r="AO25" i="59" s="1"/>
  <c r="A24" i="59"/>
  <c r="AJ51" i="58"/>
  <c r="AP51" i="58"/>
  <c r="AK50" i="58"/>
  <c r="AH29" i="58"/>
  <c r="AD30" i="58" s="1"/>
  <c r="AP30" i="58"/>
  <c r="AH24" i="58"/>
  <c r="AD25" i="58" s="1"/>
  <c r="B25" i="58" s="1"/>
  <c r="AK25" i="58"/>
  <c r="A24" i="58"/>
  <c r="AF25" i="58"/>
  <c r="AH49" i="58"/>
  <c r="AF23" i="57"/>
  <c r="A22" i="57"/>
  <c r="AJ27" i="57"/>
  <c r="AP27" i="57"/>
  <c r="AK49" i="57"/>
  <c r="AP50" i="57"/>
  <c r="AJ50" i="57"/>
  <c r="AH49" i="57" s="1"/>
  <c r="AH21" i="57"/>
  <c r="AD22" i="57" s="1"/>
  <c r="B22" i="57" s="1"/>
  <c r="AK22" i="57"/>
  <c r="B15" i="56"/>
  <c r="AC15" i="56"/>
  <c r="AI15" i="56" s="1"/>
  <c r="AH15" i="56"/>
  <c r="AD16" i="56" s="1"/>
  <c r="AK16" i="56"/>
  <c r="AP24" i="56"/>
  <c r="AJ24" i="56"/>
  <c r="A20" i="56"/>
  <c r="AF21" i="56"/>
  <c r="AK45" i="56"/>
  <c r="AP46" i="56"/>
  <c r="AJ46" i="56"/>
  <c r="AH45" i="56" s="1"/>
  <c r="AJ26" i="55"/>
  <c r="AF21" i="55"/>
  <c r="A20" i="55"/>
  <c r="AH17" i="55"/>
  <c r="AD18" i="55" s="1"/>
  <c r="B18" i="55" s="1"/>
  <c r="AK18" i="55"/>
  <c r="AF17" i="54"/>
  <c r="A16" i="54"/>
  <c r="AK16" i="54"/>
  <c r="AH16" i="54" s="1"/>
  <c r="AD17" i="54" s="1"/>
  <c r="B17" i="54" s="1"/>
  <c r="AI41" i="54"/>
  <c r="AH41" i="54" s="1"/>
  <c r="B41" i="54"/>
  <c r="AK41" i="54"/>
  <c r="AJ23" i="54"/>
  <c r="AP23" i="54"/>
  <c r="AP44" i="54"/>
  <c r="AJ44" i="54"/>
  <c r="AP41" i="53"/>
  <c r="AJ41" i="53"/>
  <c r="AH9" i="53"/>
  <c r="AD10" i="53" s="1"/>
  <c r="AK10" i="53" s="1"/>
  <c r="AP20" i="53"/>
  <c r="AJ20" i="53"/>
  <c r="A16" i="53"/>
  <c r="AF17" i="53"/>
  <c r="AH13" i="52"/>
  <c r="AD14" i="52" s="1"/>
  <c r="B14" i="52" s="1"/>
  <c r="AK14" i="52"/>
  <c r="A15" i="52"/>
  <c r="AF16" i="52"/>
  <c r="AP19" i="52"/>
  <c r="AJ19" i="52"/>
  <c r="AP44" i="52"/>
  <c r="AJ44" i="52"/>
  <c r="AC36" i="52"/>
  <c r="AI36" i="52" s="1"/>
  <c r="AH36" i="52" s="1"/>
  <c r="B36" i="52"/>
  <c r="AD37" i="52"/>
  <c r="AK36" i="52"/>
  <c r="AJ20" i="55" l="1"/>
  <c r="AP20" i="55"/>
  <c r="AK29" i="59"/>
  <c r="AP32" i="58"/>
  <c r="AH31" i="58"/>
  <c r="AD32" i="58" s="1"/>
  <c r="AK32" i="58" s="1"/>
  <c r="AK31" i="58"/>
  <c r="AJ28" i="60"/>
  <c r="AP28" i="60"/>
  <c r="B23" i="60"/>
  <c r="AC23" i="60"/>
  <c r="AI23" i="60" s="1"/>
  <c r="AH23" i="60" s="1"/>
  <c r="AD24" i="60" s="1"/>
  <c r="AK24" i="60" s="1"/>
  <c r="AO26" i="60"/>
  <c r="A26" i="60"/>
  <c r="AF27" i="60"/>
  <c r="AJ32" i="59"/>
  <c r="AP32" i="59"/>
  <c r="AK30" i="59"/>
  <c r="AH30" i="59"/>
  <c r="AI31" i="59" s="1"/>
  <c r="AF26" i="59"/>
  <c r="AO26" i="59" s="1"/>
  <c r="A25" i="59"/>
  <c r="AH24" i="59"/>
  <c r="AD25" i="59" s="1"/>
  <c r="AK25" i="59" s="1"/>
  <c r="AN30" i="58"/>
  <c r="B30" i="58"/>
  <c r="AH25" i="58"/>
  <c r="AD26" i="58" s="1"/>
  <c r="B26" i="58" s="1"/>
  <c r="AK26" i="58"/>
  <c r="AK30" i="58"/>
  <c r="AK51" i="58"/>
  <c r="AH51" i="58"/>
  <c r="AF26" i="58"/>
  <c r="A25" i="58"/>
  <c r="AH50" i="58"/>
  <c r="AH22" i="57"/>
  <c r="AD23" i="57" s="1"/>
  <c r="B23" i="57" s="1"/>
  <c r="AK23" i="57"/>
  <c r="AP28" i="57"/>
  <c r="AJ28" i="57"/>
  <c r="AJ29" i="57" s="1"/>
  <c r="AJ51" i="57"/>
  <c r="AH50" i="57" s="1"/>
  <c r="AK50" i="57"/>
  <c r="AP51" i="57"/>
  <c r="AF24" i="57"/>
  <c r="A23" i="57"/>
  <c r="B16" i="56"/>
  <c r="AC16" i="56"/>
  <c r="AI16" i="56" s="1"/>
  <c r="AK17" i="56"/>
  <c r="AH16" i="56"/>
  <c r="AD17" i="56" s="1"/>
  <c r="AP25" i="56"/>
  <c r="AJ25" i="56"/>
  <c r="AJ26" i="56" s="1"/>
  <c r="AJ47" i="56"/>
  <c r="AH46" i="56" s="1"/>
  <c r="AP47" i="56"/>
  <c r="AK46" i="56"/>
  <c r="A21" i="56"/>
  <c r="AF22" i="56"/>
  <c r="AF22" i="55"/>
  <c r="A21" i="55"/>
  <c r="AH18" i="55"/>
  <c r="AD19" i="55" s="1"/>
  <c r="B19" i="55" s="1"/>
  <c r="AK19" i="55"/>
  <c r="AJ27" i="55"/>
  <c r="AP27" i="55"/>
  <c r="AF18" i="54"/>
  <c r="A17" i="54"/>
  <c r="AK17" i="54"/>
  <c r="AH17" i="54" s="1"/>
  <c r="AD18" i="54" s="1"/>
  <c r="B18" i="54" s="1"/>
  <c r="AI42" i="54"/>
  <c r="AH42" i="54" s="1"/>
  <c r="B42" i="54"/>
  <c r="AK42" i="54"/>
  <c r="AJ45" i="54"/>
  <c r="AP45" i="54"/>
  <c r="AP24" i="54"/>
  <c r="AJ24" i="54"/>
  <c r="AP42" i="53"/>
  <c r="AJ42" i="53"/>
  <c r="B10" i="53"/>
  <c r="AC10" i="53"/>
  <c r="AI10" i="53" s="1"/>
  <c r="AH10" i="53" s="1"/>
  <c r="AD11" i="53" s="1"/>
  <c r="AF18" i="53"/>
  <c r="A17" i="53"/>
  <c r="AP21" i="53"/>
  <c r="AJ21" i="53"/>
  <c r="AJ45" i="52"/>
  <c r="AP45" i="52"/>
  <c r="AH14" i="52"/>
  <c r="AD15" i="52" s="1"/>
  <c r="B15" i="52" s="1"/>
  <c r="AK15" i="52"/>
  <c r="AP20" i="52"/>
  <c r="AJ20" i="52"/>
  <c r="A16" i="52"/>
  <c r="AF17" i="52"/>
  <c r="B37" i="52"/>
  <c r="AC37" i="52"/>
  <c r="AI37" i="52" s="1"/>
  <c r="AH37" i="52" s="1"/>
  <c r="AD38" i="52"/>
  <c r="AK37" i="52"/>
  <c r="AP30" i="57" l="1"/>
  <c r="AH29" i="57"/>
  <c r="AD30" i="57" s="1"/>
  <c r="AK30" i="57"/>
  <c r="AJ27" i="56"/>
  <c r="AP27" i="56"/>
  <c r="B32" i="58"/>
  <c r="B60" i="58"/>
  <c r="B59" i="58"/>
  <c r="AP21" i="55"/>
  <c r="AJ21" i="55"/>
  <c r="AJ29" i="60"/>
  <c r="AP29" i="60"/>
  <c r="B24" i="60"/>
  <c r="AC24" i="60"/>
  <c r="AI24" i="60" s="1"/>
  <c r="AH24" i="60" s="1"/>
  <c r="AD25" i="60" s="1"/>
  <c r="AK25" i="60" s="1"/>
  <c r="A27" i="60"/>
  <c r="AF28" i="60"/>
  <c r="AJ33" i="59"/>
  <c r="AP33" i="59"/>
  <c r="AK31" i="59"/>
  <c r="AI32" i="59"/>
  <c r="AH32" i="59" s="1"/>
  <c r="AH31" i="59"/>
  <c r="B25" i="59"/>
  <c r="AN25" i="59"/>
  <c r="AH25" i="59"/>
  <c r="AD26" i="59" s="1"/>
  <c r="AK26" i="59" s="1"/>
  <c r="AF27" i="59"/>
  <c r="A26" i="59"/>
  <c r="AK27" i="58"/>
  <c r="AH26" i="58"/>
  <c r="AD27" i="58" s="1"/>
  <c r="B27" i="58" s="1"/>
  <c r="AF27" i="58"/>
  <c r="A26" i="58"/>
  <c r="AF25" i="57"/>
  <c r="A24" i="57"/>
  <c r="AK51" i="57"/>
  <c r="AH51" i="57"/>
  <c r="AP29" i="57"/>
  <c r="AK24" i="57"/>
  <c r="AH23" i="57"/>
  <c r="AD24" i="57" s="1"/>
  <c r="B24" i="57" s="1"/>
  <c r="AH17" i="56"/>
  <c r="AD18" i="56" s="1"/>
  <c r="AK18" i="56"/>
  <c r="B17" i="56"/>
  <c r="AC17" i="56"/>
  <c r="AI17" i="56" s="1"/>
  <c r="AK47" i="56"/>
  <c r="AP48" i="56"/>
  <c r="AJ48" i="56"/>
  <c r="AH47" i="56" s="1"/>
  <c r="AP26" i="56"/>
  <c r="AF23" i="56"/>
  <c r="A22" i="56"/>
  <c r="AJ28" i="55"/>
  <c r="AP28" i="55"/>
  <c r="AK20" i="55"/>
  <c r="AH19" i="55"/>
  <c r="AD20" i="55" s="1"/>
  <c r="B20" i="55" s="1"/>
  <c r="A22" i="55"/>
  <c r="AF23" i="55"/>
  <c r="A18" i="54"/>
  <c r="AF19" i="54"/>
  <c r="AK18" i="54"/>
  <c r="AH18" i="54" s="1"/>
  <c r="AD19" i="54" s="1"/>
  <c r="B19" i="54" s="1"/>
  <c r="AJ46" i="54"/>
  <c r="AP46" i="54"/>
  <c r="B43" i="54"/>
  <c r="AI43" i="54"/>
  <c r="AH43" i="54" s="1"/>
  <c r="AK43" i="54"/>
  <c r="AJ25" i="54"/>
  <c r="AP25" i="54"/>
  <c r="AJ43" i="53"/>
  <c r="AP43" i="53"/>
  <c r="AK11" i="53"/>
  <c r="AL11" i="53"/>
  <c r="B11" i="53"/>
  <c r="AC11" i="53"/>
  <c r="AI11" i="53" s="1"/>
  <c r="AJ22" i="53"/>
  <c r="AP22" i="53"/>
  <c r="AF19" i="53"/>
  <c r="A18" i="53"/>
  <c r="AF18" i="52"/>
  <c r="A17" i="52"/>
  <c r="AH15" i="52"/>
  <c r="AD16" i="52" s="1"/>
  <c r="B16" i="52" s="1"/>
  <c r="AK16" i="52"/>
  <c r="AJ21" i="52"/>
  <c r="AP21" i="52"/>
  <c r="B38" i="52"/>
  <c r="AC38" i="52"/>
  <c r="AI38" i="52" s="1"/>
  <c r="AH38" i="52" s="1"/>
  <c r="AD39" i="52"/>
  <c r="AK38" i="52"/>
  <c r="AJ46" i="52"/>
  <c r="AP46" i="52"/>
  <c r="AH11" i="53" l="1"/>
  <c r="AD12" i="53" s="1"/>
  <c r="AJ22" i="55"/>
  <c r="AP22" i="55"/>
  <c r="B30" i="57"/>
  <c r="AN30" i="57"/>
  <c r="AK19" i="54"/>
  <c r="AJ28" i="56"/>
  <c r="AP29" i="56" s="1"/>
  <c r="AP28" i="56"/>
  <c r="AP30" i="60"/>
  <c r="AJ30" i="60"/>
  <c r="B25" i="60"/>
  <c r="AC25" i="60"/>
  <c r="AI25" i="60" s="1"/>
  <c r="A28" i="60"/>
  <c r="AF29" i="60"/>
  <c r="AK33" i="59"/>
  <c r="AJ34" i="59"/>
  <c r="AH33" i="59" s="1"/>
  <c r="AP34" i="59"/>
  <c r="AK32" i="59"/>
  <c r="B59" i="59"/>
  <c r="B60" i="59"/>
  <c r="B26" i="59"/>
  <c r="AN26" i="59"/>
  <c r="AF28" i="59"/>
  <c r="AF29" i="59" s="1"/>
  <c r="A29" i="59" s="1"/>
  <c r="A27" i="59"/>
  <c r="AH26" i="59"/>
  <c r="AD27" i="59" s="1"/>
  <c r="AH27" i="58"/>
  <c r="AD28" i="58" s="1"/>
  <c r="B28" i="58" s="1"/>
  <c r="AK28" i="58"/>
  <c r="AF28" i="58"/>
  <c r="A27" i="58"/>
  <c r="AN29" i="57"/>
  <c r="AN4" i="57" s="1"/>
  <c r="B54" i="57" s="1"/>
  <c r="AH24" i="57"/>
  <c r="AD25" i="57" s="1"/>
  <c r="B25" i="57" s="1"/>
  <c r="AK25" i="57"/>
  <c r="AF26" i="57"/>
  <c r="A25" i="57"/>
  <c r="AK19" i="56"/>
  <c r="AH18" i="56"/>
  <c r="AD19" i="56" s="1"/>
  <c r="B18" i="56"/>
  <c r="AC18" i="56"/>
  <c r="AI18" i="56" s="1"/>
  <c r="AF24" i="56"/>
  <c r="A23" i="56"/>
  <c r="AJ49" i="56"/>
  <c r="AP49" i="56"/>
  <c r="AK48" i="56"/>
  <c r="AF24" i="55"/>
  <c r="A23" i="55"/>
  <c r="AP29" i="55"/>
  <c r="AJ29" i="55"/>
  <c r="AK21" i="55"/>
  <c r="AH20" i="55"/>
  <c r="AD21" i="55" s="1"/>
  <c r="B21" i="55" s="1"/>
  <c r="A19" i="54"/>
  <c r="AF20" i="54"/>
  <c r="AJ26" i="54"/>
  <c r="AP26" i="54"/>
  <c r="AH19" i="54"/>
  <c r="AD20" i="54" s="1"/>
  <c r="B20" i="54" s="1"/>
  <c r="B44" i="54"/>
  <c r="AI44" i="54"/>
  <c r="AH44" i="54" s="1"/>
  <c r="AK44" i="54"/>
  <c r="AJ47" i="54"/>
  <c r="AP47" i="54"/>
  <c r="AP44" i="53"/>
  <c r="AJ44" i="53"/>
  <c r="AL12" i="53"/>
  <c r="AL4" i="53" s="1"/>
  <c r="B53" i="53" s="1"/>
  <c r="AK12" i="53"/>
  <c r="AH12" i="53" s="1"/>
  <c r="AD13" i="53" s="1"/>
  <c r="B12" i="53"/>
  <c r="AC12" i="53"/>
  <c r="AI12" i="53" s="1"/>
  <c r="AJ23" i="53"/>
  <c r="AP23" i="53"/>
  <c r="AF20" i="53"/>
  <c r="A19" i="53"/>
  <c r="AH16" i="52"/>
  <c r="AD17" i="52" s="1"/>
  <c r="B17" i="52" s="1"/>
  <c r="AK17" i="52"/>
  <c r="AF19" i="52"/>
  <c r="A18" i="52"/>
  <c r="AP47" i="52"/>
  <c r="AJ47" i="52"/>
  <c r="AP22" i="52"/>
  <c r="AJ22" i="52"/>
  <c r="B39" i="52"/>
  <c r="AC39" i="52"/>
  <c r="AI39" i="52" s="1"/>
  <c r="AH39" i="52" s="1"/>
  <c r="AK39" i="52"/>
  <c r="AD40" i="52"/>
  <c r="A29" i="60" l="1"/>
  <c r="AF30" i="60"/>
  <c r="AO29" i="60"/>
  <c r="AO4" i="60" s="1"/>
  <c r="AJ23" i="55"/>
  <c r="AP23" i="55"/>
  <c r="AJ31" i="60"/>
  <c r="AP31" i="60"/>
  <c r="AH25" i="60"/>
  <c r="AD26" i="60" s="1"/>
  <c r="AK34" i="59"/>
  <c r="AP35" i="59"/>
  <c r="AJ35" i="59"/>
  <c r="AH34" i="59" s="1"/>
  <c r="B27" i="59"/>
  <c r="AN27" i="59"/>
  <c r="AK27" i="59"/>
  <c r="AH27" i="59"/>
  <c r="AD28" i="59" s="1"/>
  <c r="A28" i="59"/>
  <c r="AH28" i="58"/>
  <c r="AD29" i="58" s="1"/>
  <c r="AK29" i="58" s="1"/>
  <c r="A28" i="58"/>
  <c r="AF29" i="58"/>
  <c r="AO29" i="58" s="1"/>
  <c r="AF27" i="57"/>
  <c r="A26" i="57"/>
  <c r="AH25" i="57"/>
  <c r="AD26" i="57" s="1"/>
  <c r="B26" i="57" s="1"/>
  <c r="AK26" i="57"/>
  <c r="B19" i="56"/>
  <c r="AC19" i="56"/>
  <c r="AI19" i="56" s="1"/>
  <c r="AH19" i="56"/>
  <c r="AD20" i="56" s="1"/>
  <c r="AK20" i="56"/>
  <c r="AK49" i="56"/>
  <c r="AP50" i="56"/>
  <c r="AJ50" i="56"/>
  <c r="AH49" i="56" s="1"/>
  <c r="A24" i="56"/>
  <c r="AF25" i="56"/>
  <c r="AH48" i="56"/>
  <c r="AP30" i="55"/>
  <c r="AJ30" i="55"/>
  <c r="AH21" i="55"/>
  <c r="AD22" i="55" s="1"/>
  <c r="B22" i="55" s="1"/>
  <c r="AK22" i="55"/>
  <c r="AF25" i="55"/>
  <c r="A24" i="55"/>
  <c r="AF21" i="54"/>
  <c r="A20" i="54"/>
  <c r="AK13" i="53"/>
  <c r="AK20" i="54"/>
  <c r="AH20" i="54" s="1"/>
  <c r="AD21" i="54" s="1"/>
  <c r="B21" i="54" s="1"/>
  <c r="AP48" i="54"/>
  <c r="AJ48" i="54"/>
  <c r="AI45" i="54"/>
  <c r="AH45" i="54" s="1"/>
  <c r="B45" i="54"/>
  <c r="AK45" i="54"/>
  <c r="AP27" i="54"/>
  <c r="AJ27" i="54"/>
  <c r="AJ45" i="53"/>
  <c r="AP45" i="53"/>
  <c r="AH13" i="53"/>
  <c r="AD14" i="53" s="1"/>
  <c r="AK14" i="53"/>
  <c r="B13" i="53"/>
  <c r="AC13" i="53"/>
  <c r="AI13" i="53" s="1"/>
  <c r="AF21" i="53"/>
  <c r="A20" i="53"/>
  <c r="AJ24" i="53"/>
  <c r="AP24" i="53"/>
  <c r="AJ23" i="52"/>
  <c r="AP23" i="52"/>
  <c r="AF20" i="52"/>
  <c r="A19" i="52"/>
  <c r="AJ48" i="52"/>
  <c r="AP48" i="52"/>
  <c r="AC40" i="52"/>
  <c r="AI40" i="52" s="1"/>
  <c r="AH40" i="52" s="1"/>
  <c r="B40" i="52"/>
  <c r="AD41" i="52"/>
  <c r="AK40" i="52"/>
  <c r="AH17" i="52"/>
  <c r="AD18" i="52" s="1"/>
  <c r="B18" i="52" s="1"/>
  <c r="AK18" i="52"/>
  <c r="AP24" i="55" l="1"/>
  <c r="AJ24" i="55"/>
  <c r="A30" i="60"/>
  <c r="AF31" i="60"/>
  <c r="A31" i="60" s="1"/>
  <c r="AJ32" i="60"/>
  <c r="AP32" i="60"/>
  <c r="AC26" i="60"/>
  <c r="AI26" i="60" s="1"/>
  <c r="B26" i="60"/>
  <c r="AK26" i="60"/>
  <c r="AN26" i="60"/>
  <c r="AP36" i="59"/>
  <c r="AJ36" i="59"/>
  <c r="AK35" i="59"/>
  <c r="B28" i="59"/>
  <c r="AN28" i="59"/>
  <c r="AN4" i="59" s="1"/>
  <c r="B54" i="59" s="1"/>
  <c r="AK28" i="59"/>
  <c r="AO29" i="59"/>
  <c r="AO4" i="59" s="1"/>
  <c r="A54" i="59" s="1"/>
  <c r="B29" i="58"/>
  <c r="AN29" i="58"/>
  <c r="AN4" i="58" s="1"/>
  <c r="B54" i="58" s="1"/>
  <c r="A29" i="58"/>
  <c r="AF30" i="58"/>
  <c r="AH26" i="57"/>
  <c r="AD27" i="57" s="1"/>
  <c r="B27" i="57" s="1"/>
  <c r="AK27" i="57"/>
  <c r="AF28" i="57"/>
  <c r="A27" i="57"/>
  <c r="B20" i="56"/>
  <c r="AC20" i="56"/>
  <c r="AI20" i="56" s="1"/>
  <c r="AK21" i="56"/>
  <c r="AH20" i="56"/>
  <c r="AD21" i="56" s="1"/>
  <c r="AJ51" i="56"/>
  <c r="AH50" i="56" s="1"/>
  <c r="AP51" i="56"/>
  <c r="AK50" i="56"/>
  <c r="A25" i="56"/>
  <c r="AF26" i="56"/>
  <c r="AJ31" i="55"/>
  <c r="AJ32" i="55" s="1"/>
  <c r="AP31" i="55"/>
  <c r="A25" i="55"/>
  <c r="AF26" i="55"/>
  <c r="AO26" i="55" s="1"/>
  <c r="AH22" i="55"/>
  <c r="AD23" i="55" s="1"/>
  <c r="B23" i="55" s="1"/>
  <c r="AK23" i="55"/>
  <c r="A21" i="54"/>
  <c r="AF22" i="54"/>
  <c r="AK21" i="54"/>
  <c r="AH21" i="54" s="1"/>
  <c r="AD22" i="54" s="1"/>
  <c r="B22" i="54" s="1"/>
  <c r="B46" i="54"/>
  <c r="AI46" i="54"/>
  <c r="AH46" i="54" s="1"/>
  <c r="AK46" i="54"/>
  <c r="AP49" i="54"/>
  <c r="AJ49" i="54"/>
  <c r="AP28" i="54"/>
  <c r="AJ28" i="54"/>
  <c r="AJ29" i="54" s="1"/>
  <c r="AJ46" i="53"/>
  <c r="AP46" i="53"/>
  <c r="AH14" i="53"/>
  <c r="AD15" i="53" s="1"/>
  <c r="AK15" i="53"/>
  <c r="B14" i="53"/>
  <c r="AC14" i="53"/>
  <c r="AI14" i="53" s="1"/>
  <c r="A21" i="53"/>
  <c r="AF22" i="53"/>
  <c r="AP25" i="53"/>
  <c r="AJ25" i="53"/>
  <c r="AJ49" i="52"/>
  <c r="AP49" i="52"/>
  <c r="AC41" i="52"/>
  <c r="AI41" i="52" s="1"/>
  <c r="AH41" i="52" s="1"/>
  <c r="B41" i="52"/>
  <c r="AK41" i="52"/>
  <c r="AD42" i="52"/>
  <c r="AF21" i="52"/>
  <c r="A20" i="52"/>
  <c r="AJ24" i="52"/>
  <c r="AP24" i="52"/>
  <c r="AH18" i="52"/>
  <c r="AD19" i="52" s="1"/>
  <c r="B19" i="52" s="1"/>
  <c r="AK19" i="52"/>
  <c r="AP25" i="55" l="1"/>
  <c r="AJ25" i="55"/>
  <c r="AP26" i="55" s="1"/>
  <c r="AP33" i="60"/>
  <c r="AJ33" i="60"/>
  <c r="AH26" i="60"/>
  <c r="AD27" i="60" s="1"/>
  <c r="AH35" i="59"/>
  <c r="AK36" i="59"/>
  <c r="AP37" i="59"/>
  <c r="AJ37" i="59"/>
  <c r="AF31" i="58"/>
  <c r="A30" i="58"/>
  <c r="AO30" i="58"/>
  <c r="AO4" i="58" s="1"/>
  <c r="A54" i="58" s="1"/>
  <c r="AF29" i="57"/>
  <c r="A28" i="57"/>
  <c r="AH27" i="57"/>
  <c r="AD28" i="57" s="1"/>
  <c r="B28" i="57" s="1"/>
  <c r="AK28" i="57"/>
  <c r="AH21" i="56"/>
  <c r="AD22" i="56" s="1"/>
  <c r="AK22" i="56"/>
  <c r="B21" i="56"/>
  <c r="AC21" i="56"/>
  <c r="AI21" i="56" s="1"/>
  <c r="AF27" i="56"/>
  <c r="A26" i="56"/>
  <c r="AO26" i="56"/>
  <c r="AK51" i="56"/>
  <c r="AH51" i="56"/>
  <c r="AP33" i="55"/>
  <c r="AJ33" i="55"/>
  <c r="AF27" i="55"/>
  <c r="A26" i="55"/>
  <c r="AH23" i="55"/>
  <c r="AD24" i="55" s="1"/>
  <c r="B24" i="55" s="1"/>
  <c r="AK24" i="55"/>
  <c r="AP32" i="55"/>
  <c r="AJ30" i="54"/>
  <c r="AP30" i="54"/>
  <c r="A22" i="54"/>
  <c r="AF23" i="54"/>
  <c r="AK22" i="54"/>
  <c r="AH22" i="54" s="1"/>
  <c r="AD23" i="54" s="1"/>
  <c r="B23" i="54" s="1"/>
  <c r="AJ50" i="54"/>
  <c r="AP50" i="54"/>
  <c r="B47" i="54"/>
  <c r="AI47" i="54"/>
  <c r="AH47" i="54" s="1"/>
  <c r="AK47" i="54"/>
  <c r="AP29" i="54"/>
  <c r="AJ47" i="53"/>
  <c r="AP47" i="53"/>
  <c r="AH15" i="53"/>
  <c r="AD16" i="53" s="1"/>
  <c r="AK16" i="53"/>
  <c r="B15" i="53"/>
  <c r="AC15" i="53"/>
  <c r="AI15" i="53" s="1"/>
  <c r="AJ26" i="53"/>
  <c r="AP26" i="53"/>
  <c r="A22" i="53"/>
  <c r="AF23" i="53"/>
  <c r="AP25" i="52"/>
  <c r="AJ25" i="52"/>
  <c r="AP50" i="52"/>
  <c r="AJ50" i="52"/>
  <c r="AC42" i="52"/>
  <c r="AI42" i="52" s="1"/>
  <c r="AH42" i="52" s="1"/>
  <c r="B42" i="52"/>
  <c r="AD43" i="52"/>
  <c r="AK42" i="52"/>
  <c r="AH19" i="52"/>
  <c r="AD20" i="52" s="1"/>
  <c r="B20" i="52" s="1"/>
  <c r="AK20" i="52"/>
  <c r="A21" i="52"/>
  <c r="AF22" i="52"/>
  <c r="AH28" i="57" l="1"/>
  <c r="AD29" i="57" s="1"/>
  <c r="B29" i="57" s="1"/>
  <c r="AK29" i="57"/>
  <c r="AJ34" i="60"/>
  <c r="AP34" i="60"/>
  <c r="B27" i="60"/>
  <c r="AC27" i="60"/>
  <c r="AI27" i="60" s="1"/>
  <c r="AK27" i="60"/>
  <c r="AH36" i="59"/>
  <c r="AP38" i="59"/>
  <c r="AJ38" i="59"/>
  <c r="AK37" i="59"/>
  <c r="A31" i="58"/>
  <c r="AF32" i="58"/>
  <c r="A60" i="58" s="1"/>
  <c r="AO29" i="57"/>
  <c r="AF30" i="57"/>
  <c r="AO30" i="57" s="1"/>
  <c r="A29" i="57"/>
  <c r="AK23" i="56"/>
  <c r="AH22" i="56"/>
  <c r="AD23" i="56" s="1"/>
  <c r="B22" i="56"/>
  <c r="AC22" i="56"/>
  <c r="AI22" i="56" s="1"/>
  <c r="AF28" i="56"/>
  <c r="A27" i="56"/>
  <c r="AP34" i="55"/>
  <c r="AJ34" i="55"/>
  <c r="AJ35" i="55" s="1"/>
  <c r="AN32" i="55"/>
  <c r="AH24" i="55"/>
  <c r="AD25" i="55" s="1"/>
  <c r="B25" i="55" s="1"/>
  <c r="AK25" i="55"/>
  <c r="AF28" i="55"/>
  <c r="A27" i="55"/>
  <c r="AF24" i="54"/>
  <c r="A23" i="54"/>
  <c r="AP31" i="54"/>
  <c r="AJ31" i="54"/>
  <c r="AK23" i="54"/>
  <c r="AP51" i="54"/>
  <c r="AJ51" i="54"/>
  <c r="AN29" i="54"/>
  <c r="AH23" i="54"/>
  <c r="AD24" i="54" s="1"/>
  <c r="B24" i="54" s="1"/>
  <c r="AI48" i="54"/>
  <c r="AH48" i="54" s="1"/>
  <c r="B48" i="54"/>
  <c r="AK48" i="54"/>
  <c r="AJ48" i="53"/>
  <c r="AP48" i="53"/>
  <c r="B16" i="53"/>
  <c r="AC16" i="53"/>
  <c r="AI16" i="53" s="1"/>
  <c r="AH16" i="53"/>
  <c r="AD17" i="53" s="1"/>
  <c r="AK17" i="53"/>
  <c r="AJ27" i="53"/>
  <c r="AP27" i="53"/>
  <c r="A23" i="53"/>
  <c r="AF24" i="53"/>
  <c r="AJ26" i="52"/>
  <c r="AP26" i="52"/>
  <c r="AC43" i="52"/>
  <c r="AI43" i="52" s="1"/>
  <c r="AH43" i="52" s="1"/>
  <c r="B43" i="52"/>
  <c r="AD44" i="52"/>
  <c r="AK43" i="52"/>
  <c r="AP51" i="52"/>
  <c r="AJ51" i="52"/>
  <c r="A22" i="52"/>
  <c r="AF23" i="52"/>
  <c r="AH20" i="52"/>
  <c r="AD21" i="52" s="1"/>
  <c r="B21" i="52" s="1"/>
  <c r="AK21" i="52"/>
  <c r="AP36" i="55" l="1"/>
  <c r="AJ36" i="55"/>
  <c r="AP35" i="60"/>
  <c r="AJ35" i="60"/>
  <c r="AH27" i="60"/>
  <c r="AD28" i="60" s="1"/>
  <c r="AH37" i="59"/>
  <c r="AJ39" i="59"/>
  <c r="AK38" i="59"/>
  <c r="AP39" i="59"/>
  <c r="A60" i="59"/>
  <c r="A32" i="58"/>
  <c r="AO4" i="57"/>
  <c r="A54" i="57" s="1"/>
  <c r="AF31" i="57"/>
  <c r="A30" i="57"/>
  <c r="B23" i="56"/>
  <c r="AC23" i="56"/>
  <c r="AI23" i="56" s="1"/>
  <c r="AH23" i="56"/>
  <c r="AD24" i="56" s="1"/>
  <c r="AK24" i="56"/>
  <c r="A28" i="56"/>
  <c r="AF29" i="56"/>
  <c r="AO29" i="56" s="1"/>
  <c r="AO4" i="56" s="1"/>
  <c r="A54" i="56" s="1"/>
  <c r="AP35" i="55"/>
  <c r="AF29" i="55"/>
  <c r="A28" i="55"/>
  <c r="AH25" i="55"/>
  <c r="AD26" i="55" s="1"/>
  <c r="AP32" i="54"/>
  <c r="AH31" i="54"/>
  <c r="AD32" i="54" s="1"/>
  <c r="AK32" i="54" s="1"/>
  <c r="AF25" i="54"/>
  <c r="A24" i="54"/>
  <c r="AK24" i="54"/>
  <c r="AH24" i="54" s="1"/>
  <c r="AD25" i="54" s="1"/>
  <c r="B25" i="54" s="1"/>
  <c r="AI49" i="54"/>
  <c r="AH49" i="54" s="1"/>
  <c r="B49" i="54"/>
  <c r="AK49" i="54"/>
  <c r="AP49" i="53"/>
  <c r="AJ49" i="53"/>
  <c r="B17" i="53"/>
  <c r="AC17" i="53"/>
  <c r="AI17" i="53" s="1"/>
  <c r="AK18" i="53"/>
  <c r="AH17" i="53"/>
  <c r="AD18" i="53" s="1"/>
  <c r="A24" i="53"/>
  <c r="AF25" i="53"/>
  <c r="AP28" i="53"/>
  <c r="AJ28" i="53"/>
  <c r="B44" i="52"/>
  <c r="AC44" i="52"/>
  <c r="AI44" i="52" s="1"/>
  <c r="AH44" i="52" s="1"/>
  <c r="AD45" i="52"/>
  <c r="AK44" i="52"/>
  <c r="AH21" i="52"/>
  <c r="AD22" i="52" s="1"/>
  <c r="B22" i="52" s="1"/>
  <c r="AK22" i="52"/>
  <c r="AP27" i="52"/>
  <c r="AJ27" i="52"/>
  <c r="A23" i="52"/>
  <c r="AF24" i="52"/>
  <c r="AP37" i="55" l="1"/>
  <c r="AJ37" i="55"/>
  <c r="AJ36" i="60"/>
  <c r="AP36" i="60"/>
  <c r="B28" i="60"/>
  <c r="AC28" i="60"/>
  <c r="AI28" i="60" s="1"/>
  <c r="AK28" i="60"/>
  <c r="AH38" i="59"/>
  <c r="AP40" i="59"/>
  <c r="AJ40" i="59"/>
  <c r="AK39" i="59"/>
  <c r="A31" i="57"/>
  <c r="AF32" i="57"/>
  <c r="B24" i="56"/>
  <c r="AC24" i="56"/>
  <c r="AI24" i="56" s="1"/>
  <c r="AH24" i="56"/>
  <c r="AD25" i="56" s="1"/>
  <c r="AK25" i="56"/>
  <c r="AF30" i="56"/>
  <c r="A29" i="56"/>
  <c r="B26" i="55"/>
  <c r="AN26" i="55"/>
  <c r="AN4" i="55" s="1"/>
  <c r="B54" i="55" s="1"/>
  <c r="AK26" i="55"/>
  <c r="AH26" i="55"/>
  <c r="AD27" i="55" s="1"/>
  <c r="B27" i="55" s="1"/>
  <c r="AF30" i="55"/>
  <c r="A29" i="55"/>
  <c r="AN32" i="54"/>
  <c r="AN4" i="54" s="1"/>
  <c r="B54" i="54" s="1"/>
  <c r="B32" i="54"/>
  <c r="AF26" i="54"/>
  <c r="A25" i="54"/>
  <c r="AK25" i="54"/>
  <c r="AH25" i="54" s="1"/>
  <c r="AD26" i="54" s="1"/>
  <c r="B26" i="54" s="1"/>
  <c r="AI50" i="54"/>
  <c r="AH50" i="54" s="1"/>
  <c r="B50" i="54"/>
  <c r="AK50" i="54"/>
  <c r="AP50" i="53"/>
  <c r="AJ50" i="53"/>
  <c r="B18" i="53"/>
  <c r="AC18" i="53"/>
  <c r="AI18" i="53" s="1"/>
  <c r="AH18" i="53"/>
  <c r="AD19" i="53" s="1"/>
  <c r="AK19" i="53"/>
  <c r="AF26" i="53"/>
  <c r="A25" i="53"/>
  <c r="AP29" i="53"/>
  <c r="AJ29" i="53"/>
  <c r="AJ30" i="53" s="1"/>
  <c r="AP28" i="52"/>
  <c r="AJ28" i="52"/>
  <c r="AH22" i="52"/>
  <c r="AD23" i="52" s="1"/>
  <c r="B23" i="52" s="1"/>
  <c r="AK23" i="52"/>
  <c r="AC45" i="52"/>
  <c r="AI45" i="52" s="1"/>
  <c r="AH45" i="52" s="1"/>
  <c r="B45" i="52"/>
  <c r="AK45" i="52"/>
  <c r="AD46" i="52"/>
  <c r="A24" i="52"/>
  <c r="AF25" i="52"/>
  <c r="AK27" i="55" l="1"/>
  <c r="AJ38" i="55"/>
  <c r="AP38" i="55"/>
  <c r="AJ37" i="60"/>
  <c r="AP37" i="60"/>
  <c r="AI29" i="60"/>
  <c r="AI30" i="60" s="1"/>
  <c r="AI31" i="60" s="1"/>
  <c r="AH28" i="60"/>
  <c r="AD29" i="60" s="1"/>
  <c r="AN29" i="60" s="1"/>
  <c r="AN4" i="60" s="1"/>
  <c r="AH39" i="59"/>
  <c r="AP41" i="59"/>
  <c r="AJ41" i="59"/>
  <c r="AK40" i="59"/>
  <c r="AF33" i="57"/>
  <c r="A33" i="57" s="1"/>
  <c r="A32" i="57"/>
  <c r="B25" i="56"/>
  <c r="AC25" i="56"/>
  <c r="AI25" i="56" s="1"/>
  <c r="AF31" i="56"/>
  <c r="A30" i="56"/>
  <c r="AF31" i="55"/>
  <c r="A30" i="55"/>
  <c r="AH27" i="55"/>
  <c r="AD28" i="55" s="1"/>
  <c r="B28" i="55" s="1"/>
  <c r="AF27" i="54"/>
  <c r="A26" i="54"/>
  <c r="AJ31" i="53"/>
  <c r="AP32" i="53" s="1"/>
  <c r="AP31" i="53"/>
  <c r="AK26" i="54"/>
  <c r="AK27" i="54" s="1"/>
  <c r="B51" i="54"/>
  <c r="AI51" i="54"/>
  <c r="AH51" i="54" s="1"/>
  <c r="AK51" i="54"/>
  <c r="AJ51" i="53"/>
  <c r="AP51" i="53"/>
  <c r="AH19" i="53"/>
  <c r="AD20" i="53" s="1"/>
  <c r="AK20" i="53"/>
  <c r="B19" i="53"/>
  <c r="AC19" i="53"/>
  <c r="AI19" i="53" s="1"/>
  <c r="AP30" i="53"/>
  <c r="AF27" i="53"/>
  <c r="A26" i="53"/>
  <c r="AH23" i="52"/>
  <c r="AD24" i="52" s="1"/>
  <c r="B24" i="52" s="1"/>
  <c r="AK24" i="52"/>
  <c r="AJ29" i="52"/>
  <c r="AP29" i="52"/>
  <c r="B46" i="52"/>
  <c r="AC46" i="52"/>
  <c r="AI46" i="52" s="1"/>
  <c r="AH46" i="52" s="1"/>
  <c r="AD47" i="52"/>
  <c r="AK46" i="52"/>
  <c r="AF26" i="52"/>
  <c r="A25" i="52"/>
  <c r="A31" i="56" l="1"/>
  <c r="AF32" i="56"/>
  <c r="AJ39" i="55"/>
  <c r="AP39" i="55"/>
  <c r="AK28" i="55"/>
  <c r="AP38" i="60"/>
  <c r="AJ38" i="60"/>
  <c r="B29" i="60"/>
  <c r="AK29" i="60"/>
  <c r="AH40" i="59"/>
  <c r="AP42" i="59"/>
  <c r="AJ42" i="59"/>
  <c r="AK41" i="59"/>
  <c r="AH25" i="56"/>
  <c r="AD26" i="56" s="1"/>
  <c r="AH28" i="55"/>
  <c r="AD29" i="55" s="1"/>
  <c r="B29" i="55" s="1"/>
  <c r="A31" i="55"/>
  <c r="A27" i="54"/>
  <c r="AF28" i="54"/>
  <c r="AH26" i="54"/>
  <c r="AD27" i="54" s="1"/>
  <c r="B27" i="54" s="1"/>
  <c r="AH27" i="54"/>
  <c r="AD28" i="54" s="1"/>
  <c r="B28" i="54" s="1"/>
  <c r="AO29" i="54"/>
  <c r="AH20" i="53"/>
  <c r="AD21" i="53" s="1"/>
  <c r="AK21" i="53"/>
  <c r="B20" i="53"/>
  <c r="AC20" i="53"/>
  <c r="AI20" i="53" s="1"/>
  <c r="AF28" i="53"/>
  <c r="A27" i="53"/>
  <c r="AF27" i="52"/>
  <c r="A26" i="52"/>
  <c r="AP30" i="52"/>
  <c r="AH29" i="52"/>
  <c r="AD30" i="52"/>
  <c r="AK30" i="52"/>
  <c r="B47" i="52"/>
  <c r="AC47" i="52"/>
  <c r="AI47" i="52" s="1"/>
  <c r="AH47" i="52" s="1"/>
  <c r="AK47" i="52"/>
  <c r="AD48" i="52"/>
  <c r="AK25" i="52"/>
  <c r="AH24" i="52"/>
  <c r="AD25" i="52" s="1"/>
  <c r="B25" i="52" s="1"/>
  <c r="AP40" i="55" l="1"/>
  <c r="AJ40" i="55"/>
  <c r="A32" i="56"/>
  <c r="AF33" i="56"/>
  <c r="A33" i="56" s="1"/>
  <c r="AH30" i="60"/>
  <c r="AH29" i="60"/>
  <c r="AD30" i="60" s="1"/>
  <c r="B30" i="60" s="1"/>
  <c r="AJ39" i="60"/>
  <c r="AP39" i="60"/>
  <c r="AH41" i="59"/>
  <c r="AJ43" i="59"/>
  <c r="AK42" i="59"/>
  <c r="AP43" i="59"/>
  <c r="AC26" i="56"/>
  <c r="AI26" i="56" s="1"/>
  <c r="AN26" i="56"/>
  <c r="AK26" i="56"/>
  <c r="B26" i="56"/>
  <c r="AK29" i="55"/>
  <c r="AH29" i="55"/>
  <c r="AD30" i="55" s="1"/>
  <c r="B30" i="55" s="1"/>
  <c r="AO32" i="55"/>
  <c r="AO4" i="55" s="1"/>
  <c r="A54" i="55" s="1"/>
  <c r="A28" i="54"/>
  <c r="AF29" i="54"/>
  <c r="AK28" i="54"/>
  <c r="AK22" i="53"/>
  <c r="AH21" i="53"/>
  <c r="AD22" i="53" s="1"/>
  <c r="B21" i="53"/>
  <c r="AC21" i="53"/>
  <c r="AI21" i="53" s="1"/>
  <c r="AF29" i="53"/>
  <c r="AO29" i="53" s="1"/>
  <c r="A28" i="53"/>
  <c r="AC48" i="52"/>
  <c r="AI48" i="52" s="1"/>
  <c r="AH48" i="52" s="1"/>
  <c r="B48" i="52"/>
  <c r="AD49" i="52"/>
  <c r="AK48" i="52"/>
  <c r="B30" i="52"/>
  <c r="AN30" i="52"/>
  <c r="AN4" i="52" s="1"/>
  <c r="B54" i="52" s="1"/>
  <c r="AF28" i="52"/>
  <c r="A27" i="52"/>
  <c r="AH25" i="52"/>
  <c r="AD26" i="52" s="1"/>
  <c r="B26" i="52" s="1"/>
  <c r="AK26" i="52"/>
  <c r="AP41" i="55" l="1"/>
  <c r="AJ41" i="55"/>
  <c r="AD31" i="60"/>
  <c r="B31" i="60" s="1"/>
  <c r="AK31" i="60"/>
  <c r="AK30" i="60"/>
  <c r="AH31" i="60"/>
  <c r="AP40" i="60"/>
  <c r="AJ40" i="60"/>
  <c r="AP44" i="59"/>
  <c r="AJ44" i="59"/>
  <c r="AK43" i="59"/>
  <c r="AH42" i="59"/>
  <c r="AH26" i="56"/>
  <c r="AD27" i="56" s="1"/>
  <c r="AK30" i="55"/>
  <c r="AH30" i="55"/>
  <c r="AD31" i="55" s="1"/>
  <c r="AH28" i="54"/>
  <c r="AD29" i="54" s="1"/>
  <c r="B29" i="54" s="1"/>
  <c r="AK29" i="54"/>
  <c r="A29" i="54"/>
  <c r="AF30" i="54"/>
  <c r="B22" i="53"/>
  <c r="AC22" i="53"/>
  <c r="AI22" i="53" s="1"/>
  <c r="AH22" i="53"/>
  <c r="AD23" i="53" s="1"/>
  <c r="AK23" i="53"/>
  <c r="A29" i="53"/>
  <c r="AF30" i="53"/>
  <c r="AF29" i="52"/>
  <c r="A28" i="52"/>
  <c r="AC49" i="52"/>
  <c r="AI49" i="52" s="1"/>
  <c r="AH49" i="52" s="1"/>
  <c r="B49" i="52"/>
  <c r="AD50" i="52"/>
  <c r="AK49" i="52"/>
  <c r="AH26" i="52"/>
  <c r="AD27" i="52" s="1"/>
  <c r="B27" i="52" s="1"/>
  <c r="AK27" i="52"/>
  <c r="AP42" i="55" l="1"/>
  <c r="AJ42" i="55"/>
  <c r="AK32" i="60"/>
  <c r="B60" i="60"/>
  <c r="B59" i="60"/>
  <c r="AH32" i="60"/>
  <c r="AP41" i="60"/>
  <c r="AJ41" i="60"/>
  <c r="AH43" i="59"/>
  <c r="AJ45" i="59"/>
  <c r="AP45" i="59"/>
  <c r="AK44" i="59"/>
  <c r="AC27" i="56"/>
  <c r="AI27" i="56" s="1"/>
  <c r="B27" i="56"/>
  <c r="AK27" i="56"/>
  <c r="B31" i="55"/>
  <c r="AC31" i="55"/>
  <c r="AI31" i="55" s="1"/>
  <c r="AK31" i="55"/>
  <c r="AF31" i="54"/>
  <c r="A30" i="54"/>
  <c r="AK30" i="54"/>
  <c r="AH29" i="54"/>
  <c r="AD30" i="54" s="1"/>
  <c r="B30" i="54" s="1"/>
  <c r="AH23" i="53"/>
  <c r="AD24" i="53" s="1"/>
  <c r="AK24" i="53"/>
  <c r="B23" i="53"/>
  <c r="AC23" i="53"/>
  <c r="AI23" i="53" s="1"/>
  <c r="A30" i="53"/>
  <c r="AF31" i="53"/>
  <c r="AO30" i="53"/>
  <c r="AO4" i="53" s="1"/>
  <c r="A54" i="53" s="1"/>
  <c r="AH27" i="52"/>
  <c r="AD28" i="52" s="1"/>
  <c r="B28" i="52" s="1"/>
  <c r="AK28" i="52"/>
  <c r="AC50" i="52"/>
  <c r="AI50" i="52" s="1"/>
  <c r="AH50" i="52" s="1"/>
  <c r="B50" i="52"/>
  <c r="AD51" i="52"/>
  <c r="AK50" i="52"/>
  <c r="A29" i="52"/>
  <c r="AF30" i="52"/>
  <c r="AJ43" i="55" l="1"/>
  <c r="AP43" i="55"/>
  <c r="AK33" i="60"/>
  <c r="AH33" i="60"/>
  <c r="AP42" i="60"/>
  <c r="AJ42" i="60"/>
  <c r="AH44" i="59"/>
  <c r="AP46" i="59"/>
  <c r="AK45" i="59"/>
  <c r="AJ46" i="59"/>
  <c r="AH27" i="56"/>
  <c r="AD28" i="56" s="1"/>
  <c r="AH31" i="55"/>
  <c r="AI32" i="55" s="1"/>
  <c r="AH30" i="54"/>
  <c r="AD31" i="54" s="1"/>
  <c r="B31" i="54" s="1"/>
  <c r="AK31" i="54"/>
  <c r="A31" i="54"/>
  <c r="AF32" i="54"/>
  <c r="B24" i="53"/>
  <c r="AC24" i="53"/>
  <c r="AI24" i="53" s="1"/>
  <c r="AK25" i="53"/>
  <c r="AH24" i="53"/>
  <c r="AD25" i="53" s="1"/>
  <c r="A31" i="53"/>
  <c r="AF32" i="53"/>
  <c r="AF33" i="53" s="1"/>
  <c r="A30" i="52"/>
  <c r="AF31" i="52"/>
  <c r="AO30" i="52"/>
  <c r="AO4" i="52" s="1"/>
  <c r="A54" i="52" s="1"/>
  <c r="AC51" i="52"/>
  <c r="AI51" i="52" s="1"/>
  <c r="AH51" i="52" s="1"/>
  <c r="B51" i="52"/>
  <c r="AK51" i="52"/>
  <c r="AH28" i="52"/>
  <c r="AD29" i="52" s="1"/>
  <c r="B29" i="52" s="1"/>
  <c r="AK29" i="52"/>
  <c r="AP44" i="55" l="1"/>
  <c r="AJ44" i="55"/>
  <c r="AK34" i="60"/>
  <c r="AH34" i="60"/>
  <c r="AJ43" i="60"/>
  <c r="AP43" i="60"/>
  <c r="AH45" i="59"/>
  <c r="AP47" i="59"/>
  <c r="AJ47" i="59"/>
  <c r="AK46" i="59"/>
  <c r="B28" i="56"/>
  <c r="AC28" i="56"/>
  <c r="AI28" i="56" s="1"/>
  <c r="AK28" i="56"/>
  <c r="AK32" i="55"/>
  <c r="AH32" i="55"/>
  <c r="AI33" i="55" s="1"/>
  <c r="AO32" i="54"/>
  <c r="AO4" i="54" s="1"/>
  <c r="A54" i="54" s="1"/>
  <c r="A32" i="54"/>
  <c r="AF33" i="54"/>
  <c r="B25" i="53"/>
  <c r="AC25" i="53"/>
  <c r="AI25" i="53" s="1"/>
  <c r="AH25" i="53"/>
  <c r="AD26" i="53" s="1"/>
  <c r="AK26" i="53"/>
  <c r="A32" i="53"/>
  <c r="A31" i="52"/>
  <c r="AF32" i="52"/>
  <c r="AJ45" i="55" l="1"/>
  <c r="AP45" i="55"/>
  <c r="AK35" i="60"/>
  <c r="AH35" i="60"/>
  <c r="AP44" i="60"/>
  <c r="AJ44" i="60"/>
  <c r="AH46" i="59"/>
  <c r="AK47" i="59"/>
  <c r="AP48" i="59"/>
  <c r="AJ48" i="59"/>
  <c r="AH28" i="56"/>
  <c r="AD29" i="56" s="1"/>
  <c r="AN29" i="56" s="1"/>
  <c r="AN4" i="56" s="1"/>
  <c r="B54" i="56" s="1"/>
  <c r="AK33" i="55"/>
  <c r="AH33" i="55"/>
  <c r="AI34" i="55" s="1"/>
  <c r="AF34" i="54"/>
  <c r="A33" i="54"/>
  <c r="AK27" i="53"/>
  <c r="AH26" i="53"/>
  <c r="AD27" i="53" s="1"/>
  <c r="B26" i="53"/>
  <c r="AC26" i="53"/>
  <c r="AI26" i="53" s="1"/>
  <c r="A33" i="53"/>
  <c r="AF34" i="53"/>
  <c r="A32" i="52"/>
  <c r="AF33" i="52"/>
  <c r="AP46" i="55" l="1"/>
  <c r="AJ46" i="55"/>
  <c r="AK36" i="60"/>
  <c r="AH36" i="60"/>
  <c r="AP45" i="60"/>
  <c r="AJ45" i="60"/>
  <c r="AH47" i="59"/>
  <c r="AP49" i="59"/>
  <c r="AK48" i="59"/>
  <c r="AJ49" i="59"/>
  <c r="B29" i="56"/>
  <c r="AC29" i="56"/>
  <c r="AI29" i="56" s="1"/>
  <c r="AK29" i="56"/>
  <c r="AK34" i="55"/>
  <c r="AH34" i="55"/>
  <c r="AI35" i="55" s="1"/>
  <c r="AH35" i="55" s="1"/>
  <c r="A34" i="54"/>
  <c r="AF35" i="54"/>
  <c r="B27" i="53"/>
  <c r="AC27" i="53"/>
  <c r="AI27" i="53" s="1"/>
  <c r="AH27" i="53"/>
  <c r="AD28" i="53" s="1"/>
  <c r="AK28" i="53"/>
  <c r="AF35" i="53"/>
  <c r="A34" i="53"/>
  <c r="AF34" i="52"/>
  <c r="A33" i="52"/>
  <c r="AP47" i="55" l="1"/>
  <c r="AJ47" i="55"/>
  <c r="AK37" i="60"/>
  <c r="AH37" i="60"/>
  <c r="AP46" i="60"/>
  <c r="AJ46" i="60"/>
  <c r="AH48" i="59"/>
  <c r="AK49" i="59"/>
  <c r="AJ50" i="59"/>
  <c r="AP50" i="59"/>
  <c r="AH29" i="56"/>
  <c r="AD30" i="56" s="1"/>
  <c r="E10" i="55"/>
  <c r="AK35" i="55"/>
  <c r="AK36" i="55"/>
  <c r="AI36" i="55"/>
  <c r="AH36" i="55" s="1"/>
  <c r="AF36" i="54"/>
  <c r="A35" i="54"/>
  <c r="B28" i="53"/>
  <c r="AC28" i="53"/>
  <c r="AI28" i="53" s="1"/>
  <c r="AH28" i="53"/>
  <c r="AD29" i="53" s="1"/>
  <c r="AN29" i="53" s="1"/>
  <c r="AF36" i="53"/>
  <c r="A35" i="53"/>
  <c r="AF35" i="52"/>
  <c r="A34" i="52"/>
  <c r="AP48" i="55" l="1"/>
  <c r="AJ48" i="55"/>
  <c r="AK38" i="60"/>
  <c r="AH38" i="60"/>
  <c r="AK39" i="60"/>
  <c r="AP47" i="60"/>
  <c r="AJ47" i="60"/>
  <c r="AH49" i="59"/>
  <c r="AK50" i="59"/>
  <c r="AP51" i="59"/>
  <c r="AJ51" i="59"/>
  <c r="AC30" i="56"/>
  <c r="AI30" i="56" s="1"/>
  <c r="AH30" i="56" s="1"/>
  <c r="AD31" i="56" s="1"/>
  <c r="B30" i="56"/>
  <c r="AK30" i="56"/>
  <c r="AK37" i="55"/>
  <c r="AI37" i="55"/>
  <c r="AH37" i="55" s="1"/>
  <c r="A36" i="54"/>
  <c r="AK29" i="53"/>
  <c r="B29" i="53"/>
  <c r="AC29" i="53"/>
  <c r="AI29" i="53" s="1"/>
  <c r="AF37" i="53"/>
  <c r="A36" i="53"/>
  <c r="AF36" i="52"/>
  <c r="A35" i="52"/>
  <c r="AJ49" i="55" l="1"/>
  <c r="AP49" i="55"/>
  <c r="AH39" i="60"/>
  <c r="AK40" i="60"/>
  <c r="AJ48" i="60"/>
  <c r="AP48" i="60"/>
  <c r="AH50" i="59"/>
  <c r="AH51" i="59"/>
  <c r="AK51" i="59"/>
  <c r="AC31" i="56"/>
  <c r="AI31" i="56" s="1"/>
  <c r="B31" i="56"/>
  <c r="AK31" i="56"/>
  <c r="AI38" i="55"/>
  <c r="AH38" i="55" s="1"/>
  <c r="AK38" i="55"/>
  <c r="A37" i="54"/>
  <c r="AH29" i="53"/>
  <c r="AD30" i="53" s="1"/>
  <c r="A37" i="53"/>
  <c r="AF38" i="53"/>
  <c r="AF37" i="52"/>
  <c r="A36" i="52"/>
  <c r="AJ50" i="55" l="1"/>
  <c r="AP50" i="55"/>
  <c r="AH31" i="56"/>
  <c r="AD32" i="56" s="1"/>
  <c r="AI32" i="56"/>
  <c r="AK41" i="60"/>
  <c r="AH40" i="60"/>
  <c r="AJ49" i="60"/>
  <c r="AP49" i="60"/>
  <c r="AI39" i="55"/>
  <c r="AH39" i="55" s="1"/>
  <c r="AK39" i="55"/>
  <c r="A38" i="54"/>
  <c r="AC30" i="53"/>
  <c r="AI30" i="53" s="1"/>
  <c r="B30" i="53"/>
  <c r="AN30" i="53"/>
  <c r="AN4" i="53" s="1"/>
  <c r="B54" i="53" s="1"/>
  <c r="AK30" i="53"/>
  <c r="A38" i="53"/>
  <c r="AF39" i="53"/>
  <c r="A37" i="52"/>
  <c r="AF38" i="52"/>
  <c r="AI33" i="56" l="1"/>
  <c r="AH33" i="56" s="1"/>
  <c r="AK34" i="56" s="1"/>
  <c r="AH32" i="56"/>
  <c r="AD33" i="56" s="1"/>
  <c r="B32" i="56"/>
  <c r="AK32" i="56"/>
  <c r="AJ51" i="55"/>
  <c r="AP51" i="55"/>
  <c r="AK42" i="60"/>
  <c r="AH41" i="60"/>
  <c r="AJ50" i="60"/>
  <c r="AP50" i="60"/>
  <c r="AI40" i="55"/>
  <c r="AH40" i="55" s="1"/>
  <c r="AK40" i="55"/>
  <c r="A39" i="54"/>
  <c r="AH30" i="53"/>
  <c r="AD31" i="53" s="1"/>
  <c r="A39" i="53"/>
  <c r="AF40" i="53"/>
  <c r="A38" i="52"/>
  <c r="AF39" i="52"/>
  <c r="B33" i="56" l="1"/>
  <c r="AK33" i="56"/>
  <c r="AK43" i="60"/>
  <c r="AH42" i="60"/>
  <c r="AJ51" i="60"/>
  <c r="AP51" i="60"/>
  <c r="AI41" i="55"/>
  <c r="AH41" i="55" s="1"/>
  <c r="AK41" i="55"/>
  <c r="A40" i="54"/>
  <c r="B31" i="53"/>
  <c r="AC31" i="53"/>
  <c r="AI31" i="53" s="1"/>
  <c r="AK31" i="53"/>
  <c r="A40" i="53"/>
  <c r="AF41" i="53"/>
  <c r="A39" i="52"/>
  <c r="AF40" i="52"/>
  <c r="AH43" i="60" l="1"/>
  <c r="AK44" i="60"/>
  <c r="AH51" i="60"/>
  <c r="AI42" i="55"/>
  <c r="AH42" i="55" s="1"/>
  <c r="AK42" i="55"/>
  <c r="A41" i="54"/>
  <c r="AH31" i="53"/>
  <c r="AD32" i="53" s="1"/>
  <c r="AF42" i="53"/>
  <c r="A41" i="53"/>
  <c r="A40" i="52"/>
  <c r="AF41" i="52"/>
  <c r="AH44" i="60" l="1"/>
  <c r="AK45" i="60"/>
  <c r="AK43" i="55"/>
  <c r="AI43" i="55"/>
  <c r="AH43" i="55" s="1"/>
  <c r="A42" i="54"/>
  <c r="B32" i="53"/>
  <c r="AC32" i="53"/>
  <c r="AI32" i="53" s="1"/>
  <c r="AH32" i="53" s="1"/>
  <c r="AD33" i="53" s="1"/>
  <c r="AK32" i="53"/>
  <c r="AF43" i="53"/>
  <c r="A42" i="53"/>
  <c r="AF42" i="52"/>
  <c r="A41" i="52"/>
  <c r="AH45" i="60" l="1"/>
  <c r="AK46" i="60"/>
  <c r="AK44" i="55"/>
  <c r="AI44" i="55"/>
  <c r="AH44" i="55" s="1"/>
  <c r="A43" i="54"/>
  <c r="AI33" i="53"/>
  <c r="AH33" i="53" s="1"/>
  <c r="AD34" i="53" s="1"/>
  <c r="B33" i="53"/>
  <c r="AK33" i="53"/>
  <c r="AF44" i="53"/>
  <c r="A43" i="53"/>
  <c r="AF43" i="52"/>
  <c r="A42" i="52"/>
  <c r="AK47" i="60" l="1"/>
  <c r="AH46" i="60"/>
  <c r="AI45" i="55"/>
  <c r="AH45" i="55" s="1"/>
  <c r="AK45" i="55"/>
  <c r="A44" i="54"/>
  <c r="AC34" i="53"/>
  <c r="AI34" i="53" s="1"/>
  <c r="AH34" i="53" s="1"/>
  <c r="AD35" i="53" s="1"/>
  <c r="B34" i="53"/>
  <c r="AK34" i="53"/>
  <c r="AF45" i="53"/>
  <c r="A44" i="53"/>
  <c r="AF44" i="52"/>
  <c r="A43" i="52"/>
  <c r="AH47" i="60" l="1"/>
  <c r="AK48" i="60"/>
  <c r="AI46" i="55"/>
  <c r="AH46" i="55" s="1"/>
  <c r="AK46" i="55"/>
  <c r="A45" i="54"/>
  <c r="AC35" i="53"/>
  <c r="AI35" i="53" s="1"/>
  <c r="AH35" i="53" s="1"/>
  <c r="AD36" i="53" s="1"/>
  <c r="B35" i="53"/>
  <c r="E10" i="53" s="1"/>
  <c r="AK35" i="53"/>
  <c r="A45" i="53"/>
  <c r="AF46" i="53"/>
  <c r="AF45" i="52"/>
  <c r="A44" i="52"/>
  <c r="AH48" i="60" l="1"/>
  <c r="AK49" i="60"/>
  <c r="AK47" i="55"/>
  <c r="AI47" i="55"/>
  <c r="AH47" i="55" s="1"/>
  <c r="A46" i="54"/>
  <c r="B36" i="53"/>
  <c r="AK36" i="53"/>
  <c r="AC36" i="53"/>
  <c r="AI36" i="53" s="1"/>
  <c r="AH36" i="53" s="1"/>
  <c r="AD37" i="53" s="1"/>
  <c r="A46" i="53"/>
  <c r="AF47" i="53"/>
  <c r="A45" i="52"/>
  <c r="AF46" i="52"/>
  <c r="AH49" i="60" l="1"/>
  <c r="AK50" i="60"/>
  <c r="AI48" i="55"/>
  <c r="AH48" i="55" s="1"/>
  <c r="AK48" i="55"/>
  <c r="A47" i="54"/>
  <c r="AC37" i="53"/>
  <c r="AI37" i="53" s="1"/>
  <c r="AH37" i="53" s="1"/>
  <c r="B37" i="53"/>
  <c r="AK37" i="53"/>
  <c r="AD38" i="53"/>
  <c r="A47" i="53"/>
  <c r="AF48" i="53"/>
  <c r="A46" i="52"/>
  <c r="AF47" i="52"/>
  <c r="AH50" i="60" l="1"/>
  <c r="AK51" i="60"/>
  <c r="AI49" i="55"/>
  <c r="AH49" i="55" s="1"/>
  <c r="AK49" i="55"/>
  <c r="A48" i="54"/>
  <c r="B38" i="53"/>
  <c r="AK38" i="53"/>
  <c r="AC38" i="53"/>
  <c r="AI38" i="53" s="1"/>
  <c r="AH38" i="53" s="1"/>
  <c r="AD39" i="53" s="1"/>
  <c r="A48" i="53"/>
  <c r="AF49" i="53"/>
  <c r="A47" i="52"/>
  <c r="AF48" i="52"/>
  <c r="AK50" i="55" l="1"/>
  <c r="AI50" i="55"/>
  <c r="AH50" i="55" s="1"/>
  <c r="A49" i="54"/>
  <c r="B39" i="53"/>
  <c r="AC39" i="53"/>
  <c r="AI39" i="53" s="1"/>
  <c r="AH39" i="53" s="1"/>
  <c r="AK39" i="53"/>
  <c r="AD40" i="53"/>
  <c r="A49" i="53"/>
  <c r="AF50" i="53"/>
  <c r="A48" i="52"/>
  <c r="AF49" i="52"/>
  <c r="AK51" i="55" l="1"/>
  <c r="AI51" i="55"/>
  <c r="AH51" i="55" s="1"/>
  <c r="A51" i="54"/>
  <c r="A50" i="54"/>
  <c r="AC40" i="53"/>
  <c r="AI40" i="53" s="1"/>
  <c r="AH40" i="53" s="1"/>
  <c r="AD41" i="53" s="1"/>
  <c r="AK40" i="53"/>
  <c r="B40" i="53"/>
  <c r="AF51" i="53"/>
  <c r="A51" i="53" s="1"/>
  <c r="A50" i="53"/>
  <c r="AF50" i="52"/>
  <c r="A49" i="52"/>
  <c r="AC41" i="53" l="1"/>
  <c r="AI41" i="53" s="1"/>
  <c r="AH41" i="53" s="1"/>
  <c r="AD42" i="53" s="1"/>
  <c r="B41" i="53"/>
  <c r="AK41" i="53"/>
  <c r="AF51" i="52"/>
  <c r="A51" i="52" s="1"/>
  <c r="A50" i="52"/>
  <c r="AC42" i="53" l="1"/>
  <c r="AI42" i="53" s="1"/>
  <c r="AH42" i="53" s="1"/>
  <c r="AD43" i="53" s="1"/>
  <c r="B42" i="53"/>
  <c r="AK42" i="53"/>
  <c r="B43" i="53" l="1"/>
  <c r="AK43" i="53"/>
  <c r="AC43" i="53"/>
  <c r="AI43" i="53" s="1"/>
  <c r="AH43" i="53" s="1"/>
  <c r="AD44" i="53" s="1"/>
  <c r="AC44" i="53" l="1"/>
  <c r="AI44" i="53" s="1"/>
  <c r="AH44" i="53" s="1"/>
  <c r="AD45" i="53" s="1"/>
  <c r="B44" i="53"/>
  <c r="AK44" i="53"/>
  <c r="B45" i="53" l="1"/>
  <c r="AK45" i="53"/>
  <c r="AC45" i="53"/>
  <c r="AI45" i="53" s="1"/>
  <c r="AH45" i="53" s="1"/>
  <c r="AD46" i="53" s="1"/>
  <c r="AK46" i="53" l="1"/>
  <c r="B46" i="53"/>
  <c r="AC46" i="53"/>
  <c r="AI46" i="53" s="1"/>
  <c r="AH46" i="53" s="1"/>
  <c r="AD47" i="53" s="1"/>
  <c r="B47" i="53" l="1"/>
  <c r="AC47" i="53"/>
  <c r="AI47" i="53" s="1"/>
  <c r="AH47" i="53" s="1"/>
  <c r="AD48" i="53" s="1"/>
  <c r="AK47" i="53"/>
  <c r="AC48" i="53" l="1"/>
  <c r="AI48" i="53" s="1"/>
  <c r="AH48" i="53" s="1"/>
  <c r="AD49" i="53" s="1"/>
  <c r="AK48" i="53"/>
  <c r="B48" i="53"/>
  <c r="B49" i="53" l="1"/>
  <c r="AK49" i="53"/>
  <c r="AC49" i="53"/>
  <c r="AI49" i="53" s="1"/>
  <c r="AH49" i="53" s="1"/>
  <c r="AD50" i="53" s="1"/>
  <c r="AC50" i="53" l="1"/>
  <c r="AI50" i="53" s="1"/>
  <c r="AH50" i="53" s="1"/>
  <c r="AD51" i="53" s="1"/>
  <c r="B50" i="53"/>
  <c r="AK50" i="53"/>
  <c r="AC51" i="53" l="1"/>
  <c r="AI51" i="53" s="1"/>
  <c r="AH51" i="53" s="1"/>
  <c r="B51" i="53"/>
  <c r="AK51" i="53"/>
</calcChain>
</file>

<file path=xl/sharedStrings.xml><?xml version="1.0" encoding="utf-8"?>
<sst xmlns="http://schemas.openxmlformats.org/spreadsheetml/2006/main" count="1139" uniqueCount="86">
  <si>
    <t>ABCISADO</t>
  </si>
  <si>
    <t>COTA</t>
  </si>
  <si>
    <t>MAXIMETRO</t>
  </si>
  <si>
    <t>OBSERV.</t>
  </si>
  <si>
    <t>PRI</t>
  </si>
  <si>
    <t>PRD</t>
  </si>
  <si>
    <t>DETALLES</t>
  </si>
  <si>
    <t>Desbordamiento</t>
  </si>
  <si>
    <t>MIRA</t>
  </si>
  <si>
    <t>NAOI</t>
  </si>
  <si>
    <t>NAOD</t>
  </si>
  <si>
    <t xml:space="preserve">Cota cero (m) =  </t>
  </si>
  <si>
    <t xml:space="preserve">Lectura mira (m)= </t>
  </si>
  <si>
    <t xml:space="preserve">Cota inundacion  =   </t>
  </si>
  <si>
    <t>Cota BM (m) =</t>
  </si>
  <si>
    <t>CARTERA CALCULADA</t>
  </si>
  <si>
    <t>HOJA DE TRABAJO</t>
  </si>
  <si>
    <t>BM</t>
  </si>
  <si>
    <t>PERFIL TRANSVERSAL DE LA ESTACIÓN BOCATOMA 1, CORRIENTE DEDO, CÓDIGO 4403712</t>
  </si>
  <si>
    <t>S/BM</t>
  </si>
  <si>
    <t>P.R.M.I.</t>
  </si>
  <si>
    <t>N.A.M.I.</t>
  </si>
  <si>
    <t>N.A.M.D.</t>
  </si>
  <si>
    <t>P.R.</t>
  </si>
  <si>
    <t>S/BMAX</t>
  </si>
  <si>
    <t>S/2M</t>
  </si>
  <si>
    <t>S/B. MAX.</t>
  </si>
  <si>
    <t>S/2 M</t>
  </si>
  <si>
    <t>BM=LM=0.56</t>
  </si>
  <si>
    <t>BM- BMAX</t>
  </si>
  <si>
    <t>PERFIL TRANSVERSAL DE LA ESTACIÓN BOCATOMA 1, CORRIENTE DEDO, CÓDIGO 44037120</t>
  </si>
  <si>
    <t>B/MAX</t>
  </si>
  <si>
    <t>BM LM : 0.60</t>
  </si>
  <si>
    <t>IDEAM                        CARTERA DE NIVELACION</t>
  </si>
  <si>
    <t>DATOS DE ALTURA Y DISTANCIA DE LA CARTERA</t>
  </si>
  <si>
    <t xml:space="preserve"> DESCRIPCION DEL TRABAJO:  PERFIL TRANSVERSAL Y VERIFICACION DE COTA CERO</t>
  </si>
  <si>
    <t>OCULTA</t>
  </si>
  <si>
    <t>Distanc (m)</t>
  </si>
  <si>
    <t>Vista Atrás (+)</t>
  </si>
  <si>
    <t>Vista Intemedia     ( - )</t>
  </si>
  <si>
    <t>Vista Adelante      ( - )</t>
  </si>
  <si>
    <t xml:space="preserve">Altura          </t>
  </si>
  <si>
    <t>Cota         (m)</t>
  </si>
  <si>
    <t>Distancia (m)</t>
  </si>
  <si>
    <t>Abscisa (m)</t>
  </si>
  <si>
    <t>Descripcion del Punto</t>
  </si>
  <si>
    <t xml:space="preserve">S/BM </t>
  </si>
  <si>
    <t>C-1</t>
  </si>
  <si>
    <t>C-2</t>
  </si>
  <si>
    <t>Lectura mira =  1.21 MTS</t>
  </si>
  <si>
    <t xml:space="preserve">Cota cero  =  </t>
  </si>
  <si>
    <t>Cota inundacion  =     (LM = 0.00 MTS  )</t>
  </si>
  <si>
    <t>Estación</t>
  </si>
  <si>
    <t>Corriente</t>
  </si>
  <si>
    <t>Código</t>
  </si>
  <si>
    <t>Levantó</t>
  </si>
  <si>
    <t>M.PALACIOS</t>
  </si>
  <si>
    <t>Dibujó</t>
  </si>
  <si>
    <t>J.RAMOS</t>
  </si>
  <si>
    <t>Revisó</t>
  </si>
  <si>
    <t>J.R.M.</t>
  </si>
  <si>
    <t>Fecha</t>
  </si>
  <si>
    <t>BOCATOMA 1</t>
  </si>
  <si>
    <t>DEDO</t>
  </si>
  <si>
    <t>PERFIL TRANSVERSAL DE LA ESTACIÓN: BOCATOMA 1, CORRIENTE: DEDO, CÓDIGO: 44037120</t>
  </si>
  <si>
    <t>Corriente:DEDO - Estación:BOCATOMA 1 Cód:44037120 - Levantó: M.PALACIOS - Fecha:30/01/2017</t>
  </si>
  <si>
    <t>A. RAMIREZ.-</t>
  </si>
  <si>
    <t>Corriente:DEDO - Estación:BOCATOMA 1 Cód:44037120 - Levantó: A. RAMIREZ.- - Fecha:24/03/2017</t>
  </si>
  <si>
    <t>PALACIOS</t>
  </si>
  <si>
    <t>Corriente:DEDO - Estación:BOCATOMA 1 Cód:44037120 - Levantó: PALACIOS - Fecha:11/09/2017</t>
  </si>
  <si>
    <t>Lectura mira =  0.58 MTS</t>
  </si>
  <si>
    <t>TAMAYO</t>
  </si>
  <si>
    <t>RAMOS</t>
  </si>
  <si>
    <t>Corriente:DEDO - Estación:BOCATOMA 1 Cód:44037120 - Levantó: TAMAYO - Fecha:4/04/2018</t>
  </si>
  <si>
    <t>Lectura mira =  0.55 MTS</t>
  </si>
  <si>
    <t>Lectura mira =  0.60 MTS</t>
  </si>
  <si>
    <t>RAMIREZ</t>
  </si>
  <si>
    <t>Corriente:DEDO - Estación:BOCATOMA 1 Cód:44037120 - Levantó: RAMIREZ - Fecha:19/07/2018</t>
  </si>
  <si>
    <t>Corriente:DEDO - Estación:BOCATOMA 1 Cód:44037120 - Levantó: GUEVARA - Fecha:20/07/2019</t>
  </si>
  <si>
    <t>Lectura mira =  0.64 MTS</t>
  </si>
  <si>
    <t>E. TAMAYO</t>
  </si>
  <si>
    <t>J. OCAMPO</t>
  </si>
  <si>
    <t>Corriente:DEDO - Estación:BOCATOMA 1 Cód:44037120 - Levantó: E. TAMAYO - Fecha:4/03/2020</t>
  </si>
  <si>
    <t>Lectura mira =  0.54 MTS</t>
  </si>
  <si>
    <t>J. CALDERON</t>
  </si>
  <si>
    <t>Corriente:DEDO - Estación:BOCATOMA 1 Cód:44037120 - Levantó: E. TAMAYO - Fecha:12/10/2021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</si>
</sst>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#,##0.000"/>
  </numFmts>
  <fonts count="32" x14ac:knownFonts="1">
    <font>
      <sz val="10"/>
      <name val="Arial"/>
    </font>
    <font>
      <b/>
      <sz val="10"/>
      <name val="Arial"/>
      <family val="2"/>
    </font>
    <font>
      <sz val="5"/>
      <name val="Arial"/>
      <family val="2"/>
    </font>
    <font>
      <sz val="9"/>
      <name val="Arial"/>
      <family val="2"/>
    </font>
    <font>
      <b/>
      <sz val="7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61"/>
      <name val="Arial"/>
      <family val="2"/>
    </font>
    <font>
      <sz val="10"/>
      <name val="Arial"/>
      <family val="2"/>
    </font>
    <font>
      <b/>
      <sz val="16"/>
      <color indexed="48"/>
      <name val="Arial"/>
      <family val="2"/>
    </font>
    <font>
      <b/>
      <sz val="10"/>
      <name val="Arial"/>
      <family val="2"/>
    </font>
    <font>
      <b/>
      <sz val="12"/>
      <color indexed="12"/>
      <name val="Arial"/>
      <family val="2"/>
    </font>
    <font>
      <b/>
      <sz val="11"/>
      <name val="Arial"/>
      <family val="2"/>
    </font>
    <font>
      <b/>
      <sz val="10"/>
      <color indexed="56"/>
      <name val="Arial"/>
      <family val="2"/>
    </font>
    <font>
      <sz val="14"/>
      <name val="Arial"/>
      <family val="2"/>
    </font>
    <font>
      <b/>
      <sz val="10"/>
      <color indexed="48"/>
      <name val="Arial"/>
      <family val="2"/>
    </font>
    <font>
      <sz val="8"/>
      <name val="Arial"/>
      <family val="2"/>
    </font>
    <font>
      <sz val="10"/>
      <color indexed="48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b/>
      <sz val="10"/>
      <color rgb="FF0070C0"/>
      <name val="Arial"/>
      <family val="2"/>
    </font>
    <font>
      <b/>
      <i/>
      <sz val="16"/>
      <color indexed="48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9"/>
      <name val="Arial"/>
      <family val="2"/>
    </font>
    <font>
      <b/>
      <sz val="9"/>
      <color indexed="10"/>
      <name val="Arial"/>
      <family val="2"/>
    </font>
    <font>
      <b/>
      <sz val="14"/>
      <name val="Arial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2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9" fillId="0" borderId="0" xfId="0" applyFont="1"/>
    <xf numFmtId="0" fontId="8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2" fontId="5" fillId="0" borderId="0" xfId="0" applyNumberFormat="1" applyFont="1" applyAlignment="1">
      <alignment horizontal="left"/>
    </xf>
    <xf numFmtId="0" fontId="4" fillId="0" borderId="4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/>
    </xf>
    <xf numFmtId="164" fontId="3" fillId="0" borderId="6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2" fontId="11" fillId="0" borderId="8" xfId="0" applyNumberFormat="1" applyFont="1" applyBorder="1" applyAlignment="1">
      <alignment horizontal="center"/>
    </xf>
    <xf numFmtId="2" fontId="11" fillId="0" borderId="9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64" fontId="5" fillId="2" borderId="10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center"/>
    </xf>
    <xf numFmtId="2" fontId="11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2" fontId="13" fillId="0" borderId="0" xfId="0" applyNumberFormat="1" applyFont="1" applyAlignment="1">
      <alignment horizontal="left"/>
    </xf>
    <xf numFmtId="0" fontId="4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4" fontId="11" fillId="0" borderId="17" xfId="0" applyNumberFormat="1" applyFont="1" applyBorder="1" applyAlignment="1">
      <alignment horizontal="center"/>
    </xf>
    <xf numFmtId="2" fontId="11" fillId="0" borderId="1" xfId="0" applyNumberFormat="1" applyFont="1" applyBorder="1" applyAlignment="1">
      <alignment horizontal="center"/>
    </xf>
    <xf numFmtId="164" fontId="11" fillId="0" borderId="6" xfId="0" applyNumberFormat="1" applyFont="1" applyBorder="1" applyAlignment="1">
      <alignment horizontal="center"/>
    </xf>
    <xf numFmtId="2" fontId="12" fillId="0" borderId="10" xfId="0" applyNumberFormat="1" applyFont="1" applyBorder="1" applyAlignment="1">
      <alignment horizontal="center"/>
    </xf>
    <xf numFmtId="164" fontId="5" fillId="3" borderId="10" xfId="0" applyNumberFormat="1" applyFont="1" applyFill="1" applyBorder="1" applyAlignment="1">
      <alignment horizontal="center"/>
    </xf>
    <xf numFmtId="164" fontId="0" fillId="0" borderId="10" xfId="0" applyNumberFormat="1" applyBorder="1"/>
    <xf numFmtId="164" fontId="11" fillId="0" borderId="18" xfId="0" applyNumberFormat="1" applyFont="1" applyBorder="1" applyAlignment="1">
      <alignment horizontal="center"/>
    </xf>
    <xf numFmtId="2" fontId="11" fillId="0" borderId="19" xfId="0" applyNumberFormat="1" applyFont="1" applyBorder="1" applyAlignment="1">
      <alignment horizontal="center"/>
    </xf>
    <xf numFmtId="164" fontId="11" fillId="2" borderId="10" xfId="0" applyNumberFormat="1" applyFont="1" applyFill="1" applyBorder="1" applyAlignment="1">
      <alignment horizontal="center"/>
    </xf>
    <xf numFmtId="164" fontId="11" fillId="0" borderId="20" xfId="0" applyNumberFormat="1" applyFont="1" applyBorder="1" applyAlignment="1">
      <alignment horizontal="center"/>
    </xf>
    <xf numFmtId="2" fontId="9" fillId="0" borderId="21" xfId="0" applyNumberFormat="1" applyFont="1" applyBorder="1" applyAlignment="1">
      <alignment horizontal="center"/>
    </xf>
    <xf numFmtId="164" fontId="9" fillId="3" borderId="10" xfId="0" applyNumberFormat="1" applyFont="1" applyFill="1" applyBorder="1" applyAlignment="1">
      <alignment horizontal="center"/>
    </xf>
    <xf numFmtId="0" fontId="11" fillId="0" borderId="22" xfId="0" applyFont="1" applyBorder="1" applyAlignment="1">
      <alignment horizontal="center"/>
    </xf>
    <xf numFmtId="2" fontId="9" fillId="0" borderId="23" xfId="0" applyNumberFormat="1" applyFont="1" applyBorder="1" applyAlignment="1">
      <alignment horizontal="center"/>
    </xf>
    <xf numFmtId="164" fontId="9" fillId="0" borderId="24" xfId="0" applyNumberFormat="1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2" fontId="9" fillId="0" borderId="9" xfId="0" applyNumberFormat="1" applyFont="1" applyBorder="1" applyAlignment="1">
      <alignment horizontal="center"/>
    </xf>
    <xf numFmtId="164" fontId="9" fillId="0" borderId="26" xfId="0" applyNumberFormat="1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164" fontId="11" fillId="0" borderId="26" xfId="0" applyNumberFormat="1" applyFont="1" applyBorder="1" applyAlignment="1">
      <alignment horizontal="center"/>
    </xf>
    <xf numFmtId="164" fontId="9" fillId="0" borderId="25" xfId="0" applyNumberFormat="1" applyFont="1" applyBorder="1" applyAlignment="1">
      <alignment horizontal="center"/>
    </xf>
    <xf numFmtId="0" fontId="0" fillId="4" borderId="0" xfId="0" applyFill="1"/>
    <xf numFmtId="0" fontId="15" fillId="4" borderId="0" xfId="0" applyFont="1" applyFill="1"/>
    <xf numFmtId="0" fontId="16" fillId="0" borderId="25" xfId="0" applyFont="1" applyBorder="1" applyAlignment="1">
      <alignment horizontal="center"/>
    </xf>
    <xf numFmtId="2" fontId="11" fillId="0" borderId="23" xfId="0" applyNumberFormat="1" applyFont="1" applyBorder="1" applyAlignment="1">
      <alignment horizontal="center"/>
    </xf>
    <xf numFmtId="164" fontId="11" fillId="0" borderId="24" xfId="0" applyNumberFormat="1" applyFont="1" applyBorder="1" applyAlignment="1">
      <alignment horizontal="center"/>
    </xf>
    <xf numFmtId="0" fontId="18" fillId="0" borderId="25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164" fontId="11" fillId="3" borderId="10" xfId="0" applyNumberFormat="1" applyFont="1" applyFill="1" applyBorder="1" applyAlignment="1">
      <alignment horizontal="center"/>
    </xf>
    <xf numFmtId="0" fontId="0" fillId="0" borderId="27" xfId="0" applyBorder="1"/>
    <xf numFmtId="0" fontId="3" fillId="0" borderId="3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9" fillId="0" borderId="25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21" fillId="0" borderId="25" xfId="0" applyFont="1" applyBorder="1" applyAlignment="1">
      <alignment horizontal="left"/>
    </xf>
    <xf numFmtId="2" fontId="11" fillId="0" borderId="21" xfId="0" applyNumberFormat="1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164" fontId="11" fillId="3" borderId="28" xfId="0" applyNumberFormat="1" applyFont="1" applyFill="1" applyBorder="1" applyAlignment="1">
      <alignment horizontal="center"/>
    </xf>
    <xf numFmtId="164" fontId="9" fillId="0" borderId="29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164" fontId="11" fillId="0" borderId="30" xfId="0" applyNumberFormat="1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20" fillId="0" borderId="26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164" fontId="11" fillId="0" borderId="29" xfId="0" applyNumberFormat="1" applyFont="1" applyBorder="1" applyAlignment="1">
      <alignment horizontal="center"/>
    </xf>
    <xf numFmtId="164" fontId="9" fillId="3" borderId="28" xfId="0" applyNumberFormat="1" applyFont="1" applyFill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9" fillId="0" borderId="0" xfId="1" applyProtection="1">
      <protection locked="0"/>
    </xf>
    <xf numFmtId="0" fontId="11" fillId="0" borderId="0" xfId="1" applyFont="1" applyProtection="1">
      <protection locked="0"/>
    </xf>
    <xf numFmtId="0" fontId="9" fillId="0" borderId="0" xfId="1" applyProtection="1"/>
    <xf numFmtId="0" fontId="11" fillId="0" borderId="41" xfId="1" applyFont="1" applyBorder="1" applyAlignment="1" applyProtection="1">
      <alignment horizontal="center" wrapText="1"/>
      <protection locked="0"/>
    </xf>
    <xf numFmtId="0" fontId="11" fillId="0" borderId="42" xfId="1" applyFont="1" applyBorder="1" applyAlignment="1" applyProtection="1">
      <alignment horizontal="center" wrapText="1"/>
      <protection locked="0"/>
    </xf>
    <xf numFmtId="2" fontId="11" fillId="0" borderId="42" xfId="1" applyNumberFormat="1" applyFont="1" applyFill="1" applyBorder="1" applyAlignment="1" applyProtection="1">
      <alignment horizontal="center" wrapText="1"/>
      <protection locked="0"/>
    </xf>
    <xf numFmtId="0" fontId="11" fillId="0" borderId="43" xfId="1" applyFont="1" applyFill="1" applyBorder="1" applyAlignment="1" applyProtection="1">
      <alignment horizontal="center" wrapText="1"/>
      <protection locked="0"/>
    </xf>
    <xf numFmtId="165" fontId="11" fillId="0" borderId="20" xfId="1" applyNumberFormat="1" applyFont="1" applyFill="1" applyBorder="1" applyAlignment="1" applyProtection="1">
      <alignment horizontal="center" wrapText="1"/>
    </xf>
    <xf numFmtId="165" fontId="11" fillId="0" borderId="0" xfId="1" applyNumberFormat="1" applyFont="1" applyFill="1" applyBorder="1" applyAlignment="1" applyProtection="1">
      <alignment horizontal="center" wrapText="1"/>
    </xf>
    <xf numFmtId="0" fontId="9" fillId="0" borderId="0" xfId="1" applyFont="1" applyProtection="1"/>
    <xf numFmtId="164" fontId="9" fillId="0" borderId="9" xfId="1" applyNumberFormat="1" applyBorder="1" applyProtection="1"/>
    <xf numFmtId="164" fontId="9" fillId="0" borderId="37" xfId="1" applyNumberFormat="1" applyBorder="1" applyProtection="1"/>
    <xf numFmtId="0" fontId="11" fillId="0" borderId="26" xfId="1" applyFont="1" applyBorder="1" applyProtection="1"/>
    <xf numFmtId="0" fontId="5" fillId="0" borderId="8" xfId="1" applyFont="1" applyBorder="1" applyProtection="1">
      <protection locked="0"/>
    </xf>
    <xf numFmtId="4" fontId="26" fillId="0" borderId="35" xfId="1" applyNumberFormat="1" applyFont="1" applyBorder="1" applyProtection="1">
      <protection locked="0"/>
    </xf>
    <xf numFmtId="165" fontId="12" fillId="0" borderId="35" xfId="1" applyNumberFormat="1" applyFont="1" applyBorder="1" applyProtection="1">
      <protection locked="0"/>
    </xf>
    <xf numFmtId="165" fontId="26" fillId="0" borderId="35" xfId="1" applyNumberFormat="1" applyFont="1" applyBorder="1" applyProtection="1">
      <protection locked="0"/>
    </xf>
    <xf numFmtId="165" fontId="27" fillId="0" borderId="35" xfId="1" applyNumberFormat="1" applyFont="1" applyBorder="1" applyProtection="1">
      <protection locked="0"/>
    </xf>
    <xf numFmtId="165" fontId="5" fillId="0" borderId="35" xfId="1" applyNumberFormat="1" applyFont="1" applyBorder="1" applyProtection="1"/>
    <xf numFmtId="165" fontId="5" fillId="0" borderId="35" xfId="1" applyNumberFormat="1" applyFont="1" applyBorder="1" applyProtection="1">
      <protection locked="0"/>
    </xf>
    <xf numFmtId="2" fontId="26" fillId="0" borderId="35" xfId="1" applyNumberFormat="1" applyFont="1" applyBorder="1" applyProtection="1">
      <protection locked="0"/>
    </xf>
    <xf numFmtId="0" fontId="26" fillId="0" borderId="35" xfId="1" applyFont="1" applyBorder="1" applyProtection="1">
      <protection locked="0"/>
    </xf>
    <xf numFmtId="0" fontId="26" fillId="0" borderId="17" xfId="1" applyFont="1" applyBorder="1" applyProtection="1">
      <protection locked="0"/>
    </xf>
    <xf numFmtId="0" fontId="5" fillId="0" borderId="9" xfId="1" applyFont="1" applyBorder="1" applyProtection="1">
      <protection locked="0"/>
    </xf>
    <xf numFmtId="4" fontId="26" fillId="0" borderId="37" xfId="1" applyNumberFormat="1" applyFont="1" applyBorder="1" applyProtection="1">
      <protection locked="0"/>
    </xf>
    <xf numFmtId="165" fontId="12" fillId="0" borderId="37" xfId="1" applyNumberFormat="1" applyFont="1" applyBorder="1" applyProtection="1">
      <protection locked="0"/>
    </xf>
    <xf numFmtId="165" fontId="26" fillId="0" borderId="37" xfId="1" applyNumberFormat="1" applyFont="1" applyBorder="1" applyProtection="1">
      <protection locked="0"/>
    </xf>
    <xf numFmtId="165" fontId="27" fillId="0" borderId="37" xfId="1" applyNumberFormat="1" applyFont="1" applyBorder="1" applyProtection="1">
      <protection locked="0"/>
    </xf>
    <xf numFmtId="165" fontId="5" fillId="0" borderId="37" xfId="1" applyNumberFormat="1" applyFont="1" applyBorder="1" applyProtection="1"/>
    <xf numFmtId="165" fontId="26" fillId="0" borderId="37" xfId="1" applyNumberFormat="1" applyFont="1" applyBorder="1" applyProtection="1"/>
    <xf numFmtId="2" fontId="26" fillId="0" borderId="37" xfId="1" applyNumberFormat="1" applyFont="1" applyBorder="1" applyProtection="1">
      <protection locked="0"/>
    </xf>
    <xf numFmtId="0" fontId="5" fillId="0" borderId="26" xfId="1" applyFont="1" applyBorder="1" applyProtection="1">
      <protection locked="0"/>
    </xf>
    <xf numFmtId="0" fontId="26" fillId="0" borderId="26" xfId="1" applyFont="1" applyBorder="1" applyProtection="1">
      <protection locked="0"/>
    </xf>
    <xf numFmtId="0" fontId="9" fillId="0" borderId="0" xfId="1" applyFont="1" applyProtection="1">
      <protection locked="0"/>
    </xf>
    <xf numFmtId="0" fontId="9" fillId="0" borderId="26" xfId="1" applyBorder="1" applyProtection="1">
      <protection locked="0"/>
    </xf>
    <xf numFmtId="165" fontId="26" fillId="0" borderId="44" xfId="1" applyNumberFormat="1" applyFont="1" applyBorder="1" applyProtection="1">
      <protection locked="0"/>
    </xf>
    <xf numFmtId="165" fontId="27" fillId="0" borderId="44" xfId="1" applyNumberFormat="1" applyFont="1" applyBorder="1" applyProtection="1">
      <protection locked="0"/>
    </xf>
    <xf numFmtId="2" fontId="26" fillId="0" borderId="44" xfId="1" applyNumberFormat="1" applyFont="1" applyBorder="1" applyProtection="1">
      <protection locked="0"/>
    </xf>
    <xf numFmtId="164" fontId="9" fillId="0" borderId="1" xfId="1" applyNumberFormat="1" applyBorder="1" applyProtection="1"/>
    <xf numFmtId="164" fontId="9" fillId="0" borderId="45" xfId="1" applyNumberFormat="1" applyBorder="1" applyProtection="1"/>
    <xf numFmtId="0" fontId="5" fillId="0" borderId="1" xfId="1" applyFont="1" applyBorder="1" applyProtection="1">
      <protection locked="0"/>
    </xf>
    <xf numFmtId="4" fontId="26" fillId="0" borderId="45" xfId="1" applyNumberFormat="1" applyFont="1" applyBorder="1" applyProtection="1">
      <protection locked="0"/>
    </xf>
    <xf numFmtId="165" fontId="12" fillId="0" borderId="45" xfId="1" applyNumberFormat="1" applyFont="1" applyBorder="1" applyProtection="1">
      <protection locked="0"/>
    </xf>
    <xf numFmtId="165" fontId="26" fillId="0" borderId="45" xfId="1" applyNumberFormat="1" applyFont="1" applyBorder="1" applyProtection="1">
      <protection locked="0"/>
    </xf>
    <xf numFmtId="165" fontId="27" fillId="0" borderId="45" xfId="1" applyNumberFormat="1" applyFont="1" applyBorder="1" applyProtection="1">
      <protection locked="0"/>
    </xf>
    <xf numFmtId="165" fontId="5" fillId="0" borderId="45" xfId="1" applyNumberFormat="1" applyFont="1" applyBorder="1" applyProtection="1"/>
    <xf numFmtId="165" fontId="26" fillId="0" borderId="45" xfId="1" applyNumberFormat="1" applyFont="1" applyBorder="1" applyProtection="1"/>
    <xf numFmtId="2" fontId="26" fillId="0" borderId="45" xfId="1" applyNumberFormat="1" applyFont="1" applyBorder="1" applyProtection="1">
      <protection locked="0"/>
    </xf>
    <xf numFmtId="0" fontId="26" fillId="0" borderId="6" xfId="1" applyFont="1" applyBorder="1" applyProtection="1">
      <protection locked="0"/>
    </xf>
    <xf numFmtId="164" fontId="3" fillId="0" borderId="46" xfId="1" applyNumberFormat="1" applyFont="1" applyBorder="1" applyAlignment="1" applyProtection="1">
      <alignment horizontal="center"/>
      <protection locked="0"/>
    </xf>
    <xf numFmtId="0" fontId="3" fillId="0" borderId="46" xfId="1" applyFont="1" applyBorder="1" applyAlignment="1" applyProtection="1">
      <alignment horizontal="center"/>
      <protection locked="0"/>
    </xf>
    <xf numFmtId="2" fontId="28" fillId="0" borderId="23" xfId="1" applyNumberFormat="1" applyFont="1" applyBorder="1" applyAlignment="1" applyProtection="1">
      <alignment horizontal="center"/>
    </xf>
    <xf numFmtId="164" fontId="28" fillId="0" borderId="29" xfId="1" applyNumberFormat="1" applyFont="1" applyBorder="1" applyAlignment="1" applyProtection="1">
      <alignment horizontal="center"/>
    </xf>
    <xf numFmtId="0" fontId="6" fillId="0" borderId="7" xfId="1" applyFont="1" applyBorder="1" applyAlignment="1" applyProtection="1">
      <alignment horizontal="center"/>
      <protection locked="0"/>
    </xf>
    <xf numFmtId="2" fontId="28" fillId="0" borderId="9" xfId="1" applyNumberFormat="1" applyFont="1" applyBorder="1" applyAlignment="1" applyProtection="1">
      <alignment horizontal="center"/>
    </xf>
    <xf numFmtId="0" fontId="6" fillId="0" borderId="47" xfId="1" applyFont="1" applyBorder="1" applyAlignment="1" applyProtection="1">
      <alignment horizontal="center"/>
      <protection locked="0"/>
    </xf>
    <xf numFmtId="2" fontId="28" fillId="0" borderId="37" xfId="0" applyNumberFormat="1" applyFont="1" applyBorder="1" applyAlignment="1">
      <alignment horizontal="center"/>
    </xf>
    <xf numFmtId="164" fontId="29" fillId="0" borderId="37" xfId="0" applyNumberFormat="1" applyFont="1" applyBorder="1" applyAlignment="1">
      <alignment horizontal="center"/>
    </xf>
    <xf numFmtId="0" fontId="7" fillId="0" borderId="47" xfId="1" applyFont="1" applyBorder="1" applyAlignment="1" applyProtection="1">
      <alignment horizontal="center"/>
      <protection locked="0"/>
    </xf>
    <xf numFmtId="164" fontId="28" fillId="0" borderId="37" xfId="0" applyNumberFormat="1" applyFont="1" applyBorder="1" applyAlignment="1">
      <alignment horizontal="center"/>
    </xf>
    <xf numFmtId="2" fontId="11" fillId="0" borderId="37" xfId="0" applyNumberFormat="1" applyFont="1" applyBorder="1" applyAlignment="1">
      <alignment horizontal="center"/>
    </xf>
    <xf numFmtId="0" fontId="8" fillId="0" borderId="47" xfId="1" applyFont="1" applyBorder="1" applyAlignment="1" applyProtection="1">
      <alignment horizontal="center"/>
      <protection locked="0"/>
    </xf>
    <xf numFmtId="0" fontId="8" fillId="0" borderId="2" xfId="1" applyFont="1" applyBorder="1" applyAlignment="1" applyProtection="1">
      <alignment horizontal="center"/>
      <protection locked="0"/>
    </xf>
    <xf numFmtId="2" fontId="6" fillId="0" borderId="8" xfId="1" applyNumberFormat="1" applyFont="1" applyBorder="1" applyAlignment="1" applyProtection="1">
      <alignment horizontal="center"/>
      <protection locked="0"/>
    </xf>
    <xf numFmtId="164" fontId="6" fillId="0" borderId="17" xfId="1" applyNumberFormat="1" applyFont="1" applyBorder="1" applyAlignment="1" applyProtection="1">
      <alignment horizontal="center"/>
      <protection locked="0"/>
    </xf>
    <xf numFmtId="0" fontId="6" fillId="0" borderId="3" xfId="1" applyFont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2" fontId="6" fillId="0" borderId="1" xfId="1" applyNumberFormat="1" applyFont="1" applyBorder="1" applyAlignment="1" applyProtection="1">
      <alignment horizontal="center"/>
      <protection locked="0"/>
    </xf>
    <xf numFmtId="2" fontId="30" fillId="0" borderId="0" xfId="1" applyNumberFormat="1" applyFont="1" applyAlignment="1" applyProtection="1">
      <alignment horizontal="left"/>
      <protection locked="0"/>
    </xf>
    <xf numFmtId="164" fontId="2" fillId="0" borderId="0" xfId="1" applyNumberFormat="1" applyFont="1" applyAlignment="1" applyProtection="1">
      <alignment horizontal="center"/>
      <protection locked="0"/>
    </xf>
    <xf numFmtId="0" fontId="2" fillId="0" borderId="0" xfId="1" applyFont="1" applyAlignment="1" applyProtection="1">
      <alignment horizontal="center"/>
      <protection locked="0"/>
    </xf>
    <xf numFmtId="164" fontId="5" fillId="0" borderId="0" xfId="1" applyNumberFormat="1" applyFont="1" applyAlignment="1" applyProtection="1">
      <alignment horizontal="left"/>
    </xf>
    <xf numFmtId="2" fontId="5" fillId="0" borderId="0" xfId="1" applyNumberFormat="1" applyFont="1" applyAlignment="1" applyProtection="1">
      <alignment horizontal="left"/>
      <protection locked="0"/>
    </xf>
    <xf numFmtId="2" fontId="2" fillId="0" borderId="0" xfId="1" applyNumberFormat="1" applyFont="1" applyAlignment="1" applyProtection="1">
      <alignment horizontal="center"/>
      <protection locked="0"/>
    </xf>
    <xf numFmtId="2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31" fillId="0" borderId="0" xfId="1" applyFont="1" applyAlignment="1" applyProtection="1">
      <alignment horizontal="center"/>
      <protection locked="0"/>
    </xf>
    <xf numFmtId="0" fontId="31" fillId="0" borderId="0" xfId="1" applyFont="1" applyProtection="1"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5" fillId="0" borderId="0" xfId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5" fillId="0" borderId="17" xfId="1" applyFont="1" applyBorder="1" applyProtection="1"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0" fontId="1" fillId="0" borderId="32" xfId="0" applyFont="1" applyFill="1" applyBorder="1" applyAlignment="1">
      <alignment horizontal="center" vertical="center" textRotation="255"/>
    </xf>
    <xf numFmtId="0" fontId="11" fillId="0" borderId="32" xfId="0" applyFont="1" applyFill="1" applyBorder="1" applyAlignment="1">
      <alignment vertical="center" textRotation="255" wrapText="1"/>
    </xf>
    <xf numFmtId="164" fontId="31" fillId="0" borderId="0" xfId="1" applyNumberFormat="1" applyFont="1" applyAlignment="1" applyProtection="1">
      <alignment horizontal="center"/>
      <protection locked="0"/>
    </xf>
    <xf numFmtId="14" fontId="31" fillId="0" borderId="0" xfId="1" applyNumberFormat="1" applyFont="1" applyAlignment="1" applyProtection="1">
      <alignment horizontal="center"/>
      <protection locked="0"/>
    </xf>
    <xf numFmtId="0" fontId="9" fillId="0" borderId="0" xfId="1" applyAlignment="1" applyProtection="1">
      <alignment horizontal="center"/>
    </xf>
    <xf numFmtId="0" fontId="11" fillId="0" borderId="32" xfId="1" applyFont="1" applyFill="1" applyBorder="1" applyAlignment="1" applyProtection="1">
      <alignment vertical="center" textRotation="255" wrapText="1"/>
      <protection locked="0"/>
    </xf>
    <xf numFmtId="1" fontId="31" fillId="0" borderId="0" xfId="1" applyNumberFormat="1" applyFont="1" applyAlignment="1" applyProtection="1">
      <alignment horizontal="center"/>
      <protection locked="0"/>
    </xf>
    <xf numFmtId="0" fontId="24" fillId="0" borderId="0" xfId="1" applyFont="1" applyAlignment="1" applyProtection="1">
      <alignment horizontal="center"/>
      <protection locked="0"/>
    </xf>
    <xf numFmtId="0" fontId="25" fillId="0" borderId="33" xfId="1" applyFont="1" applyBorder="1" applyAlignment="1" applyProtection="1">
      <alignment horizontal="left"/>
      <protection locked="0"/>
    </xf>
    <xf numFmtId="0" fontId="9" fillId="0" borderId="34" xfId="1" applyBorder="1" applyAlignment="1" applyProtection="1">
      <alignment horizontal="left"/>
      <protection locked="0"/>
    </xf>
    <xf numFmtId="0" fontId="9" fillId="0" borderId="31" xfId="1" applyBorder="1" applyAlignment="1" applyProtection="1">
      <alignment horizontal="left"/>
      <protection locked="0"/>
    </xf>
    <xf numFmtId="0" fontId="4" fillId="0" borderId="8" xfId="1" applyFont="1" applyBorder="1" applyAlignment="1" applyProtection="1">
      <alignment horizontal="center" vertical="center"/>
      <protection locked="0"/>
    </xf>
    <xf numFmtId="0" fontId="4" fillId="0" borderId="9" xfId="1" applyFont="1" applyBorder="1" applyAlignment="1" applyProtection="1">
      <alignment horizontal="center" vertical="center"/>
      <protection locked="0"/>
    </xf>
    <xf numFmtId="164" fontId="4" fillId="0" borderId="35" xfId="1" applyNumberFormat="1" applyFont="1" applyBorder="1" applyAlignment="1" applyProtection="1">
      <alignment horizontal="center" vertical="center"/>
      <protection locked="0"/>
    </xf>
    <xf numFmtId="164" fontId="4" fillId="0" borderId="37" xfId="1" applyNumberFormat="1" applyFont="1" applyBorder="1" applyAlignment="1" applyProtection="1">
      <alignment horizontal="center" vertical="center"/>
      <protection locked="0"/>
    </xf>
    <xf numFmtId="0" fontId="4" fillId="0" borderId="17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11" fillId="0" borderId="32" xfId="1" applyFont="1" applyFill="1" applyBorder="1" applyAlignment="1" applyProtection="1">
      <alignment horizontal="center" vertical="center" textRotation="255"/>
      <protection locked="0"/>
    </xf>
    <xf numFmtId="0" fontId="11" fillId="0" borderId="36" xfId="1" applyFont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/>
      <protection locked="0"/>
    </xf>
    <xf numFmtId="0" fontId="9" fillId="0" borderId="27" xfId="1" applyBorder="1" applyAlignment="1" applyProtection="1">
      <alignment horizontal="center"/>
      <protection locked="0"/>
    </xf>
    <xf numFmtId="0" fontId="11" fillId="0" borderId="38" xfId="1" applyFont="1" applyBorder="1" applyAlignment="1" applyProtection="1">
      <alignment horizontal="center"/>
      <protection locked="0"/>
    </xf>
    <xf numFmtId="0" fontId="9" fillId="0" borderId="39" xfId="1" applyBorder="1" applyAlignment="1" applyProtection="1">
      <alignment horizontal="center"/>
      <protection locked="0"/>
    </xf>
    <xf numFmtId="0" fontId="9" fillId="0" borderId="40" xfId="1" applyBorder="1" applyAlignment="1" applyProtection="1">
      <alignment horizontal="center"/>
      <protection locked="0"/>
    </xf>
    <xf numFmtId="0" fontId="1" fillId="0" borderId="36" xfId="1" applyFont="1" applyBorder="1" applyAlignment="1" applyProtection="1">
      <alignment horizontal="center"/>
      <protection locked="0"/>
    </xf>
    <xf numFmtId="0" fontId="1" fillId="0" borderId="32" xfId="1" applyFont="1" applyFill="1" applyBorder="1" applyAlignment="1" applyProtection="1">
      <alignment horizontal="center" vertical="center" textRotation="255"/>
      <protection locked="0"/>
    </xf>
  </cellXfs>
  <cellStyles count="2">
    <cellStyle name="Normal" xfId="0" builtinId="0"/>
    <cellStyle name="Normal 2" xfId="1"/>
  </cellStyles>
  <dxfs count="7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B. CASTRO
Dibujó:            D.A.S.
Revisó:    
 Fecha:  1995-07-09
 IDEAM - Area Operativa No. 04</a:t>
            </a:r>
          </a:p>
        </c:rich>
      </c:tx>
      <c:layout>
        <c:manualLayout>
          <c:xMode val="edge"/>
          <c:yMode val="edge"/>
          <c:x val="0.53040094126165271"/>
          <c:y val="7.252302752343849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3493360572012258E-2"/>
          <c:w val="0.93639726223056952"/>
          <c:h val="0.9172625127681307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1995-07-09'!$A$3:$A$39</c:f>
              <c:numCache>
                <c:formatCode>0.00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1.5</c:v>
                </c:pt>
                <c:pt idx="3">
                  <c:v>3.5</c:v>
                </c:pt>
                <c:pt idx="4">
                  <c:v>6</c:v>
                </c:pt>
                <c:pt idx="5">
                  <c:v>6</c:v>
                </c:pt>
                <c:pt idx="6">
                  <c:v>6.4</c:v>
                </c:pt>
                <c:pt idx="7">
                  <c:v>6.9</c:v>
                </c:pt>
                <c:pt idx="8">
                  <c:v>7.4</c:v>
                </c:pt>
                <c:pt idx="9">
                  <c:v>7.9</c:v>
                </c:pt>
                <c:pt idx="10">
                  <c:v>8.4</c:v>
                </c:pt>
                <c:pt idx="11">
                  <c:v>8.9</c:v>
                </c:pt>
                <c:pt idx="12">
                  <c:v>9.4</c:v>
                </c:pt>
                <c:pt idx="13">
                  <c:v>9.9</c:v>
                </c:pt>
                <c:pt idx="14">
                  <c:v>10.4</c:v>
                </c:pt>
                <c:pt idx="15">
                  <c:v>10.9</c:v>
                </c:pt>
                <c:pt idx="16">
                  <c:v>11.4</c:v>
                </c:pt>
                <c:pt idx="17">
                  <c:v>11.9</c:v>
                </c:pt>
                <c:pt idx="18">
                  <c:v>12.4</c:v>
                </c:pt>
                <c:pt idx="19">
                  <c:v>12.9</c:v>
                </c:pt>
                <c:pt idx="20">
                  <c:v>13.4</c:v>
                </c:pt>
                <c:pt idx="21">
                  <c:v>13.5</c:v>
                </c:pt>
                <c:pt idx="22">
                  <c:v>13.5</c:v>
                </c:pt>
                <c:pt idx="23">
                  <c:v>13.5</c:v>
                </c:pt>
                <c:pt idx="24">
                  <c:v>14</c:v>
                </c:pt>
                <c:pt idx="25">
                  <c:v>15</c:v>
                </c:pt>
                <c:pt idx="26">
                  <c:v>17</c:v>
                </c:pt>
              </c:numCache>
            </c:numRef>
          </c:xVal>
          <c:yVal>
            <c:numRef>
              <c:f>'Fecha 1995-07-09'!$B$3:$B$39</c:f>
              <c:numCache>
                <c:formatCode>0.000</c:formatCode>
                <c:ptCount val="37"/>
                <c:pt idx="0">
                  <c:v>99.998000000000005</c:v>
                </c:pt>
                <c:pt idx="1">
                  <c:v>99.668000000000006</c:v>
                </c:pt>
                <c:pt idx="2">
                  <c:v>99.438000000000002</c:v>
                </c:pt>
                <c:pt idx="3">
                  <c:v>99.087999999999994</c:v>
                </c:pt>
                <c:pt idx="4">
                  <c:v>98.66</c:v>
                </c:pt>
                <c:pt idx="5">
                  <c:v>98.57</c:v>
                </c:pt>
                <c:pt idx="6">
                  <c:v>98.49</c:v>
                </c:pt>
                <c:pt idx="7">
                  <c:v>98.49</c:v>
                </c:pt>
                <c:pt idx="8">
                  <c:v>98.49</c:v>
                </c:pt>
                <c:pt idx="9">
                  <c:v>98.46</c:v>
                </c:pt>
                <c:pt idx="10">
                  <c:v>98.536000000000001</c:v>
                </c:pt>
                <c:pt idx="11">
                  <c:v>98.506</c:v>
                </c:pt>
                <c:pt idx="12">
                  <c:v>98.536000000000001</c:v>
                </c:pt>
                <c:pt idx="13">
                  <c:v>98.445999999999998</c:v>
                </c:pt>
                <c:pt idx="14">
                  <c:v>98.305999999999997</c:v>
                </c:pt>
                <c:pt idx="15">
                  <c:v>98.245999999999995</c:v>
                </c:pt>
                <c:pt idx="16">
                  <c:v>98.256</c:v>
                </c:pt>
                <c:pt idx="17">
                  <c:v>98.195999999999998</c:v>
                </c:pt>
                <c:pt idx="18">
                  <c:v>98.186000000000007</c:v>
                </c:pt>
                <c:pt idx="19">
                  <c:v>98.415999999999997</c:v>
                </c:pt>
                <c:pt idx="20">
                  <c:v>98.406000000000006</c:v>
                </c:pt>
                <c:pt idx="21">
                  <c:v>98.406000000000006</c:v>
                </c:pt>
                <c:pt idx="22">
                  <c:v>98.66</c:v>
                </c:pt>
                <c:pt idx="23">
                  <c:v>98.587999999999994</c:v>
                </c:pt>
                <c:pt idx="24">
                  <c:v>98.878</c:v>
                </c:pt>
                <c:pt idx="25">
                  <c:v>99.518000000000001</c:v>
                </c:pt>
                <c:pt idx="26">
                  <c:v>100.258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24-4E33-9E30-EC4F4C314D9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1995-07-09'!$A$44:$A$45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'Fecha 1995-07-09'!$B$44:$B$45</c:f>
              <c:numCache>
                <c:formatCode>0.000</c:formatCode>
                <c:ptCount val="2"/>
                <c:pt idx="0">
                  <c:v>99.32</c:v>
                </c:pt>
                <c:pt idx="1">
                  <c:v>100.24299999999999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24-4E33-9E30-EC4F4C314D9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1995-07-09'!$A$42:$A$43</c:f>
              <c:numCache>
                <c:formatCode>0.00</c:formatCode>
                <c:ptCount val="2"/>
                <c:pt idx="0">
                  <c:v>13.3</c:v>
                </c:pt>
                <c:pt idx="1">
                  <c:v>13.3</c:v>
                </c:pt>
              </c:numCache>
            </c:numRef>
          </c:xVal>
          <c:yVal>
            <c:numRef>
              <c:f>'Fecha 1995-07-09'!$B$42:$B$43</c:f>
              <c:numCache>
                <c:formatCode>0.000</c:formatCode>
                <c:ptCount val="2"/>
                <c:pt idx="0">
                  <c:v>98.328999999999994</c:v>
                </c:pt>
                <c:pt idx="1">
                  <c:v>99.352999999999994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24-4E33-9E30-EC4F4C314D9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1995-07-09'!$A$40:$A$41</c:f>
              <c:numCache>
                <c:formatCode>0.00</c:formatCode>
                <c:ptCount val="2"/>
                <c:pt idx="0">
                  <c:v>6</c:v>
                </c:pt>
                <c:pt idx="1">
                  <c:v>13.5</c:v>
                </c:pt>
              </c:numCache>
            </c:numRef>
          </c:xVal>
          <c:yVal>
            <c:numRef>
              <c:f>'Fecha 1995-07-09'!$B$40:$B$41</c:f>
              <c:numCache>
                <c:formatCode>0.000</c:formatCode>
                <c:ptCount val="2"/>
                <c:pt idx="0">
                  <c:v>98.66</c:v>
                </c:pt>
                <c:pt idx="1">
                  <c:v>98.66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24-4E33-9E30-EC4F4C314D9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1995-07-09'!$A$46:$A$47</c:f>
              <c:numCache>
                <c:formatCode>0.00</c:formatCode>
                <c:ptCount val="2"/>
              </c:numCache>
            </c:numRef>
          </c:xVal>
          <c:yVal>
            <c:numRef>
              <c:f>'Fecha 1995-07-09'!$B$46:$B$47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24-4E33-9E30-EC4F4C314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49512"/>
        <c:axId val="152880224"/>
      </c:scatterChart>
      <c:valAx>
        <c:axId val="153949512"/>
        <c:scaling>
          <c:orientation val="minMax"/>
          <c:max val="1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52707138121304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2880224"/>
        <c:crossesAt val="89"/>
        <c:crossBetween val="midCat"/>
        <c:majorUnit val="10"/>
        <c:minorUnit val="2"/>
      </c:valAx>
      <c:valAx>
        <c:axId val="152880224"/>
        <c:scaling>
          <c:orientation val="minMax"/>
          <c:max val="101"/>
          <c:min val="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3309497586288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394951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B. CASTRO
Dibujó:            D.A.S.
Revisó:    
 Fecha:  1997-03-05
 IDEAM - Area Operativa No. 04</a:t>
            </a:r>
          </a:p>
        </c:rich>
      </c:tx>
      <c:layout>
        <c:manualLayout>
          <c:xMode val="edge"/>
          <c:yMode val="edge"/>
          <c:x val="0.53040094126165271"/>
          <c:y val="7.242439684601011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3461438846054231E-2"/>
          <c:w val="0.93639726223056952"/>
          <c:h val="0.9170362401131632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1997-03-05'!$A$3:$A$39</c:f>
              <c:numCache>
                <c:formatCode>0.00</c:formatCode>
                <c:ptCount val="37"/>
                <c:pt idx="0">
                  <c:v>0</c:v>
                </c:pt>
                <c:pt idx="1">
                  <c:v>2</c:v>
                </c:pt>
                <c:pt idx="2">
                  <c:v>2.5</c:v>
                </c:pt>
                <c:pt idx="3">
                  <c:v>5</c:v>
                </c:pt>
                <c:pt idx="4">
                  <c:v>8</c:v>
                </c:pt>
                <c:pt idx="5">
                  <c:v>9.5</c:v>
                </c:pt>
                <c:pt idx="6">
                  <c:v>11.5</c:v>
                </c:pt>
                <c:pt idx="7">
                  <c:v>13</c:v>
                </c:pt>
                <c:pt idx="8">
                  <c:v>13</c:v>
                </c:pt>
                <c:pt idx="9">
                  <c:v>13.5</c:v>
                </c:pt>
                <c:pt idx="10">
                  <c:v>14.5</c:v>
                </c:pt>
                <c:pt idx="11">
                  <c:v>15</c:v>
                </c:pt>
                <c:pt idx="12">
                  <c:v>15.5</c:v>
                </c:pt>
                <c:pt idx="13">
                  <c:v>16</c:v>
                </c:pt>
                <c:pt idx="14">
                  <c:v>16.5</c:v>
                </c:pt>
                <c:pt idx="15">
                  <c:v>17</c:v>
                </c:pt>
                <c:pt idx="16">
                  <c:v>17.5</c:v>
                </c:pt>
                <c:pt idx="17">
                  <c:v>18</c:v>
                </c:pt>
                <c:pt idx="18">
                  <c:v>18.5</c:v>
                </c:pt>
                <c:pt idx="19">
                  <c:v>19</c:v>
                </c:pt>
                <c:pt idx="20">
                  <c:v>19.5</c:v>
                </c:pt>
                <c:pt idx="21">
                  <c:v>20</c:v>
                </c:pt>
                <c:pt idx="22">
                  <c:v>20.5</c:v>
                </c:pt>
                <c:pt idx="23">
                  <c:v>20.7</c:v>
                </c:pt>
                <c:pt idx="24">
                  <c:v>20.7</c:v>
                </c:pt>
                <c:pt idx="25">
                  <c:v>21.6</c:v>
                </c:pt>
                <c:pt idx="26">
                  <c:v>22.6</c:v>
                </c:pt>
              </c:numCache>
            </c:numRef>
          </c:xVal>
          <c:yVal>
            <c:numRef>
              <c:f>'Fecha 1997-03-05'!$B$3:$B$39</c:f>
              <c:numCache>
                <c:formatCode>0.000</c:formatCode>
                <c:ptCount val="37"/>
                <c:pt idx="0">
                  <c:v>100.523</c:v>
                </c:pt>
                <c:pt idx="1">
                  <c:v>99.78</c:v>
                </c:pt>
                <c:pt idx="2">
                  <c:v>99.32</c:v>
                </c:pt>
                <c:pt idx="3">
                  <c:v>98.53</c:v>
                </c:pt>
                <c:pt idx="4">
                  <c:v>99.72</c:v>
                </c:pt>
                <c:pt idx="5">
                  <c:v>99.3</c:v>
                </c:pt>
                <c:pt idx="6">
                  <c:v>99.04</c:v>
                </c:pt>
                <c:pt idx="7">
                  <c:v>98.57</c:v>
                </c:pt>
                <c:pt idx="8">
                  <c:v>98.51</c:v>
                </c:pt>
                <c:pt idx="9">
                  <c:v>98.48</c:v>
                </c:pt>
                <c:pt idx="10">
                  <c:v>98.48</c:v>
                </c:pt>
                <c:pt idx="11">
                  <c:v>98.47</c:v>
                </c:pt>
                <c:pt idx="12">
                  <c:v>98.49</c:v>
                </c:pt>
                <c:pt idx="13">
                  <c:v>98.45</c:v>
                </c:pt>
                <c:pt idx="14">
                  <c:v>98.37</c:v>
                </c:pt>
                <c:pt idx="15">
                  <c:v>98.29</c:v>
                </c:pt>
                <c:pt idx="16">
                  <c:v>98.27</c:v>
                </c:pt>
                <c:pt idx="17">
                  <c:v>98.13</c:v>
                </c:pt>
                <c:pt idx="18">
                  <c:v>98.12</c:v>
                </c:pt>
                <c:pt idx="19">
                  <c:v>98.15</c:v>
                </c:pt>
                <c:pt idx="20">
                  <c:v>98.35</c:v>
                </c:pt>
                <c:pt idx="21">
                  <c:v>98.34</c:v>
                </c:pt>
                <c:pt idx="22">
                  <c:v>98.31</c:v>
                </c:pt>
                <c:pt idx="23">
                  <c:v>98.52</c:v>
                </c:pt>
                <c:pt idx="24">
                  <c:v>98.57</c:v>
                </c:pt>
                <c:pt idx="25">
                  <c:v>99.48</c:v>
                </c:pt>
                <c:pt idx="26">
                  <c:v>100.47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8-4E8F-8189-B019F1C33A8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1997-03-05'!$A$44:$A$45</c:f>
              <c:numCache>
                <c:formatCode>0.00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xVal>
          <c:yVal>
            <c:numRef>
              <c:f>'Fecha 1997-03-05'!$B$44:$B$45</c:f>
              <c:numCache>
                <c:formatCode>0.000</c:formatCode>
                <c:ptCount val="2"/>
                <c:pt idx="0">
                  <c:v>99.32</c:v>
                </c:pt>
                <c:pt idx="1">
                  <c:v>100.24299999999999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78-4E8F-8189-B019F1C33A8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1997-03-05'!$A$42:$A$43</c:f>
              <c:numCache>
                <c:formatCode>0.00</c:formatCode>
                <c:ptCount val="2"/>
                <c:pt idx="0">
                  <c:v>20.3</c:v>
                </c:pt>
                <c:pt idx="1">
                  <c:v>21.22</c:v>
                </c:pt>
              </c:numCache>
            </c:numRef>
          </c:xVal>
          <c:yVal>
            <c:numRef>
              <c:f>'Fecha 1997-03-05'!$B$42:$B$43</c:f>
              <c:numCache>
                <c:formatCode>0.000</c:formatCode>
                <c:ptCount val="2"/>
                <c:pt idx="0">
                  <c:v>98.320999999999998</c:v>
                </c:pt>
                <c:pt idx="1">
                  <c:v>99.352999999999994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78-4E8F-8189-B019F1C33A8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1997-03-05'!$A$40:$A$41</c:f>
              <c:numCache>
                <c:formatCode>0.00</c:formatCode>
                <c:ptCount val="2"/>
                <c:pt idx="0">
                  <c:v>13</c:v>
                </c:pt>
                <c:pt idx="1">
                  <c:v>20.7</c:v>
                </c:pt>
              </c:numCache>
            </c:numRef>
          </c:xVal>
          <c:yVal>
            <c:numRef>
              <c:f>'Fecha 1997-03-05'!$B$40:$B$41</c:f>
              <c:numCache>
                <c:formatCode>0.000</c:formatCode>
                <c:ptCount val="2"/>
                <c:pt idx="0">
                  <c:v>98.57</c:v>
                </c:pt>
                <c:pt idx="1">
                  <c:v>98.57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B78-4E8F-8189-B019F1C33A8B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1997-03-05'!$A$46:$A$47</c:f>
              <c:numCache>
                <c:formatCode>0.00</c:formatCode>
                <c:ptCount val="2"/>
              </c:numCache>
            </c:numRef>
          </c:xVal>
          <c:yVal>
            <c:numRef>
              <c:f>'Fecha 1997-03-05'!$B$46:$B$47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B78-4E8F-8189-B019F1C33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95840"/>
        <c:axId val="153204416"/>
      </c:scatterChart>
      <c:valAx>
        <c:axId val="153195840"/>
        <c:scaling>
          <c:orientation val="minMax"/>
          <c:max val="23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4979205365508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3204416"/>
        <c:crossesAt val="89"/>
        <c:crossBetween val="midCat"/>
        <c:majorUnit val="10"/>
        <c:minorUnit val="2"/>
      </c:valAx>
      <c:valAx>
        <c:axId val="153204416"/>
        <c:scaling>
          <c:orientation val="minMax"/>
          <c:max val="101"/>
          <c:min val="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27071929161255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319584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RAMIREZ
Dibujó:            D.A.S.
Revisó:    
 Fecha:  1998-06-10
 IDEAM - Area Operativa No. 04</a:t>
            </a:r>
          </a:p>
        </c:rich>
      </c:tx>
      <c:layout>
        <c:manualLayout>
          <c:xMode val="edge"/>
          <c:yMode val="edge"/>
          <c:x val="0.53040094126165271"/>
          <c:y val="7.242439684601011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3461438846054231E-2"/>
          <c:w val="0.93639726223056952"/>
          <c:h val="0.9170362401131632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1998-06-10'!$A$3:$A$39</c:f>
              <c:numCache>
                <c:formatCode>0.00</c:formatCode>
                <c:ptCount val="37"/>
                <c:pt idx="0">
                  <c:v>0</c:v>
                </c:pt>
                <c:pt idx="1">
                  <c:v>3</c:v>
                </c:pt>
                <c:pt idx="2">
                  <c:v>4.2</c:v>
                </c:pt>
                <c:pt idx="3">
                  <c:v>7.3</c:v>
                </c:pt>
                <c:pt idx="4">
                  <c:v>11.5</c:v>
                </c:pt>
                <c:pt idx="5">
                  <c:v>11.8</c:v>
                </c:pt>
                <c:pt idx="6">
                  <c:v>12.3</c:v>
                </c:pt>
                <c:pt idx="7">
                  <c:v>12.9</c:v>
                </c:pt>
                <c:pt idx="8">
                  <c:v>13.4</c:v>
                </c:pt>
                <c:pt idx="9">
                  <c:v>13.9</c:v>
                </c:pt>
                <c:pt idx="10">
                  <c:v>14.4</c:v>
                </c:pt>
                <c:pt idx="11">
                  <c:v>14.9</c:v>
                </c:pt>
                <c:pt idx="12">
                  <c:v>15.4</c:v>
                </c:pt>
                <c:pt idx="13">
                  <c:v>15.9</c:v>
                </c:pt>
                <c:pt idx="14">
                  <c:v>16.399999999999999</c:v>
                </c:pt>
                <c:pt idx="15">
                  <c:v>16.899999999999999</c:v>
                </c:pt>
                <c:pt idx="16">
                  <c:v>17.399999999999999</c:v>
                </c:pt>
                <c:pt idx="17">
                  <c:v>17.899999999999999</c:v>
                </c:pt>
                <c:pt idx="18">
                  <c:v>18.399999999999999</c:v>
                </c:pt>
                <c:pt idx="19">
                  <c:v>18.899999999999999</c:v>
                </c:pt>
                <c:pt idx="20">
                  <c:v>19</c:v>
                </c:pt>
                <c:pt idx="21">
                  <c:v>19</c:v>
                </c:pt>
                <c:pt idx="22">
                  <c:v>19</c:v>
                </c:pt>
                <c:pt idx="23">
                  <c:v>21.3</c:v>
                </c:pt>
                <c:pt idx="24">
                  <c:v>22.2</c:v>
                </c:pt>
              </c:numCache>
            </c:numRef>
          </c:xVal>
          <c:yVal>
            <c:numRef>
              <c:f>'Fecha 1998-06-10'!$B$3:$B$39</c:f>
              <c:numCache>
                <c:formatCode>0.000</c:formatCode>
                <c:ptCount val="37"/>
                <c:pt idx="0">
                  <c:v>100.559</c:v>
                </c:pt>
                <c:pt idx="1">
                  <c:v>99.061000000000007</c:v>
                </c:pt>
                <c:pt idx="2">
                  <c:v>98.575999999999993</c:v>
                </c:pt>
                <c:pt idx="3">
                  <c:v>99.695999999999998</c:v>
                </c:pt>
                <c:pt idx="4">
                  <c:v>98.674000000000007</c:v>
                </c:pt>
                <c:pt idx="5">
                  <c:v>98.513999999999996</c:v>
                </c:pt>
                <c:pt idx="6">
                  <c:v>98.444000000000003</c:v>
                </c:pt>
                <c:pt idx="7">
                  <c:v>98.614000000000004</c:v>
                </c:pt>
                <c:pt idx="8">
                  <c:v>98.453999999999994</c:v>
                </c:pt>
                <c:pt idx="9">
                  <c:v>98.444000000000003</c:v>
                </c:pt>
                <c:pt idx="10">
                  <c:v>98.313999999999993</c:v>
                </c:pt>
                <c:pt idx="11">
                  <c:v>98.103999999999999</c:v>
                </c:pt>
                <c:pt idx="12">
                  <c:v>98.203999999999994</c:v>
                </c:pt>
                <c:pt idx="13">
                  <c:v>98.224000000000004</c:v>
                </c:pt>
                <c:pt idx="14">
                  <c:v>98.153999999999996</c:v>
                </c:pt>
                <c:pt idx="15">
                  <c:v>98.123999999999995</c:v>
                </c:pt>
                <c:pt idx="16">
                  <c:v>98.114000000000004</c:v>
                </c:pt>
                <c:pt idx="17">
                  <c:v>98.153999999999996</c:v>
                </c:pt>
                <c:pt idx="18">
                  <c:v>98.174000000000007</c:v>
                </c:pt>
                <c:pt idx="19">
                  <c:v>98.274000000000001</c:v>
                </c:pt>
                <c:pt idx="20">
                  <c:v>98.254000000000005</c:v>
                </c:pt>
                <c:pt idx="21">
                  <c:v>98.674000000000007</c:v>
                </c:pt>
                <c:pt idx="22">
                  <c:v>98.888999999999996</c:v>
                </c:pt>
                <c:pt idx="23">
                  <c:v>99.908000000000001</c:v>
                </c:pt>
                <c:pt idx="24">
                  <c:v>100.608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EC-43F6-AB44-7FE40B8B850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1998-06-10'!$A$44:$A$45</c:f>
              <c:numCache>
                <c:formatCode>0.00</c:formatCode>
                <c:ptCount val="2"/>
                <c:pt idx="0">
                  <c:v>19.5</c:v>
                </c:pt>
                <c:pt idx="1">
                  <c:v>19.5</c:v>
                </c:pt>
              </c:numCache>
            </c:numRef>
          </c:xVal>
          <c:yVal>
            <c:numRef>
              <c:f>'Fecha 1998-06-10'!$B$44:$B$45</c:f>
              <c:numCache>
                <c:formatCode>0.000</c:formatCode>
                <c:ptCount val="2"/>
                <c:pt idx="0">
                  <c:v>99.32</c:v>
                </c:pt>
                <c:pt idx="1">
                  <c:v>100.24299999999999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EC-43F6-AB44-7FE40B8B850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1998-06-10'!$A$42:$A$43</c:f>
              <c:numCache>
                <c:formatCode>0.00</c:formatCode>
                <c:ptCount val="2"/>
                <c:pt idx="0">
                  <c:v>18.899999999999999</c:v>
                </c:pt>
                <c:pt idx="1">
                  <c:v>18.899999999999999</c:v>
                </c:pt>
              </c:numCache>
            </c:numRef>
          </c:xVal>
          <c:yVal>
            <c:numRef>
              <c:f>'Fecha 1998-06-10'!$B$42:$B$43</c:f>
              <c:numCache>
                <c:formatCode>0.000</c:formatCode>
                <c:ptCount val="2"/>
                <c:pt idx="0">
                  <c:v>98.320999999999998</c:v>
                </c:pt>
                <c:pt idx="1">
                  <c:v>99.352999999999994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EC-43F6-AB44-7FE40B8B850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1998-06-10'!$A$40:$A$41</c:f>
              <c:numCache>
                <c:formatCode>0.00</c:formatCode>
                <c:ptCount val="2"/>
                <c:pt idx="0">
                  <c:v>11.5</c:v>
                </c:pt>
                <c:pt idx="1">
                  <c:v>19</c:v>
                </c:pt>
              </c:numCache>
            </c:numRef>
          </c:xVal>
          <c:yVal>
            <c:numRef>
              <c:f>'Fecha 1998-06-10'!$B$40:$B$41</c:f>
              <c:numCache>
                <c:formatCode>0.000</c:formatCode>
                <c:ptCount val="2"/>
                <c:pt idx="0">
                  <c:v>98.674000000000007</c:v>
                </c:pt>
                <c:pt idx="1">
                  <c:v>98.674000000000007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EC-43F6-AB44-7FE40B8B850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1998-06-10'!$A$46:$A$47</c:f>
              <c:numCache>
                <c:formatCode>0.00</c:formatCode>
                <c:ptCount val="2"/>
              </c:numCache>
            </c:numRef>
          </c:xVal>
          <c:yVal>
            <c:numRef>
              <c:f>'Fecha 1998-06-10'!$B$46:$B$47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EC-43F6-AB44-7FE40B8B8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95056"/>
        <c:axId val="153868352"/>
      </c:scatterChart>
      <c:valAx>
        <c:axId val="153295056"/>
        <c:scaling>
          <c:orientation val="minMax"/>
          <c:max val="23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4979205365508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3868352"/>
        <c:crossesAt val="89"/>
        <c:crossBetween val="midCat"/>
        <c:majorUnit val="10"/>
        <c:minorUnit val="2"/>
      </c:valAx>
      <c:valAx>
        <c:axId val="153868352"/>
        <c:scaling>
          <c:orientation val="minMax"/>
          <c:max val="101"/>
          <c:min val="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27071929161255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329505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B. CASTRO
Dibujó:            D.A.S.
Revisó:    
 Fecha:  1998-10-04
 IDEAM - Area Operativa No. 04</a:t>
            </a:r>
          </a:p>
        </c:rich>
      </c:tx>
      <c:layout>
        <c:manualLayout>
          <c:xMode val="edge"/>
          <c:yMode val="edge"/>
          <c:x val="0.53040094126165271"/>
          <c:y val="7.252302752343849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19417378498758E-2"/>
          <c:y val="2.4514811031664963E-2"/>
          <c:w val="0.93639726223056952"/>
          <c:h val="0.9172625127681307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1998-10-04'!$A$3:$A$39</c:f>
              <c:numCache>
                <c:formatCode>0.00</c:formatCode>
                <c:ptCount val="37"/>
                <c:pt idx="0">
                  <c:v>0</c:v>
                </c:pt>
                <c:pt idx="1">
                  <c:v>1.5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  <c:pt idx="5">
                  <c:v>5</c:v>
                </c:pt>
                <c:pt idx="6">
                  <c:v>7</c:v>
                </c:pt>
                <c:pt idx="7">
                  <c:v>7.5</c:v>
                </c:pt>
                <c:pt idx="8">
                  <c:v>9.5</c:v>
                </c:pt>
                <c:pt idx="9">
                  <c:v>14</c:v>
                </c:pt>
                <c:pt idx="10">
                  <c:v>14.5</c:v>
                </c:pt>
                <c:pt idx="11">
                  <c:v>15</c:v>
                </c:pt>
                <c:pt idx="12">
                  <c:v>15.5</c:v>
                </c:pt>
                <c:pt idx="13">
                  <c:v>16</c:v>
                </c:pt>
                <c:pt idx="14">
                  <c:v>16.5</c:v>
                </c:pt>
                <c:pt idx="15">
                  <c:v>17</c:v>
                </c:pt>
                <c:pt idx="16">
                  <c:v>17.5</c:v>
                </c:pt>
                <c:pt idx="17">
                  <c:v>18</c:v>
                </c:pt>
                <c:pt idx="18">
                  <c:v>18.5</c:v>
                </c:pt>
                <c:pt idx="19">
                  <c:v>19</c:v>
                </c:pt>
                <c:pt idx="20">
                  <c:v>19.5</c:v>
                </c:pt>
                <c:pt idx="21">
                  <c:v>20</c:v>
                </c:pt>
                <c:pt idx="22">
                  <c:v>20.5</c:v>
                </c:pt>
                <c:pt idx="23">
                  <c:v>21</c:v>
                </c:pt>
                <c:pt idx="24">
                  <c:v>21.5</c:v>
                </c:pt>
                <c:pt idx="25">
                  <c:v>21.5</c:v>
                </c:pt>
                <c:pt idx="26">
                  <c:v>21.5</c:v>
                </c:pt>
                <c:pt idx="27">
                  <c:v>22</c:v>
                </c:pt>
                <c:pt idx="28">
                  <c:v>22</c:v>
                </c:pt>
                <c:pt idx="29">
                  <c:v>24</c:v>
                </c:pt>
                <c:pt idx="30">
                  <c:v>26</c:v>
                </c:pt>
              </c:numCache>
            </c:numRef>
          </c:xVal>
          <c:yVal>
            <c:numRef>
              <c:f>'Fecha 1998-10-04'!$B$3:$B$39</c:f>
              <c:numCache>
                <c:formatCode>0.000</c:formatCode>
                <c:ptCount val="37"/>
                <c:pt idx="0">
                  <c:v>100.45</c:v>
                </c:pt>
                <c:pt idx="1">
                  <c:v>99.93</c:v>
                </c:pt>
                <c:pt idx="2">
                  <c:v>99.22</c:v>
                </c:pt>
                <c:pt idx="3">
                  <c:v>99.01</c:v>
                </c:pt>
                <c:pt idx="4">
                  <c:v>98.62</c:v>
                </c:pt>
                <c:pt idx="5">
                  <c:v>98.71</c:v>
                </c:pt>
                <c:pt idx="6">
                  <c:v>99.34</c:v>
                </c:pt>
                <c:pt idx="7">
                  <c:v>99.65</c:v>
                </c:pt>
                <c:pt idx="8">
                  <c:v>99.4</c:v>
                </c:pt>
                <c:pt idx="9">
                  <c:v>98.61</c:v>
                </c:pt>
                <c:pt idx="10">
                  <c:v>98.41</c:v>
                </c:pt>
                <c:pt idx="11">
                  <c:v>98.51</c:v>
                </c:pt>
                <c:pt idx="12">
                  <c:v>98.51</c:v>
                </c:pt>
                <c:pt idx="13">
                  <c:v>98.51</c:v>
                </c:pt>
                <c:pt idx="14">
                  <c:v>98.49</c:v>
                </c:pt>
                <c:pt idx="15">
                  <c:v>98.31</c:v>
                </c:pt>
                <c:pt idx="16">
                  <c:v>98.22</c:v>
                </c:pt>
                <c:pt idx="17">
                  <c:v>98.26</c:v>
                </c:pt>
                <c:pt idx="18">
                  <c:v>98.27</c:v>
                </c:pt>
                <c:pt idx="19">
                  <c:v>98.2</c:v>
                </c:pt>
                <c:pt idx="20">
                  <c:v>98.14</c:v>
                </c:pt>
                <c:pt idx="21">
                  <c:v>98.26</c:v>
                </c:pt>
                <c:pt idx="22">
                  <c:v>98.23</c:v>
                </c:pt>
                <c:pt idx="23">
                  <c:v>98.32</c:v>
                </c:pt>
                <c:pt idx="24">
                  <c:v>98.27</c:v>
                </c:pt>
                <c:pt idx="25">
                  <c:v>98.61</c:v>
                </c:pt>
                <c:pt idx="26">
                  <c:v>98.9</c:v>
                </c:pt>
                <c:pt idx="27">
                  <c:v>98.89</c:v>
                </c:pt>
                <c:pt idx="28">
                  <c:v>99.09</c:v>
                </c:pt>
                <c:pt idx="29">
                  <c:v>99.69</c:v>
                </c:pt>
                <c:pt idx="30">
                  <c:v>100.21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C-4274-88C7-430D10EF8991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1998-10-04'!$A$44:$A$45</c:f>
              <c:numCache>
                <c:formatCode>0.00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'Fecha 1998-10-04'!$B$44:$B$45</c:f>
              <c:numCache>
                <c:formatCode>0.000</c:formatCode>
                <c:ptCount val="2"/>
                <c:pt idx="0">
                  <c:v>99.32</c:v>
                </c:pt>
                <c:pt idx="1">
                  <c:v>100.24299999999999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3C-4274-88C7-430D10EF8991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1998-10-04'!$A$42:$A$43</c:f>
              <c:numCache>
                <c:formatCode>0.00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xVal>
          <c:yVal>
            <c:numRef>
              <c:f>'Fecha 1998-10-04'!$B$42:$B$43</c:f>
              <c:numCache>
                <c:formatCode>0.000</c:formatCode>
                <c:ptCount val="2"/>
                <c:pt idx="0">
                  <c:v>98.320999999999998</c:v>
                </c:pt>
                <c:pt idx="1">
                  <c:v>99.352999999999994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3C-4274-88C7-430D10EF8991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1998-10-04'!$A$40:$A$41</c:f>
              <c:numCache>
                <c:formatCode>0.00</c:formatCode>
                <c:ptCount val="2"/>
                <c:pt idx="0">
                  <c:v>14</c:v>
                </c:pt>
                <c:pt idx="1">
                  <c:v>21.5</c:v>
                </c:pt>
              </c:numCache>
            </c:numRef>
          </c:xVal>
          <c:yVal>
            <c:numRef>
              <c:f>'Fecha 1998-10-04'!$B$40:$B$41</c:f>
              <c:numCache>
                <c:formatCode>0.000</c:formatCode>
                <c:ptCount val="2"/>
                <c:pt idx="0">
                  <c:v>98.61</c:v>
                </c:pt>
                <c:pt idx="1">
                  <c:v>98.61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3C-4274-88C7-430D10EF8991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1998-10-04'!$A$46:$A$47</c:f>
              <c:numCache>
                <c:formatCode>0.00</c:formatCode>
                <c:ptCount val="2"/>
              </c:numCache>
            </c:numRef>
          </c:xVal>
          <c:yVal>
            <c:numRef>
              <c:f>'Fecha 1998-10-04'!$B$46:$B$47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3C-4274-88C7-430D10EF8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52576"/>
        <c:axId val="189205904"/>
      </c:scatterChart>
      <c:valAx>
        <c:axId val="153252576"/>
        <c:scaling>
          <c:orientation val="minMax"/>
          <c:max val="2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6483632775507772"/>
              <c:y val="0.966292089271722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05904"/>
        <c:crossesAt val="89"/>
        <c:crossBetween val="midCat"/>
        <c:majorUnit val="10"/>
        <c:minorUnit val="2"/>
      </c:valAx>
      <c:valAx>
        <c:axId val="189205904"/>
        <c:scaling>
          <c:orientation val="minMax"/>
          <c:max val="101"/>
          <c:min val="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4330982635521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325257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YAMIL G.
Dibujó:            D.A.S.
Revisó:    
 Fecha:  1999-10-25
 IDEAM - Area Operativa No. 04</a:t>
            </a:r>
          </a:p>
        </c:rich>
      </c:tx>
      <c:layout>
        <c:manualLayout>
          <c:xMode val="edge"/>
          <c:yMode val="edge"/>
          <c:x val="0.53040094126165271"/>
          <c:y val="7.252302752343849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19417378498758E-2"/>
          <c:y val="2.4514811031664963E-2"/>
          <c:w val="0.93639726223056952"/>
          <c:h val="0.9172625127681307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1999-10-25'!$A$3:$A$39</c:f>
              <c:numCache>
                <c:formatCode>0.00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2.5</c:v>
                </c:pt>
                <c:pt idx="4">
                  <c:v>4.2</c:v>
                </c:pt>
                <c:pt idx="5">
                  <c:v>4.8</c:v>
                </c:pt>
                <c:pt idx="6">
                  <c:v>7</c:v>
                </c:pt>
                <c:pt idx="7">
                  <c:v>8.5</c:v>
                </c:pt>
                <c:pt idx="8">
                  <c:v>10</c:v>
                </c:pt>
                <c:pt idx="9">
                  <c:v>12.6</c:v>
                </c:pt>
                <c:pt idx="10">
                  <c:v>13.1</c:v>
                </c:pt>
                <c:pt idx="11">
                  <c:v>13.6</c:v>
                </c:pt>
                <c:pt idx="12">
                  <c:v>14.1</c:v>
                </c:pt>
                <c:pt idx="13">
                  <c:v>14.8</c:v>
                </c:pt>
                <c:pt idx="14">
                  <c:v>15.3</c:v>
                </c:pt>
                <c:pt idx="15">
                  <c:v>15.8</c:v>
                </c:pt>
                <c:pt idx="16">
                  <c:v>16.3</c:v>
                </c:pt>
                <c:pt idx="17">
                  <c:v>16.8</c:v>
                </c:pt>
                <c:pt idx="18">
                  <c:v>17.3</c:v>
                </c:pt>
                <c:pt idx="19">
                  <c:v>17.8</c:v>
                </c:pt>
                <c:pt idx="20">
                  <c:v>18.3</c:v>
                </c:pt>
                <c:pt idx="21">
                  <c:v>18.8</c:v>
                </c:pt>
                <c:pt idx="22">
                  <c:v>19.3</c:v>
                </c:pt>
                <c:pt idx="23">
                  <c:v>19.8</c:v>
                </c:pt>
                <c:pt idx="24">
                  <c:v>20.2</c:v>
                </c:pt>
                <c:pt idx="25">
                  <c:v>20.6</c:v>
                </c:pt>
                <c:pt idx="26">
                  <c:v>21.6</c:v>
                </c:pt>
                <c:pt idx="27">
                  <c:v>24.2</c:v>
                </c:pt>
                <c:pt idx="28">
                  <c:v>25.2</c:v>
                </c:pt>
                <c:pt idx="29">
                  <c:v>25.2</c:v>
                </c:pt>
              </c:numCache>
            </c:numRef>
          </c:xVal>
          <c:yVal>
            <c:numRef>
              <c:f>'Fecha 1999-10-25'!$B$3:$B$39</c:f>
              <c:numCache>
                <c:formatCode>0.000</c:formatCode>
                <c:ptCount val="37"/>
                <c:pt idx="0">
                  <c:v>103.319</c:v>
                </c:pt>
                <c:pt idx="1">
                  <c:v>100.319</c:v>
                </c:pt>
                <c:pt idx="2">
                  <c:v>99.668999999999997</c:v>
                </c:pt>
                <c:pt idx="3">
                  <c:v>99.319000000000003</c:v>
                </c:pt>
                <c:pt idx="4">
                  <c:v>98.959000000000003</c:v>
                </c:pt>
                <c:pt idx="5">
                  <c:v>98.578999999999994</c:v>
                </c:pt>
                <c:pt idx="6">
                  <c:v>99.369</c:v>
                </c:pt>
                <c:pt idx="7">
                  <c:v>99.799000000000007</c:v>
                </c:pt>
                <c:pt idx="8">
                  <c:v>99.549000000000007</c:v>
                </c:pt>
                <c:pt idx="9">
                  <c:v>98.572999999999993</c:v>
                </c:pt>
                <c:pt idx="10">
                  <c:v>98.442999999999998</c:v>
                </c:pt>
                <c:pt idx="11">
                  <c:v>98.442999999999998</c:v>
                </c:pt>
                <c:pt idx="12">
                  <c:v>98.472999999999999</c:v>
                </c:pt>
                <c:pt idx="13">
                  <c:v>98.472999999999999</c:v>
                </c:pt>
                <c:pt idx="14">
                  <c:v>98.564999999999998</c:v>
                </c:pt>
                <c:pt idx="15">
                  <c:v>98.472999999999999</c:v>
                </c:pt>
                <c:pt idx="16">
                  <c:v>98.472999999999999</c:v>
                </c:pt>
                <c:pt idx="17">
                  <c:v>98.564999999999998</c:v>
                </c:pt>
                <c:pt idx="18">
                  <c:v>98.472999999999999</c:v>
                </c:pt>
                <c:pt idx="19">
                  <c:v>98.472999999999999</c:v>
                </c:pt>
                <c:pt idx="20">
                  <c:v>98.453000000000003</c:v>
                </c:pt>
                <c:pt idx="21">
                  <c:v>98.433000000000007</c:v>
                </c:pt>
                <c:pt idx="22">
                  <c:v>98.453000000000003</c:v>
                </c:pt>
                <c:pt idx="23">
                  <c:v>98.453000000000003</c:v>
                </c:pt>
                <c:pt idx="24">
                  <c:v>98.472999999999999</c:v>
                </c:pt>
                <c:pt idx="25">
                  <c:v>98.572999999999993</c:v>
                </c:pt>
                <c:pt idx="26">
                  <c:v>99.259</c:v>
                </c:pt>
                <c:pt idx="27">
                  <c:v>99.778999999999996</c:v>
                </c:pt>
                <c:pt idx="28">
                  <c:v>100.739</c:v>
                </c:pt>
                <c:pt idx="29">
                  <c:v>102.739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39-4DB1-A405-445631DC2291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1999-10-25'!$A$44:$A$45</c:f>
              <c:numCache>
                <c:formatCode>0.00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'Fecha 1999-10-25'!$B$44:$B$45</c:f>
              <c:numCache>
                <c:formatCode>0.000</c:formatCode>
                <c:ptCount val="2"/>
                <c:pt idx="0">
                  <c:v>99.32</c:v>
                </c:pt>
                <c:pt idx="1">
                  <c:v>100.24299999999999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39-4DB1-A405-445631DC2291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1999-10-25'!$A$42:$A$43</c:f>
              <c:numCache>
                <c:formatCode>0.00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xVal>
          <c:yVal>
            <c:numRef>
              <c:f>'Fecha 1999-10-25'!$B$42:$B$43</c:f>
              <c:numCache>
                <c:formatCode>0.000</c:formatCode>
                <c:ptCount val="2"/>
                <c:pt idx="0">
                  <c:v>98.325000000000003</c:v>
                </c:pt>
                <c:pt idx="1">
                  <c:v>99.352999999999994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39-4DB1-A405-445631DC2291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1999-10-25'!$A$40:$A$41</c:f>
              <c:numCache>
                <c:formatCode>0.00</c:formatCode>
                <c:ptCount val="2"/>
                <c:pt idx="0">
                  <c:v>12.6</c:v>
                </c:pt>
                <c:pt idx="1">
                  <c:v>20.6</c:v>
                </c:pt>
              </c:numCache>
            </c:numRef>
          </c:xVal>
          <c:yVal>
            <c:numRef>
              <c:f>'Fecha 1999-10-25'!$B$40:$B$41</c:f>
              <c:numCache>
                <c:formatCode>0.000</c:formatCode>
                <c:ptCount val="2"/>
                <c:pt idx="0">
                  <c:v>98.572999999999993</c:v>
                </c:pt>
                <c:pt idx="1">
                  <c:v>98.572999999999993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39-4DB1-A405-445631DC2291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1999-10-25'!$A$46:$A$47</c:f>
              <c:numCache>
                <c:formatCode>0.00</c:formatCode>
                <c:ptCount val="2"/>
              </c:numCache>
            </c:numRef>
          </c:xVal>
          <c:yVal>
            <c:numRef>
              <c:f>'Fecha 1999-10-25'!$B$46:$B$47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39-4DB1-A405-445631DC2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7200"/>
        <c:axId val="151247592"/>
      </c:scatterChart>
      <c:valAx>
        <c:axId val="151247200"/>
        <c:scaling>
          <c:orientation val="minMax"/>
          <c:max val="2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6483632775507772"/>
              <c:y val="0.966292089271722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7592"/>
        <c:crossesAt val="89"/>
        <c:crossBetween val="midCat"/>
        <c:majorUnit val="10"/>
        <c:minorUnit val="2"/>
      </c:valAx>
      <c:valAx>
        <c:axId val="151247592"/>
        <c:scaling>
          <c:orientation val="minMax"/>
          <c:max val="101"/>
          <c:min val="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4330982635521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720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YAMIL G.
Dibujó:            D.A.S.
Revisó:    
 Fecha:  2000-12-12
 IDEAM - Area Operativa No. 04</a:t>
            </a:r>
          </a:p>
        </c:rich>
      </c:tx>
      <c:layout>
        <c:manualLayout>
          <c:xMode val="edge"/>
          <c:yMode val="edge"/>
          <c:x val="0.53460385996746207"/>
          <c:y val="7.354440298303004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19417378498758E-2"/>
          <c:y val="2.4514811031664963E-2"/>
          <c:w val="0.93639726223056952"/>
          <c:h val="0.9172625127681307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2000-12-12'!$A$3:$A$39</c:f>
              <c:numCache>
                <c:formatCode>0.00</c:formatCode>
                <c:ptCount val="37"/>
                <c:pt idx="0">
                  <c:v>0</c:v>
                </c:pt>
                <c:pt idx="1">
                  <c:v>1.5</c:v>
                </c:pt>
                <c:pt idx="2">
                  <c:v>1.5</c:v>
                </c:pt>
                <c:pt idx="3">
                  <c:v>3.5</c:v>
                </c:pt>
                <c:pt idx="4">
                  <c:v>4.3</c:v>
                </c:pt>
                <c:pt idx="5">
                  <c:v>7</c:v>
                </c:pt>
                <c:pt idx="6">
                  <c:v>8</c:v>
                </c:pt>
                <c:pt idx="7">
                  <c:v>11.7</c:v>
                </c:pt>
                <c:pt idx="8">
                  <c:v>11.9</c:v>
                </c:pt>
                <c:pt idx="9">
                  <c:v>12.5</c:v>
                </c:pt>
                <c:pt idx="10">
                  <c:v>13.2</c:v>
                </c:pt>
                <c:pt idx="11">
                  <c:v>13.8</c:v>
                </c:pt>
                <c:pt idx="12">
                  <c:v>14.4</c:v>
                </c:pt>
                <c:pt idx="13">
                  <c:v>15</c:v>
                </c:pt>
                <c:pt idx="14">
                  <c:v>15.6</c:v>
                </c:pt>
                <c:pt idx="15">
                  <c:v>16.2</c:v>
                </c:pt>
                <c:pt idx="16">
                  <c:v>16.8</c:v>
                </c:pt>
                <c:pt idx="17">
                  <c:v>17.399999999999999</c:v>
                </c:pt>
                <c:pt idx="18">
                  <c:v>18</c:v>
                </c:pt>
                <c:pt idx="19">
                  <c:v>18.600000000000001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20.2</c:v>
                </c:pt>
                <c:pt idx="24">
                  <c:v>20.2</c:v>
                </c:pt>
                <c:pt idx="25">
                  <c:v>20.8</c:v>
                </c:pt>
                <c:pt idx="26">
                  <c:v>22</c:v>
                </c:pt>
              </c:numCache>
            </c:numRef>
          </c:xVal>
          <c:yVal>
            <c:numRef>
              <c:f>'Fecha 2000-12-12'!$B$3:$B$39</c:f>
              <c:numCache>
                <c:formatCode>0.000</c:formatCode>
                <c:ptCount val="37"/>
                <c:pt idx="0">
                  <c:v>100.248</c:v>
                </c:pt>
                <c:pt idx="1">
                  <c:v>99.697999999999993</c:v>
                </c:pt>
                <c:pt idx="2">
                  <c:v>99.582999999999998</c:v>
                </c:pt>
                <c:pt idx="3">
                  <c:v>99.028000000000006</c:v>
                </c:pt>
                <c:pt idx="4">
                  <c:v>98.772999999999996</c:v>
                </c:pt>
                <c:pt idx="5">
                  <c:v>99.852000000000004</c:v>
                </c:pt>
                <c:pt idx="6">
                  <c:v>99.798000000000002</c:v>
                </c:pt>
                <c:pt idx="7">
                  <c:v>98.616</c:v>
                </c:pt>
                <c:pt idx="8">
                  <c:v>98.475999999999999</c:v>
                </c:pt>
                <c:pt idx="9">
                  <c:v>98.415999999999997</c:v>
                </c:pt>
                <c:pt idx="10">
                  <c:v>98.406000000000006</c:v>
                </c:pt>
                <c:pt idx="11">
                  <c:v>98.415999999999997</c:v>
                </c:pt>
                <c:pt idx="12">
                  <c:v>98.506</c:v>
                </c:pt>
                <c:pt idx="13">
                  <c:v>98.516000000000005</c:v>
                </c:pt>
                <c:pt idx="14">
                  <c:v>98.555999999999997</c:v>
                </c:pt>
                <c:pt idx="15">
                  <c:v>98.506</c:v>
                </c:pt>
                <c:pt idx="16">
                  <c:v>98.475999999999999</c:v>
                </c:pt>
                <c:pt idx="17">
                  <c:v>98.516000000000005</c:v>
                </c:pt>
                <c:pt idx="18">
                  <c:v>98.445999999999998</c:v>
                </c:pt>
                <c:pt idx="19">
                  <c:v>98.465999999999994</c:v>
                </c:pt>
                <c:pt idx="20">
                  <c:v>98.575999999999993</c:v>
                </c:pt>
                <c:pt idx="21">
                  <c:v>98.616</c:v>
                </c:pt>
                <c:pt idx="22">
                  <c:v>98.783000000000001</c:v>
                </c:pt>
                <c:pt idx="23">
                  <c:v>99.045000000000002</c:v>
                </c:pt>
                <c:pt idx="24">
                  <c:v>99.378</c:v>
                </c:pt>
                <c:pt idx="25">
                  <c:v>99.688000000000002</c:v>
                </c:pt>
                <c:pt idx="26">
                  <c:v>100.503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44-4BDF-8218-7934D2E32FF7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2000-12-12'!$A$44:$A$45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'Fecha 2000-12-12'!$B$44:$B$45</c:f>
              <c:numCache>
                <c:formatCode>0.000</c:formatCode>
                <c:ptCount val="2"/>
                <c:pt idx="0">
                  <c:v>99.32</c:v>
                </c:pt>
                <c:pt idx="1">
                  <c:v>100.24299999999999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44-4BDF-8218-7934D2E32FF7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2000-12-12'!$A$42:$A$43</c:f>
              <c:numCache>
                <c:formatCode>0.00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'Fecha 2000-12-12'!$B$42:$B$43</c:f>
              <c:numCache>
                <c:formatCode>0.000</c:formatCode>
                <c:ptCount val="2"/>
                <c:pt idx="0">
                  <c:v>98.325000000000003</c:v>
                </c:pt>
                <c:pt idx="1">
                  <c:v>99.352999999999994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44-4BDF-8218-7934D2E32FF7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2000-12-12'!$A$40:$A$41</c:f>
              <c:numCache>
                <c:formatCode>0.00</c:formatCode>
                <c:ptCount val="2"/>
                <c:pt idx="0">
                  <c:v>11.7</c:v>
                </c:pt>
                <c:pt idx="1">
                  <c:v>19.2</c:v>
                </c:pt>
              </c:numCache>
            </c:numRef>
          </c:xVal>
          <c:yVal>
            <c:numRef>
              <c:f>'Fecha 2000-12-12'!$B$40:$B$41</c:f>
              <c:numCache>
                <c:formatCode>0.000</c:formatCode>
                <c:ptCount val="2"/>
                <c:pt idx="0">
                  <c:v>98.616</c:v>
                </c:pt>
                <c:pt idx="1">
                  <c:v>98.616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44-4BDF-8218-7934D2E32FF7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2000-12-12'!$A$46:$A$47</c:f>
              <c:numCache>
                <c:formatCode>0.00</c:formatCode>
                <c:ptCount val="2"/>
              </c:numCache>
            </c:numRef>
          </c:xVal>
          <c:yVal>
            <c:numRef>
              <c:f>'Fecha 2000-12-12'!$B$46:$B$47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44-4BDF-8218-7934D2E32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8768"/>
        <c:axId val="151249160"/>
      </c:scatterChart>
      <c:valAx>
        <c:axId val="151248768"/>
        <c:scaling>
          <c:orientation val="minMax"/>
          <c:max val="2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6483632775507772"/>
              <c:y val="0.966292089271722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9160"/>
        <c:crossesAt val="89"/>
        <c:crossBetween val="midCat"/>
        <c:majorUnit val="10"/>
        <c:minorUnit val="2"/>
      </c:valAx>
      <c:valAx>
        <c:axId val="151249160"/>
        <c:scaling>
          <c:orientation val="minMax"/>
          <c:max val="101"/>
          <c:min val="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4330982635521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876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.
Dibujó:            D.A.S.
Revisó:    
 Fecha:  2001-12-05
 IDEAM - Area Operativa No. 04</a:t>
            </a:r>
          </a:p>
        </c:rich>
      </c:tx>
      <c:layout>
        <c:manualLayout>
          <c:xMode val="edge"/>
          <c:yMode val="edge"/>
          <c:x val="0.35808365838206307"/>
          <c:y val="0.13483142373382867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19417378498758E-2"/>
          <c:y val="2.4514811031664963E-2"/>
          <c:w val="0.93639726223056952"/>
          <c:h val="0.9172625127681307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2001-12-05'!$A$3:$A$39</c:f>
              <c:numCache>
                <c:formatCode>0.00</c:formatCode>
                <c:ptCount val="37"/>
                <c:pt idx="0">
                  <c:v>0</c:v>
                </c:pt>
                <c:pt idx="1">
                  <c:v>2.6</c:v>
                </c:pt>
                <c:pt idx="2">
                  <c:v>5.3</c:v>
                </c:pt>
                <c:pt idx="3">
                  <c:v>6.7</c:v>
                </c:pt>
                <c:pt idx="4">
                  <c:v>10.199999999999999</c:v>
                </c:pt>
                <c:pt idx="5">
                  <c:v>10.7</c:v>
                </c:pt>
                <c:pt idx="6">
                  <c:v>11.3</c:v>
                </c:pt>
                <c:pt idx="7">
                  <c:v>11.9</c:v>
                </c:pt>
                <c:pt idx="8">
                  <c:v>12.5</c:v>
                </c:pt>
                <c:pt idx="9">
                  <c:v>13.1</c:v>
                </c:pt>
                <c:pt idx="10">
                  <c:v>13.7</c:v>
                </c:pt>
                <c:pt idx="11">
                  <c:v>14.3</c:v>
                </c:pt>
                <c:pt idx="12">
                  <c:v>14.9</c:v>
                </c:pt>
                <c:pt idx="13">
                  <c:v>15.5</c:v>
                </c:pt>
                <c:pt idx="14">
                  <c:v>16.100000000000001</c:v>
                </c:pt>
                <c:pt idx="15">
                  <c:v>16.7</c:v>
                </c:pt>
                <c:pt idx="16">
                  <c:v>17.600000000000001</c:v>
                </c:pt>
                <c:pt idx="17">
                  <c:v>19.3</c:v>
                </c:pt>
                <c:pt idx="18">
                  <c:v>20.100000000000001</c:v>
                </c:pt>
                <c:pt idx="19">
                  <c:v>20.8</c:v>
                </c:pt>
              </c:numCache>
            </c:numRef>
          </c:xVal>
          <c:yVal>
            <c:numRef>
              <c:f>'Fecha 2001-12-05'!$B$3:$B$39</c:f>
              <c:numCache>
                <c:formatCode>0.000</c:formatCode>
                <c:ptCount val="37"/>
                <c:pt idx="0">
                  <c:v>99.65</c:v>
                </c:pt>
                <c:pt idx="1">
                  <c:v>98.594999999999999</c:v>
                </c:pt>
                <c:pt idx="2">
                  <c:v>99.7</c:v>
                </c:pt>
                <c:pt idx="3">
                  <c:v>99.724999999999994</c:v>
                </c:pt>
                <c:pt idx="4">
                  <c:v>98.594999999999999</c:v>
                </c:pt>
                <c:pt idx="5">
                  <c:v>98.394999999999996</c:v>
                </c:pt>
                <c:pt idx="6">
                  <c:v>98.454999999999998</c:v>
                </c:pt>
                <c:pt idx="7">
                  <c:v>98.495000000000005</c:v>
                </c:pt>
                <c:pt idx="8">
                  <c:v>98.515000000000001</c:v>
                </c:pt>
                <c:pt idx="9">
                  <c:v>98.534999999999997</c:v>
                </c:pt>
                <c:pt idx="10">
                  <c:v>98.534999999999997</c:v>
                </c:pt>
                <c:pt idx="11">
                  <c:v>98.515000000000001</c:v>
                </c:pt>
                <c:pt idx="12">
                  <c:v>98.465000000000003</c:v>
                </c:pt>
                <c:pt idx="13">
                  <c:v>98.465000000000003</c:v>
                </c:pt>
                <c:pt idx="14">
                  <c:v>98.495000000000005</c:v>
                </c:pt>
                <c:pt idx="15">
                  <c:v>98.364999999999995</c:v>
                </c:pt>
                <c:pt idx="16">
                  <c:v>98.594999999999999</c:v>
                </c:pt>
                <c:pt idx="17">
                  <c:v>99.275000000000006</c:v>
                </c:pt>
                <c:pt idx="18">
                  <c:v>100.38500000000001</c:v>
                </c:pt>
                <c:pt idx="19">
                  <c:v>100.6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50-44F5-98AE-A1172DA49660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2001-12-05'!$A$44:$A$45</c:f>
              <c:numCache>
                <c:formatCode>0.00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xVal>
          <c:yVal>
            <c:numRef>
              <c:f>'Fecha 2001-12-05'!$B$44:$B$45</c:f>
              <c:numCache>
                <c:formatCode>0.000</c:formatCode>
                <c:ptCount val="2"/>
                <c:pt idx="0">
                  <c:v>99.32</c:v>
                </c:pt>
                <c:pt idx="1">
                  <c:v>100.24299999999999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50-44F5-98AE-A1172DA49660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2001-12-05'!$A$42:$A$43</c:f>
              <c:numCache>
                <c:formatCode>0.00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xVal>
          <c:yVal>
            <c:numRef>
              <c:f>'Fecha 2001-12-05'!$B$42:$B$43</c:f>
              <c:numCache>
                <c:formatCode>0.000</c:formatCode>
                <c:ptCount val="2"/>
                <c:pt idx="0">
                  <c:v>98.325000000000003</c:v>
                </c:pt>
                <c:pt idx="1">
                  <c:v>99.352999999999994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50-44F5-98AE-A1172DA49660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2001-12-05'!$A$40:$A$41</c:f>
              <c:numCache>
                <c:formatCode>0.00</c:formatCode>
                <c:ptCount val="2"/>
                <c:pt idx="0">
                  <c:v>10.199999999999999</c:v>
                </c:pt>
                <c:pt idx="1">
                  <c:v>17.600000000000001</c:v>
                </c:pt>
              </c:numCache>
            </c:numRef>
          </c:xVal>
          <c:yVal>
            <c:numRef>
              <c:f>'Fecha 2001-12-05'!$B$40:$B$41</c:f>
              <c:numCache>
                <c:formatCode>0.000</c:formatCode>
                <c:ptCount val="2"/>
                <c:pt idx="0">
                  <c:v>98.616</c:v>
                </c:pt>
                <c:pt idx="1">
                  <c:v>98.616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50-44F5-98AE-A1172DA49660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2001-12-05'!$A$46:$A$47</c:f>
              <c:numCache>
                <c:formatCode>0.00</c:formatCode>
                <c:ptCount val="2"/>
              </c:numCache>
            </c:numRef>
          </c:xVal>
          <c:yVal>
            <c:numRef>
              <c:f>'Fecha 2001-12-05'!$B$46:$B$47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50-44F5-98AE-A1172DA49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9944"/>
        <c:axId val="151250336"/>
      </c:scatterChart>
      <c:valAx>
        <c:axId val="151249944"/>
        <c:scaling>
          <c:orientation val="minMax"/>
          <c:max val="26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6483632775507772"/>
              <c:y val="0.966292089271722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50336"/>
        <c:crossesAt val="89"/>
        <c:crossBetween val="midCat"/>
        <c:majorUnit val="10"/>
        <c:minorUnit val="2"/>
      </c:valAx>
      <c:valAx>
        <c:axId val="151250336"/>
        <c:scaling>
          <c:orientation val="minMax"/>
          <c:max val="101"/>
          <c:min val="9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4330982635521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994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PALACIOS
Dibujó:            BRAND
Revisó:    
 Fecha:  2003-09-10
 IDEAM - Area Operativa No. 04</a:t>
            </a:r>
          </a:p>
        </c:rich>
      </c:tx>
      <c:layout>
        <c:manualLayout>
          <c:xMode val="edge"/>
          <c:yMode val="edge"/>
          <c:x val="0.63295078022732443"/>
          <c:y val="2.0578579414319096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0578598327639384E-2"/>
          <c:w val="0.93639726223056952"/>
          <c:h val="0.927826368076610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2003-09-10'!$A$3:$A$47</c:f>
              <c:numCache>
                <c:formatCode>0.00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5.5</c:v>
                </c:pt>
                <c:pt idx="5">
                  <c:v>5.5</c:v>
                </c:pt>
                <c:pt idx="6">
                  <c:v>7.5</c:v>
                </c:pt>
                <c:pt idx="7">
                  <c:v>9.5</c:v>
                </c:pt>
                <c:pt idx="8">
                  <c:v>11.5</c:v>
                </c:pt>
                <c:pt idx="9">
                  <c:v>12.6</c:v>
                </c:pt>
                <c:pt idx="10">
                  <c:v>13.1</c:v>
                </c:pt>
                <c:pt idx="11">
                  <c:v>13.9</c:v>
                </c:pt>
                <c:pt idx="12">
                  <c:v>14.7</c:v>
                </c:pt>
                <c:pt idx="13">
                  <c:v>15.5</c:v>
                </c:pt>
                <c:pt idx="14">
                  <c:v>16.3</c:v>
                </c:pt>
                <c:pt idx="15">
                  <c:v>17.100000000000001</c:v>
                </c:pt>
                <c:pt idx="16">
                  <c:v>17.899999999999999</c:v>
                </c:pt>
                <c:pt idx="17">
                  <c:v>18.7</c:v>
                </c:pt>
                <c:pt idx="18">
                  <c:v>19.5</c:v>
                </c:pt>
                <c:pt idx="19">
                  <c:v>20.3</c:v>
                </c:pt>
                <c:pt idx="20">
                  <c:v>21.1</c:v>
                </c:pt>
                <c:pt idx="21">
                  <c:v>21.1</c:v>
                </c:pt>
                <c:pt idx="22">
                  <c:v>21.1</c:v>
                </c:pt>
                <c:pt idx="23">
                  <c:v>21.9</c:v>
                </c:pt>
              </c:numCache>
            </c:numRef>
          </c:xVal>
          <c:yVal>
            <c:numRef>
              <c:f>'Fecha 2003-09-10'!$B$3:$B$47</c:f>
              <c:numCache>
                <c:formatCode>0.000</c:formatCode>
                <c:ptCount val="45"/>
                <c:pt idx="0">
                  <c:v>480</c:v>
                </c:pt>
                <c:pt idx="1">
                  <c:v>480.75</c:v>
                </c:pt>
                <c:pt idx="2">
                  <c:v>479.74</c:v>
                </c:pt>
                <c:pt idx="3">
                  <c:v>479.3</c:v>
                </c:pt>
                <c:pt idx="4">
                  <c:v>478.79</c:v>
                </c:pt>
                <c:pt idx="5">
                  <c:v>478.92</c:v>
                </c:pt>
                <c:pt idx="6">
                  <c:v>479.76</c:v>
                </c:pt>
                <c:pt idx="7">
                  <c:v>479.53</c:v>
                </c:pt>
                <c:pt idx="8">
                  <c:v>479</c:v>
                </c:pt>
                <c:pt idx="9">
                  <c:v>478.63</c:v>
                </c:pt>
                <c:pt idx="10">
                  <c:v>478.42</c:v>
                </c:pt>
                <c:pt idx="11">
                  <c:v>478.42</c:v>
                </c:pt>
                <c:pt idx="12">
                  <c:v>478.45</c:v>
                </c:pt>
                <c:pt idx="13">
                  <c:v>478.48</c:v>
                </c:pt>
                <c:pt idx="14">
                  <c:v>478.38</c:v>
                </c:pt>
                <c:pt idx="15">
                  <c:v>478.35</c:v>
                </c:pt>
                <c:pt idx="16">
                  <c:v>478.32</c:v>
                </c:pt>
                <c:pt idx="17">
                  <c:v>478.34</c:v>
                </c:pt>
                <c:pt idx="18">
                  <c:v>478.25</c:v>
                </c:pt>
                <c:pt idx="19">
                  <c:v>478.46</c:v>
                </c:pt>
                <c:pt idx="20">
                  <c:v>478.53</c:v>
                </c:pt>
                <c:pt idx="21">
                  <c:v>478.63</c:v>
                </c:pt>
                <c:pt idx="22">
                  <c:v>479.21</c:v>
                </c:pt>
                <c:pt idx="23">
                  <c:v>480.66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476-9CD4-4A8204AB455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2003-09-10'!$A$52:$A$53</c:f>
              <c:numCache>
                <c:formatCode>0.00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xVal>
          <c:yVal>
            <c:numRef>
              <c:f>'Fecha 2003-09-10'!$B$52:$B$53</c:f>
              <c:numCache>
                <c:formatCode>0.000</c:formatCode>
                <c:ptCount val="2"/>
                <c:pt idx="0">
                  <c:v>479.3</c:v>
                </c:pt>
                <c:pt idx="1">
                  <c:v>480.82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476-9CD4-4A8204AB455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2003-09-10'!$A$50:$A$51</c:f>
              <c:numCache>
                <c:formatCode>0.00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xVal>
          <c:yVal>
            <c:numRef>
              <c:f>'Fecha 2003-09-10'!$B$50:$B$51</c:f>
              <c:numCache>
                <c:formatCode>0.000</c:formatCode>
                <c:ptCount val="2"/>
                <c:pt idx="0">
                  <c:v>478.30799999999999</c:v>
                </c:pt>
                <c:pt idx="1">
                  <c:v>480.30799999999999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6B-4476-9CD4-4A8204AB455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2003-09-10'!$A$48:$A$49</c:f>
              <c:numCache>
                <c:formatCode>0.00</c:formatCode>
                <c:ptCount val="2"/>
                <c:pt idx="0">
                  <c:v>12.6</c:v>
                </c:pt>
                <c:pt idx="1">
                  <c:v>21.1</c:v>
                </c:pt>
              </c:numCache>
            </c:numRef>
          </c:xVal>
          <c:yVal>
            <c:numRef>
              <c:f>'Fecha 2003-09-10'!$B$48:$B$49</c:f>
              <c:numCache>
                <c:formatCode>0.000</c:formatCode>
                <c:ptCount val="2"/>
                <c:pt idx="0">
                  <c:v>478.63</c:v>
                </c:pt>
                <c:pt idx="1">
                  <c:v>478.63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6B-4476-9CD4-4A8204AB455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2003-09-10'!$A$54:$A$55</c:f>
              <c:numCache>
                <c:formatCode>0.00</c:formatCode>
                <c:ptCount val="2"/>
                <c:pt idx="0">
                  <c:v>0</c:v>
                </c:pt>
                <c:pt idx="1">
                  <c:v>21.9</c:v>
                </c:pt>
              </c:numCache>
            </c:numRef>
          </c:xVal>
          <c:yVal>
            <c:numRef>
              <c:f>'Fecha 2003-09-10'!$B$54:$B$55</c:f>
              <c:numCache>
                <c:formatCode>0.000</c:formatCode>
                <c:ptCount val="2"/>
                <c:pt idx="0">
                  <c:v>480.75</c:v>
                </c:pt>
                <c:pt idx="1">
                  <c:v>480.66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6B-4476-9CD4-4A8204AB4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8376"/>
        <c:axId val="151246808"/>
      </c:scatterChart>
      <c:valAx>
        <c:axId val="151248376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9878267044772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6808"/>
        <c:crossesAt val="89"/>
        <c:crossBetween val="midCat"/>
        <c:majorUnit val="10"/>
        <c:minorUnit val="2"/>
      </c:valAx>
      <c:valAx>
        <c:axId val="151246808"/>
        <c:scaling>
          <c:orientation val="minMax"/>
          <c:max val="485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50939747705211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837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VERGARA
Dibujó:            TRUJILLO
Revisó:    
 Fecha:  2005-04-15
 IDEAM - Area Operativa No. 04</a:t>
            </a:r>
          </a:p>
        </c:rich>
      </c:tx>
      <c:layout>
        <c:manualLayout>
          <c:xMode val="edge"/>
          <c:yMode val="edge"/>
          <c:x val="0.63295078022732443"/>
          <c:y val="2.0578579414319096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023765996343691E-2"/>
          <c:w val="0.93439903805679592"/>
          <c:h val="0.9268738574040219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2005-04-15'!$A$3:$A$47</c:f>
              <c:numCache>
                <c:formatCode>0.00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0.9</c:v>
                </c:pt>
                <c:pt idx="4">
                  <c:v>1.3</c:v>
                </c:pt>
                <c:pt idx="5">
                  <c:v>2.2999999999999998</c:v>
                </c:pt>
                <c:pt idx="6">
                  <c:v>2.4</c:v>
                </c:pt>
                <c:pt idx="7">
                  <c:v>2.8</c:v>
                </c:pt>
                <c:pt idx="8">
                  <c:v>3.2</c:v>
                </c:pt>
                <c:pt idx="9">
                  <c:v>3.6</c:v>
                </c:pt>
                <c:pt idx="10">
                  <c:v>4</c:v>
                </c:pt>
                <c:pt idx="11">
                  <c:v>4.4000000000000004</c:v>
                </c:pt>
                <c:pt idx="12">
                  <c:v>5</c:v>
                </c:pt>
                <c:pt idx="13">
                  <c:v>5.4</c:v>
                </c:pt>
                <c:pt idx="14">
                  <c:v>5.8</c:v>
                </c:pt>
                <c:pt idx="15">
                  <c:v>6.2</c:v>
                </c:pt>
                <c:pt idx="16">
                  <c:v>6.6</c:v>
                </c:pt>
                <c:pt idx="17">
                  <c:v>7</c:v>
                </c:pt>
                <c:pt idx="18">
                  <c:v>7.4</c:v>
                </c:pt>
                <c:pt idx="19">
                  <c:v>7.8</c:v>
                </c:pt>
                <c:pt idx="20">
                  <c:v>8.1999999999999993</c:v>
                </c:pt>
                <c:pt idx="21">
                  <c:v>8.4</c:v>
                </c:pt>
                <c:pt idx="22">
                  <c:v>9.6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11.1</c:v>
                </c:pt>
              </c:numCache>
            </c:numRef>
          </c:xVal>
          <c:yVal>
            <c:numRef>
              <c:f>'Fecha 2005-04-15'!$B$3:$B$47</c:f>
              <c:numCache>
                <c:formatCode>0.000</c:formatCode>
                <c:ptCount val="45"/>
                <c:pt idx="0">
                  <c:v>480</c:v>
                </c:pt>
                <c:pt idx="1">
                  <c:v>480.31</c:v>
                </c:pt>
                <c:pt idx="2">
                  <c:v>479.97</c:v>
                </c:pt>
                <c:pt idx="3">
                  <c:v>479.33</c:v>
                </c:pt>
                <c:pt idx="4">
                  <c:v>479.01</c:v>
                </c:pt>
                <c:pt idx="5">
                  <c:v>478.7</c:v>
                </c:pt>
                <c:pt idx="6">
                  <c:v>478.63</c:v>
                </c:pt>
                <c:pt idx="7">
                  <c:v>478.57</c:v>
                </c:pt>
                <c:pt idx="8">
                  <c:v>478.6</c:v>
                </c:pt>
                <c:pt idx="9">
                  <c:v>478.58</c:v>
                </c:pt>
                <c:pt idx="10">
                  <c:v>478.58</c:v>
                </c:pt>
                <c:pt idx="11">
                  <c:v>478.58</c:v>
                </c:pt>
                <c:pt idx="12">
                  <c:v>478.53</c:v>
                </c:pt>
                <c:pt idx="13">
                  <c:v>478.5</c:v>
                </c:pt>
                <c:pt idx="14">
                  <c:v>478.5</c:v>
                </c:pt>
                <c:pt idx="15">
                  <c:v>478.54</c:v>
                </c:pt>
                <c:pt idx="16">
                  <c:v>478.59</c:v>
                </c:pt>
                <c:pt idx="17">
                  <c:v>478.63</c:v>
                </c:pt>
                <c:pt idx="18">
                  <c:v>478.6</c:v>
                </c:pt>
                <c:pt idx="19">
                  <c:v>478.58</c:v>
                </c:pt>
                <c:pt idx="20">
                  <c:v>478.6</c:v>
                </c:pt>
                <c:pt idx="21">
                  <c:v>478.64</c:v>
                </c:pt>
                <c:pt idx="22">
                  <c:v>478.7</c:v>
                </c:pt>
                <c:pt idx="23">
                  <c:v>478.9</c:v>
                </c:pt>
                <c:pt idx="24">
                  <c:v>480.02</c:v>
                </c:pt>
                <c:pt idx="25">
                  <c:v>480.37</c:v>
                </c:pt>
                <c:pt idx="26">
                  <c:v>479.99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8D-438D-8C4C-2361164B46E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2005-04-15'!$A$52:$A$53</c:f>
              <c:numCache>
                <c:formatCode>0.00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'Fecha 2005-04-15'!$B$52:$B$53</c:f>
              <c:numCache>
                <c:formatCode>0.000</c:formatCode>
                <c:ptCount val="2"/>
                <c:pt idx="0">
                  <c:v>479.30799999999999</c:v>
                </c:pt>
                <c:pt idx="1">
                  <c:v>480.85599999999999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8D-438D-8C4C-2361164B46E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2005-04-15'!$A$50:$A$51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'Fecha 2005-04-15'!$B$50:$B$51</c:f>
              <c:numCache>
                <c:formatCode>0.000</c:formatCode>
                <c:ptCount val="2"/>
                <c:pt idx="0">
                  <c:v>478.70299999999997</c:v>
                </c:pt>
                <c:pt idx="1">
                  <c:v>480.70299999999997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8D-438D-8C4C-2361164B46E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2005-04-15'!$A$48:$A$49</c:f>
              <c:numCache>
                <c:formatCode>0.00</c:formatCode>
                <c:ptCount val="2"/>
                <c:pt idx="0">
                  <c:v>2.2999999999999998</c:v>
                </c:pt>
                <c:pt idx="1">
                  <c:v>9.6</c:v>
                </c:pt>
              </c:numCache>
            </c:numRef>
          </c:xVal>
          <c:yVal>
            <c:numRef>
              <c:f>'Fecha 2005-04-15'!$B$48:$B$49</c:f>
              <c:numCache>
                <c:formatCode>0.000</c:formatCode>
                <c:ptCount val="2"/>
                <c:pt idx="0">
                  <c:v>478.7</c:v>
                </c:pt>
                <c:pt idx="1">
                  <c:v>478.7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8D-438D-8C4C-2361164B46E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2005-04-15'!$A$54:$A$55</c:f>
              <c:numCache>
                <c:formatCode>0.00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xVal>
          <c:yVal>
            <c:numRef>
              <c:f>'Fecha 2005-04-15'!$B$54:$B$55</c:f>
              <c:numCache>
                <c:formatCode>0.000</c:formatCode>
                <c:ptCount val="2"/>
                <c:pt idx="0">
                  <c:v>480.31</c:v>
                </c:pt>
                <c:pt idx="1">
                  <c:v>480.02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8D-438D-8C4C-2361164B4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2888"/>
        <c:axId val="151245632"/>
      </c:scatterChart>
      <c:valAx>
        <c:axId val="151242888"/>
        <c:scaling>
          <c:orientation val="minMax"/>
          <c:max val="1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9878267044772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5632"/>
        <c:crossesAt val="89"/>
        <c:crossBetween val="midCat"/>
        <c:majorUnit val="10"/>
        <c:minorUnit val="2"/>
      </c:valAx>
      <c:valAx>
        <c:axId val="151245632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50939747705211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124288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PALACIOS
Dibujó:            PALACIOS
Revisó:    
 Fecha:  2006-10-27
 IDEAM - Area Operativa No. 04</a:t>
            </a:r>
          </a:p>
        </c:rich>
      </c:tx>
      <c:layout>
        <c:manualLayout>
          <c:xMode val="edge"/>
          <c:yMode val="edge"/>
          <c:x val="0.63295078022732443"/>
          <c:y val="2.0578579414319096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9506886288004285E-2"/>
          <c:y val="1.5210268329124763E-2"/>
          <c:w val="0.93807840632793149"/>
          <c:h val="0.927826368076610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2006-10-27'!$A$3:$A$47</c:f>
              <c:numCache>
                <c:formatCode>0.00</c:formatCode>
                <c:ptCount val="45"/>
                <c:pt idx="1">
                  <c:v>0</c:v>
                </c:pt>
                <c:pt idx="2">
                  <c:v>4.2</c:v>
                </c:pt>
                <c:pt idx="3">
                  <c:v>6.2</c:v>
                </c:pt>
                <c:pt idx="4">
                  <c:v>9.1999999999999993</c:v>
                </c:pt>
                <c:pt idx="5">
                  <c:v>14.5</c:v>
                </c:pt>
                <c:pt idx="6">
                  <c:v>15.1</c:v>
                </c:pt>
                <c:pt idx="7">
                  <c:v>15.7</c:v>
                </c:pt>
                <c:pt idx="8">
                  <c:v>16.3</c:v>
                </c:pt>
                <c:pt idx="9">
                  <c:v>16.899999999999999</c:v>
                </c:pt>
                <c:pt idx="10">
                  <c:v>17.5</c:v>
                </c:pt>
                <c:pt idx="11">
                  <c:v>18.100000000000001</c:v>
                </c:pt>
                <c:pt idx="12">
                  <c:v>18.7</c:v>
                </c:pt>
                <c:pt idx="13">
                  <c:v>19.3</c:v>
                </c:pt>
                <c:pt idx="14">
                  <c:v>19.899999999999999</c:v>
                </c:pt>
                <c:pt idx="15">
                  <c:v>20.5</c:v>
                </c:pt>
                <c:pt idx="16">
                  <c:v>21.1</c:v>
                </c:pt>
                <c:pt idx="17">
                  <c:v>21.7</c:v>
                </c:pt>
                <c:pt idx="18">
                  <c:v>22.6</c:v>
                </c:pt>
                <c:pt idx="19">
                  <c:v>23.7</c:v>
                </c:pt>
                <c:pt idx="20">
                  <c:v>23.7</c:v>
                </c:pt>
                <c:pt idx="21">
                  <c:v>26.1</c:v>
                </c:pt>
                <c:pt idx="22">
                  <c:v>29.7</c:v>
                </c:pt>
              </c:numCache>
            </c:numRef>
          </c:xVal>
          <c:yVal>
            <c:numRef>
              <c:f>'Fecha 2006-10-27'!$B$3:$B$47</c:f>
              <c:numCache>
                <c:formatCode>0.000</c:formatCode>
                <c:ptCount val="45"/>
                <c:pt idx="0">
                  <c:v>480</c:v>
                </c:pt>
                <c:pt idx="1">
                  <c:v>480.09</c:v>
                </c:pt>
                <c:pt idx="2">
                  <c:v>479.88</c:v>
                </c:pt>
                <c:pt idx="3">
                  <c:v>480.93</c:v>
                </c:pt>
                <c:pt idx="4">
                  <c:v>479.59</c:v>
                </c:pt>
                <c:pt idx="5">
                  <c:v>478.71</c:v>
                </c:pt>
                <c:pt idx="6">
                  <c:v>478.58</c:v>
                </c:pt>
                <c:pt idx="7">
                  <c:v>478.61</c:v>
                </c:pt>
                <c:pt idx="8">
                  <c:v>478.49</c:v>
                </c:pt>
                <c:pt idx="9">
                  <c:v>478.51</c:v>
                </c:pt>
                <c:pt idx="10">
                  <c:v>478.45</c:v>
                </c:pt>
                <c:pt idx="11">
                  <c:v>478.48</c:v>
                </c:pt>
                <c:pt idx="12">
                  <c:v>478.44</c:v>
                </c:pt>
                <c:pt idx="13">
                  <c:v>478.45</c:v>
                </c:pt>
                <c:pt idx="14">
                  <c:v>478.45</c:v>
                </c:pt>
                <c:pt idx="15">
                  <c:v>478.47</c:v>
                </c:pt>
                <c:pt idx="16">
                  <c:v>478.49</c:v>
                </c:pt>
                <c:pt idx="17">
                  <c:v>478.55</c:v>
                </c:pt>
                <c:pt idx="18">
                  <c:v>478.71</c:v>
                </c:pt>
                <c:pt idx="19">
                  <c:v>478.84</c:v>
                </c:pt>
                <c:pt idx="20">
                  <c:v>479.54</c:v>
                </c:pt>
                <c:pt idx="21">
                  <c:v>480.08</c:v>
                </c:pt>
                <c:pt idx="22">
                  <c:v>481.02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A0-4D02-875B-80A39655243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2006-10-27'!$A$52:$A$53</c:f>
              <c:numCache>
                <c:formatCode>0.00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'Fecha 2006-10-27'!$B$52:$B$53</c:f>
              <c:numCache>
                <c:formatCode>0.000</c:formatCode>
                <c:ptCount val="2"/>
                <c:pt idx="0">
                  <c:v>479.3</c:v>
                </c:pt>
                <c:pt idx="1">
                  <c:v>480.82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A0-4D02-875B-80A39655243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2006-10-27'!$A$50:$A$51</c:f>
              <c:numCache>
                <c:formatCode>0.00</c:formatCode>
                <c:ptCount val="2"/>
                <c:pt idx="0">
                  <c:v>23.5</c:v>
                </c:pt>
                <c:pt idx="1">
                  <c:v>23.5</c:v>
                </c:pt>
              </c:numCache>
            </c:numRef>
          </c:xVal>
          <c:yVal>
            <c:numRef>
              <c:f>'Fecha 2006-10-27'!$B$50:$B$51</c:f>
              <c:numCache>
                <c:formatCode>0.000</c:formatCode>
                <c:ptCount val="2"/>
                <c:pt idx="0">
                  <c:v>478.30799999999999</c:v>
                </c:pt>
                <c:pt idx="1">
                  <c:v>480.30799999999999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A0-4D02-875B-80A39655243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2006-10-27'!$A$48:$A$49</c:f>
              <c:numCache>
                <c:formatCode>0.00</c:formatCode>
                <c:ptCount val="2"/>
                <c:pt idx="0">
                  <c:v>14.5</c:v>
                </c:pt>
                <c:pt idx="1">
                  <c:v>22.6</c:v>
                </c:pt>
              </c:numCache>
            </c:numRef>
          </c:xVal>
          <c:yVal>
            <c:numRef>
              <c:f>'Fecha 2006-10-27'!$B$48:$B$49</c:f>
              <c:numCache>
                <c:formatCode>0.000</c:formatCode>
                <c:ptCount val="2"/>
                <c:pt idx="0">
                  <c:v>478.71</c:v>
                </c:pt>
                <c:pt idx="1">
                  <c:v>478.71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A0-4D02-875B-80A39655243B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2006-10-27'!$A$54:$A$55</c:f>
              <c:numCache>
                <c:formatCode>0.00</c:formatCode>
                <c:ptCount val="2"/>
                <c:pt idx="0">
                  <c:v>0</c:v>
                </c:pt>
                <c:pt idx="1">
                  <c:v>29.7</c:v>
                </c:pt>
              </c:numCache>
            </c:numRef>
          </c:xVal>
          <c:yVal>
            <c:numRef>
              <c:f>'Fecha 2006-10-27'!$B$54:$B$55</c:f>
              <c:numCache>
                <c:formatCode>0.000</c:formatCode>
                <c:ptCount val="2"/>
                <c:pt idx="0">
                  <c:v>481.02</c:v>
                </c:pt>
                <c:pt idx="1">
                  <c:v>481.02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A0-4D02-875B-80A39655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52112"/>
        <c:axId val="189252504"/>
      </c:scatterChart>
      <c:valAx>
        <c:axId val="189252112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324207686823"/>
              <c:y val="0.964509925290417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2504"/>
        <c:crossesAt val="89"/>
        <c:crossBetween val="midCat"/>
        <c:majorUnit val="10"/>
        <c:minorUnit val="2"/>
      </c:valAx>
      <c:valAx>
        <c:axId val="189252504"/>
        <c:scaling>
          <c:orientation val="minMax"/>
          <c:max val="485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45571405950855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211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VERGARA
Dibujó:            PALACIOS
Revisó:    
 Fecha:  2007-11-01
 IDEAM - Area Operativa No. 04</a:t>
            </a:r>
          </a:p>
        </c:rich>
      </c:tx>
      <c:layout>
        <c:manualLayout>
          <c:xMode val="edge"/>
          <c:yMode val="edge"/>
          <c:x val="0.63295078022732443"/>
          <c:y val="2.0578579414319096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023765996343691E-2"/>
          <c:w val="0.93439903805679592"/>
          <c:h val="0.9268738574040219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2007-11-01'!$A$3:$A$47</c:f>
              <c:numCache>
                <c:formatCode>0.00</c:formatCode>
                <c:ptCount val="45"/>
                <c:pt idx="1">
                  <c:v>0</c:v>
                </c:pt>
                <c:pt idx="2">
                  <c:v>3.8</c:v>
                </c:pt>
                <c:pt idx="3">
                  <c:v>5.35</c:v>
                </c:pt>
                <c:pt idx="4">
                  <c:v>5.95</c:v>
                </c:pt>
                <c:pt idx="5">
                  <c:v>6.45</c:v>
                </c:pt>
                <c:pt idx="6">
                  <c:v>6.95</c:v>
                </c:pt>
                <c:pt idx="7">
                  <c:v>7.45</c:v>
                </c:pt>
                <c:pt idx="8">
                  <c:v>7.95</c:v>
                </c:pt>
                <c:pt idx="9">
                  <c:v>8.4499999999999993</c:v>
                </c:pt>
                <c:pt idx="10">
                  <c:v>8.9499999999999993</c:v>
                </c:pt>
                <c:pt idx="11">
                  <c:v>9.4499999999999993</c:v>
                </c:pt>
                <c:pt idx="12">
                  <c:v>9.9499999999999993</c:v>
                </c:pt>
                <c:pt idx="13">
                  <c:v>10.45</c:v>
                </c:pt>
                <c:pt idx="14">
                  <c:v>10.95</c:v>
                </c:pt>
                <c:pt idx="15">
                  <c:v>11.45</c:v>
                </c:pt>
                <c:pt idx="16">
                  <c:v>11.95</c:v>
                </c:pt>
                <c:pt idx="17">
                  <c:v>12.45</c:v>
                </c:pt>
                <c:pt idx="18">
                  <c:v>12.95</c:v>
                </c:pt>
                <c:pt idx="19">
                  <c:v>13.4</c:v>
                </c:pt>
                <c:pt idx="20">
                  <c:v>14.4</c:v>
                </c:pt>
                <c:pt idx="21">
                  <c:v>15.4</c:v>
                </c:pt>
                <c:pt idx="22">
                  <c:v>16.899999999999999</c:v>
                </c:pt>
              </c:numCache>
            </c:numRef>
          </c:xVal>
          <c:yVal>
            <c:numRef>
              <c:f>'Fecha 2007-11-01'!$B$3:$B$47</c:f>
              <c:numCache>
                <c:formatCode>0.000</c:formatCode>
                <c:ptCount val="45"/>
                <c:pt idx="0">
                  <c:v>480</c:v>
                </c:pt>
                <c:pt idx="1">
                  <c:v>480.13</c:v>
                </c:pt>
                <c:pt idx="2">
                  <c:v>478.86</c:v>
                </c:pt>
                <c:pt idx="3">
                  <c:v>478.75</c:v>
                </c:pt>
                <c:pt idx="4">
                  <c:v>478.64</c:v>
                </c:pt>
                <c:pt idx="5">
                  <c:v>478.54</c:v>
                </c:pt>
                <c:pt idx="6">
                  <c:v>478.37</c:v>
                </c:pt>
                <c:pt idx="7">
                  <c:v>478.38</c:v>
                </c:pt>
                <c:pt idx="8">
                  <c:v>478.38</c:v>
                </c:pt>
                <c:pt idx="9">
                  <c:v>478.43</c:v>
                </c:pt>
                <c:pt idx="10">
                  <c:v>478.5</c:v>
                </c:pt>
                <c:pt idx="11">
                  <c:v>478.56</c:v>
                </c:pt>
                <c:pt idx="12">
                  <c:v>478.64</c:v>
                </c:pt>
                <c:pt idx="13">
                  <c:v>478.65</c:v>
                </c:pt>
                <c:pt idx="14">
                  <c:v>478.65</c:v>
                </c:pt>
                <c:pt idx="15">
                  <c:v>478.66</c:v>
                </c:pt>
                <c:pt idx="16">
                  <c:v>478.66</c:v>
                </c:pt>
                <c:pt idx="17">
                  <c:v>478.65</c:v>
                </c:pt>
                <c:pt idx="18">
                  <c:v>478.62</c:v>
                </c:pt>
                <c:pt idx="19">
                  <c:v>478.75</c:v>
                </c:pt>
                <c:pt idx="20">
                  <c:v>479.3</c:v>
                </c:pt>
                <c:pt idx="21">
                  <c:v>479.67</c:v>
                </c:pt>
                <c:pt idx="22">
                  <c:v>479.97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E-41B0-BD09-BC0E2906A35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2007-11-01'!$A$52:$A$53</c:f>
              <c:numCache>
                <c:formatCode>0.00</c:formatCode>
                <c:ptCount val="2"/>
                <c:pt idx="0">
                  <c:v>5.75</c:v>
                </c:pt>
                <c:pt idx="1">
                  <c:v>5.75</c:v>
                </c:pt>
              </c:numCache>
            </c:numRef>
          </c:xVal>
          <c:yVal>
            <c:numRef>
              <c:f>'Fecha 2007-11-01'!$B$52:$B$53</c:f>
              <c:numCache>
                <c:formatCode>0.000</c:formatCode>
                <c:ptCount val="2"/>
                <c:pt idx="0">
                  <c:v>479.33600000000001</c:v>
                </c:pt>
                <c:pt idx="1">
                  <c:v>480.85599999999999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E-41B0-BD09-BC0E2906A35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2007-11-01'!$A$50:$A$51</c:f>
              <c:numCache>
                <c:formatCode>0.00</c:formatCode>
                <c:ptCount val="2"/>
                <c:pt idx="0">
                  <c:v>5.95</c:v>
                </c:pt>
                <c:pt idx="1">
                  <c:v>5.95</c:v>
                </c:pt>
              </c:numCache>
            </c:numRef>
          </c:xVal>
          <c:yVal>
            <c:numRef>
              <c:f>'Fecha 2007-11-01'!$B$50:$B$51</c:f>
              <c:numCache>
                <c:formatCode>0.000</c:formatCode>
                <c:ptCount val="2"/>
                <c:pt idx="0">
                  <c:v>478.33600000000001</c:v>
                </c:pt>
                <c:pt idx="1">
                  <c:v>479.33600000000001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CE-41B0-BD09-BC0E2906A35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2007-11-01'!$A$48:$A$49</c:f>
              <c:numCache>
                <c:formatCode>0.00</c:formatCode>
                <c:ptCount val="2"/>
                <c:pt idx="0">
                  <c:v>5.35</c:v>
                </c:pt>
                <c:pt idx="1">
                  <c:v>13.4</c:v>
                </c:pt>
              </c:numCache>
            </c:numRef>
          </c:xVal>
          <c:yVal>
            <c:numRef>
              <c:f>'Fecha 2007-11-01'!$B$48:$B$49</c:f>
              <c:numCache>
                <c:formatCode>0.000</c:formatCode>
                <c:ptCount val="2"/>
                <c:pt idx="0">
                  <c:v>478.75</c:v>
                </c:pt>
                <c:pt idx="1">
                  <c:v>478.75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CE-41B0-BD09-BC0E2906A35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2007-11-01'!$A$54:$A$55</c:f>
              <c:numCache>
                <c:formatCode>0.00</c:formatCode>
                <c:ptCount val="2"/>
                <c:pt idx="0">
                  <c:v>0</c:v>
                </c:pt>
                <c:pt idx="1">
                  <c:v>17</c:v>
                </c:pt>
              </c:numCache>
            </c:numRef>
          </c:xVal>
          <c:yVal>
            <c:numRef>
              <c:f>'Fecha 2007-11-01'!$B$54:$B$55</c:f>
              <c:numCache>
                <c:formatCode>0.000</c:formatCode>
                <c:ptCount val="2"/>
                <c:pt idx="0">
                  <c:v>480.13</c:v>
                </c:pt>
                <c:pt idx="1">
                  <c:v>479.97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CE-41B0-BD09-BC0E2906A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53288"/>
        <c:axId val="189253680"/>
      </c:scatterChart>
      <c:valAx>
        <c:axId val="189253288"/>
        <c:scaling>
          <c:orientation val="minMax"/>
          <c:max val="1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9878267044772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3680"/>
        <c:crossesAt val="89"/>
        <c:crossBetween val="midCat"/>
        <c:majorUnit val="10"/>
        <c:minorUnit val="2"/>
      </c:valAx>
      <c:valAx>
        <c:axId val="189253680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50939747705211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328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TAMAYO
Dibujó:            TRUJILLO
Revisó:    
 Fecha:  2007-03-23
 IDEAM - Area Operativa No. 04</a:t>
            </a:r>
          </a:p>
        </c:rich>
      </c:tx>
      <c:layout>
        <c:manualLayout>
          <c:xMode val="edge"/>
          <c:yMode val="edge"/>
          <c:x val="0.63295078022732443"/>
          <c:y val="2.0578579414319096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023765996343691E-2"/>
          <c:w val="0.93439903805679592"/>
          <c:h val="0.9268738574040219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2007-03-23'!$A$3:$A$47</c:f>
              <c:numCache>
                <c:formatCode>0.00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0.9</c:v>
                </c:pt>
                <c:pt idx="4">
                  <c:v>1.3</c:v>
                </c:pt>
                <c:pt idx="5">
                  <c:v>2.2999999999999998</c:v>
                </c:pt>
                <c:pt idx="6">
                  <c:v>2.4</c:v>
                </c:pt>
                <c:pt idx="7">
                  <c:v>2.8</c:v>
                </c:pt>
                <c:pt idx="8">
                  <c:v>3.2</c:v>
                </c:pt>
                <c:pt idx="9">
                  <c:v>3.6</c:v>
                </c:pt>
                <c:pt idx="10">
                  <c:v>4</c:v>
                </c:pt>
                <c:pt idx="11">
                  <c:v>4.4000000000000004</c:v>
                </c:pt>
                <c:pt idx="12">
                  <c:v>5</c:v>
                </c:pt>
                <c:pt idx="13">
                  <c:v>5.4</c:v>
                </c:pt>
                <c:pt idx="14">
                  <c:v>5.8</c:v>
                </c:pt>
                <c:pt idx="15">
                  <c:v>6.2</c:v>
                </c:pt>
                <c:pt idx="16">
                  <c:v>6.6</c:v>
                </c:pt>
                <c:pt idx="17">
                  <c:v>7</c:v>
                </c:pt>
                <c:pt idx="18">
                  <c:v>7.4</c:v>
                </c:pt>
                <c:pt idx="19">
                  <c:v>7.8</c:v>
                </c:pt>
                <c:pt idx="20">
                  <c:v>8.1999999999999993</c:v>
                </c:pt>
                <c:pt idx="21">
                  <c:v>8.4</c:v>
                </c:pt>
                <c:pt idx="22">
                  <c:v>9.6</c:v>
                </c:pt>
                <c:pt idx="23">
                  <c:v>11.1</c:v>
                </c:pt>
                <c:pt idx="24">
                  <c:v>11.1</c:v>
                </c:pt>
                <c:pt idx="25">
                  <c:v>11.1</c:v>
                </c:pt>
                <c:pt idx="26">
                  <c:v>11.1</c:v>
                </c:pt>
              </c:numCache>
            </c:numRef>
          </c:xVal>
          <c:yVal>
            <c:numRef>
              <c:f>'Fecha 2007-03-23'!$B$3:$B$47</c:f>
              <c:numCache>
                <c:formatCode>0.000</c:formatCode>
                <c:ptCount val="45"/>
                <c:pt idx="0">
                  <c:v>480</c:v>
                </c:pt>
                <c:pt idx="1">
                  <c:v>480.31</c:v>
                </c:pt>
                <c:pt idx="2">
                  <c:v>479.97</c:v>
                </c:pt>
                <c:pt idx="3">
                  <c:v>479.33</c:v>
                </c:pt>
                <c:pt idx="4">
                  <c:v>479.01</c:v>
                </c:pt>
                <c:pt idx="5">
                  <c:v>478.7</c:v>
                </c:pt>
                <c:pt idx="6">
                  <c:v>478.63</c:v>
                </c:pt>
                <c:pt idx="7">
                  <c:v>478.57</c:v>
                </c:pt>
                <c:pt idx="8">
                  <c:v>478.6</c:v>
                </c:pt>
                <c:pt idx="9">
                  <c:v>478.58</c:v>
                </c:pt>
                <c:pt idx="10">
                  <c:v>478.58</c:v>
                </c:pt>
                <c:pt idx="11">
                  <c:v>478.58</c:v>
                </c:pt>
                <c:pt idx="12">
                  <c:v>478.53</c:v>
                </c:pt>
                <c:pt idx="13">
                  <c:v>478.5</c:v>
                </c:pt>
                <c:pt idx="14">
                  <c:v>478.5</c:v>
                </c:pt>
                <c:pt idx="15">
                  <c:v>478.54</c:v>
                </c:pt>
                <c:pt idx="16">
                  <c:v>478.59</c:v>
                </c:pt>
                <c:pt idx="17">
                  <c:v>478.63</c:v>
                </c:pt>
                <c:pt idx="18">
                  <c:v>478.6</c:v>
                </c:pt>
                <c:pt idx="19">
                  <c:v>478.58</c:v>
                </c:pt>
                <c:pt idx="20">
                  <c:v>478.6</c:v>
                </c:pt>
                <c:pt idx="21">
                  <c:v>478.64</c:v>
                </c:pt>
                <c:pt idx="22">
                  <c:v>478.7</c:v>
                </c:pt>
                <c:pt idx="23">
                  <c:v>478.9</c:v>
                </c:pt>
                <c:pt idx="24">
                  <c:v>480.02</c:v>
                </c:pt>
                <c:pt idx="25">
                  <c:v>480.37</c:v>
                </c:pt>
                <c:pt idx="26">
                  <c:v>479.99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A-4714-BB3E-2314EFE73D38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2007-03-23'!$A$52:$A$53</c:f>
              <c:numCache>
                <c:formatCode>0.00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'Fecha 2007-03-23'!$B$52:$B$53</c:f>
              <c:numCache>
                <c:formatCode>0.000</c:formatCode>
                <c:ptCount val="2"/>
                <c:pt idx="0">
                  <c:v>479.32100000000003</c:v>
                </c:pt>
                <c:pt idx="1">
                  <c:v>480.85599999999999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3A-4714-BB3E-2314EFE73D38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2007-03-23'!$A$50:$A$51</c:f>
              <c:numCache>
                <c:formatCode>0.00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'Fecha 2007-03-23'!$B$50:$B$51</c:f>
              <c:numCache>
                <c:formatCode>0.000</c:formatCode>
                <c:ptCount val="2"/>
                <c:pt idx="0">
                  <c:v>478.28800000000001</c:v>
                </c:pt>
                <c:pt idx="1">
                  <c:v>480.28800000000001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A-4714-BB3E-2314EFE73D38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2007-03-23'!$A$48:$A$49</c:f>
              <c:numCache>
                <c:formatCode>0.00</c:formatCode>
                <c:ptCount val="2"/>
                <c:pt idx="0">
                  <c:v>2.2999999999999998</c:v>
                </c:pt>
                <c:pt idx="1">
                  <c:v>9.6</c:v>
                </c:pt>
              </c:numCache>
            </c:numRef>
          </c:xVal>
          <c:yVal>
            <c:numRef>
              <c:f>'Fecha 2007-03-23'!$B$48:$B$49</c:f>
              <c:numCache>
                <c:formatCode>0.000</c:formatCode>
                <c:ptCount val="2"/>
                <c:pt idx="0">
                  <c:v>478.7</c:v>
                </c:pt>
                <c:pt idx="1">
                  <c:v>478.7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A-4714-BB3E-2314EFE73D38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2007-03-23'!$A$54:$A$55</c:f>
              <c:numCache>
                <c:formatCode>0.00</c:formatCode>
                <c:ptCount val="2"/>
                <c:pt idx="0">
                  <c:v>0</c:v>
                </c:pt>
                <c:pt idx="1">
                  <c:v>11.1</c:v>
                </c:pt>
              </c:numCache>
            </c:numRef>
          </c:xVal>
          <c:yVal>
            <c:numRef>
              <c:f>'Fecha 2007-03-23'!$B$54:$B$55</c:f>
              <c:numCache>
                <c:formatCode>0.000</c:formatCode>
                <c:ptCount val="2"/>
                <c:pt idx="0">
                  <c:v>480.31</c:v>
                </c:pt>
                <c:pt idx="1">
                  <c:v>480.02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3A-4714-BB3E-2314EFE73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54464"/>
        <c:axId val="189254856"/>
      </c:scatterChart>
      <c:valAx>
        <c:axId val="189254464"/>
        <c:scaling>
          <c:orientation val="minMax"/>
          <c:max val="17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9878267044772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4856"/>
        <c:crossesAt val="89"/>
        <c:crossBetween val="midCat"/>
        <c:majorUnit val="10"/>
        <c:minorUnit val="2"/>
      </c:valAx>
      <c:valAx>
        <c:axId val="189254856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509397477052114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446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RAMIREZ
Dibujó:            D.A.S.
Revisó:    
 Fecha:  2009-03-22
 IDEAM - Area Operativa No. 04</a:t>
            </a:r>
          </a:p>
        </c:rich>
      </c:tx>
      <c:layout>
        <c:manualLayout>
          <c:xMode val="edge"/>
          <c:yMode val="edge"/>
          <c:x val="0.6026901893781359"/>
          <c:y val="0.24094175513284208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577515901539593E-2"/>
          <c:w val="0.93639726223056952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2009-03-22'!$A$3:$A$34</c:f>
              <c:numCache>
                <c:formatCode>0.00</c:formatCode>
                <c:ptCount val="32"/>
                <c:pt idx="0">
                  <c:v>0</c:v>
                </c:pt>
                <c:pt idx="1">
                  <c:v>5</c:v>
                </c:pt>
                <c:pt idx="2">
                  <c:v>8</c:v>
                </c:pt>
                <c:pt idx="3">
                  <c:v>11</c:v>
                </c:pt>
                <c:pt idx="4">
                  <c:v>12</c:v>
                </c:pt>
                <c:pt idx="5">
                  <c:v>12.7</c:v>
                </c:pt>
                <c:pt idx="6">
                  <c:v>13.4</c:v>
                </c:pt>
                <c:pt idx="7">
                  <c:v>14.1</c:v>
                </c:pt>
                <c:pt idx="8">
                  <c:v>14.8</c:v>
                </c:pt>
                <c:pt idx="9">
                  <c:v>15.5</c:v>
                </c:pt>
                <c:pt idx="10">
                  <c:v>16.2</c:v>
                </c:pt>
                <c:pt idx="11">
                  <c:v>16.899999999999999</c:v>
                </c:pt>
                <c:pt idx="12">
                  <c:v>17.600000000000001</c:v>
                </c:pt>
                <c:pt idx="13">
                  <c:v>18.3</c:v>
                </c:pt>
                <c:pt idx="14">
                  <c:v>19</c:v>
                </c:pt>
                <c:pt idx="15">
                  <c:v>19.5</c:v>
                </c:pt>
                <c:pt idx="16">
                  <c:v>20.5</c:v>
                </c:pt>
                <c:pt idx="17">
                  <c:v>22.3</c:v>
                </c:pt>
                <c:pt idx="18">
                  <c:v>25</c:v>
                </c:pt>
                <c:pt idx="19">
                  <c:v>25</c:v>
                </c:pt>
              </c:numCache>
            </c:numRef>
          </c:xVal>
          <c:yVal>
            <c:numRef>
              <c:f>'Fecha 2009-03-22'!$B$3:$B$34</c:f>
              <c:numCache>
                <c:formatCode>0.000</c:formatCode>
                <c:ptCount val="32"/>
                <c:pt idx="0">
                  <c:v>480.26</c:v>
                </c:pt>
                <c:pt idx="1">
                  <c:v>480.19</c:v>
                </c:pt>
                <c:pt idx="2">
                  <c:v>480.33</c:v>
                </c:pt>
                <c:pt idx="3">
                  <c:v>479.68</c:v>
                </c:pt>
                <c:pt idx="4">
                  <c:v>478.74</c:v>
                </c:pt>
                <c:pt idx="5">
                  <c:v>478.54</c:v>
                </c:pt>
                <c:pt idx="6">
                  <c:v>478.64</c:v>
                </c:pt>
                <c:pt idx="7">
                  <c:v>478.64</c:v>
                </c:pt>
                <c:pt idx="8">
                  <c:v>478.56</c:v>
                </c:pt>
                <c:pt idx="9">
                  <c:v>478.49</c:v>
                </c:pt>
                <c:pt idx="10">
                  <c:v>478.51</c:v>
                </c:pt>
                <c:pt idx="11">
                  <c:v>478.44</c:v>
                </c:pt>
                <c:pt idx="12">
                  <c:v>478.35</c:v>
                </c:pt>
                <c:pt idx="13">
                  <c:v>478.32</c:v>
                </c:pt>
                <c:pt idx="14">
                  <c:v>478.36</c:v>
                </c:pt>
                <c:pt idx="15">
                  <c:v>478.48</c:v>
                </c:pt>
                <c:pt idx="16">
                  <c:v>478.74</c:v>
                </c:pt>
                <c:pt idx="17">
                  <c:v>479.19</c:v>
                </c:pt>
                <c:pt idx="18">
                  <c:v>480.12</c:v>
                </c:pt>
                <c:pt idx="19">
                  <c:v>477.53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D6-4926-8B32-5BCB7CD067A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2009-03-22'!$A$39:$A$40</c:f>
              <c:numCache>
                <c:formatCode>0.00</c:formatCode>
                <c:ptCount val="2"/>
                <c:pt idx="0">
                  <c:v>11.5</c:v>
                </c:pt>
                <c:pt idx="1">
                  <c:v>11.5</c:v>
                </c:pt>
              </c:numCache>
            </c:numRef>
          </c:xVal>
          <c:yVal>
            <c:numRef>
              <c:f>'Fecha 2009-03-22'!$B$39:$B$40</c:f>
              <c:numCache>
                <c:formatCode>0.000</c:formatCode>
                <c:ptCount val="2"/>
                <c:pt idx="0">
                  <c:v>479.30900000000003</c:v>
                </c:pt>
                <c:pt idx="1">
                  <c:v>480.85599999999999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D6-4926-8B32-5BCB7CD067A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2009-03-22'!$A$37:$A$38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'Fecha 2009-03-22'!$B$37:$B$38</c:f>
              <c:numCache>
                <c:formatCode>0.000</c:formatCode>
                <c:ptCount val="2"/>
                <c:pt idx="0">
                  <c:v>478.3</c:v>
                </c:pt>
                <c:pt idx="1">
                  <c:v>480.3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D6-4926-8B32-5BCB7CD067A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2009-03-22'!$A$35:$A$36</c:f>
              <c:numCache>
                <c:formatCode>0.00</c:formatCode>
                <c:ptCount val="2"/>
                <c:pt idx="0">
                  <c:v>12</c:v>
                </c:pt>
                <c:pt idx="1">
                  <c:v>20.5</c:v>
                </c:pt>
              </c:numCache>
            </c:numRef>
          </c:xVal>
          <c:yVal>
            <c:numRef>
              <c:f>'Fecha 2009-03-22'!$B$35:$B$36</c:f>
              <c:numCache>
                <c:formatCode>0.000</c:formatCode>
                <c:ptCount val="2"/>
                <c:pt idx="0">
                  <c:v>478.74</c:v>
                </c:pt>
                <c:pt idx="1">
                  <c:v>478.74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D6-4926-8B32-5BCB7CD067A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2009-03-22'!$A$41:$A$42</c:f>
              <c:numCache>
                <c:formatCode>0.00</c:formatCode>
                <c:ptCount val="2"/>
                <c:pt idx="0">
                  <c:v>0</c:v>
                </c:pt>
                <c:pt idx="1">
                  <c:v>20.6</c:v>
                </c:pt>
              </c:numCache>
            </c:numRef>
          </c:xVal>
          <c:yVal>
            <c:numRef>
              <c:f>'Fecha 2009-03-22'!$B$41:$B$42</c:f>
              <c:numCache>
                <c:formatCode>0.000</c:formatCode>
                <c:ptCount val="2"/>
                <c:pt idx="0">
                  <c:v>480.05</c:v>
                </c:pt>
                <c:pt idx="1">
                  <c:v>480.15300000000002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D6-4926-8B32-5BCB7CD06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55640"/>
        <c:axId val="189256032"/>
      </c:scatterChart>
      <c:valAx>
        <c:axId val="189255640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6032"/>
        <c:crossesAt val="89"/>
        <c:crossBetween val="midCat"/>
        <c:majorUnit val="10"/>
        <c:minorUnit val="2"/>
      </c:valAx>
      <c:valAx>
        <c:axId val="189256032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564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TAMAYO
Dibujó:            D.A.S.
Revisó:    
 Fecha:  2009-11-29
 IDEAM - Area Operativa No. 04</a:t>
            </a:r>
          </a:p>
        </c:rich>
      </c:tx>
      <c:layout>
        <c:manualLayout>
          <c:xMode val="edge"/>
          <c:yMode val="edge"/>
          <c:x val="0.29924367948539654"/>
          <c:y val="3.1378448827917127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577515901539593E-2"/>
          <c:w val="0.93639726223056952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2009-11-29'!$A$3:$A$34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5</c:v>
                </c:pt>
                <c:pt idx="4">
                  <c:v>6.1</c:v>
                </c:pt>
                <c:pt idx="5">
                  <c:v>6.9</c:v>
                </c:pt>
                <c:pt idx="6">
                  <c:v>7.4</c:v>
                </c:pt>
                <c:pt idx="7">
                  <c:v>7.9</c:v>
                </c:pt>
                <c:pt idx="8">
                  <c:v>8.4</c:v>
                </c:pt>
                <c:pt idx="9">
                  <c:v>8.9</c:v>
                </c:pt>
                <c:pt idx="10">
                  <c:v>9.4</c:v>
                </c:pt>
                <c:pt idx="11">
                  <c:v>9.9</c:v>
                </c:pt>
                <c:pt idx="12">
                  <c:v>10.4</c:v>
                </c:pt>
                <c:pt idx="13">
                  <c:v>10.9</c:v>
                </c:pt>
                <c:pt idx="14">
                  <c:v>11.4</c:v>
                </c:pt>
                <c:pt idx="15">
                  <c:v>11.9</c:v>
                </c:pt>
                <c:pt idx="16">
                  <c:v>12.4</c:v>
                </c:pt>
                <c:pt idx="17">
                  <c:v>12.9</c:v>
                </c:pt>
                <c:pt idx="18">
                  <c:v>13.4</c:v>
                </c:pt>
                <c:pt idx="19">
                  <c:v>13.9</c:v>
                </c:pt>
                <c:pt idx="20">
                  <c:v>14.4</c:v>
                </c:pt>
                <c:pt idx="21">
                  <c:v>15.2</c:v>
                </c:pt>
                <c:pt idx="22">
                  <c:v>16.5</c:v>
                </c:pt>
                <c:pt idx="23">
                  <c:v>17</c:v>
                </c:pt>
                <c:pt idx="24">
                  <c:v>17.399999999999999</c:v>
                </c:pt>
                <c:pt idx="25">
                  <c:v>18.649999999999999</c:v>
                </c:pt>
                <c:pt idx="26">
                  <c:v>18.649999999999999</c:v>
                </c:pt>
                <c:pt idx="27">
                  <c:v>18.649999999999999</c:v>
                </c:pt>
              </c:numCache>
            </c:numRef>
          </c:xVal>
          <c:yVal>
            <c:numRef>
              <c:f>'Fecha 2009-11-29'!$B$3:$B$34</c:f>
              <c:numCache>
                <c:formatCode>0.000</c:formatCode>
                <c:ptCount val="32"/>
                <c:pt idx="0">
                  <c:v>480</c:v>
                </c:pt>
                <c:pt idx="1">
                  <c:v>480.73</c:v>
                </c:pt>
                <c:pt idx="2">
                  <c:v>480.3</c:v>
                </c:pt>
                <c:pt idx="3">
                  <c:v>480.08</c:v>
                </c:pt>
                <c:pt idx="4">
                  <c:v>479.41</c:v>
                </c:pt>
                <c:pt idx="5">
                  <c:v>478.72</c:v>
                </c:pt>
                <c:pt idx="6">
                  <c:v>478.57</c:v>
                </c:pt>
                <c:pt idx="7">
                  <c:v>478.62</c:v>
                </c:pt>
                <c:pt idx="8">
                  <c:v>478.52</c:v>
                </c:pt>
                <c:pt idx="9">
                  <c:v>478.5</c:v>
                </c:pt>
                <c:pt idx="10">
                  <c:v>478.54</c:v>
                </c:pt>
                <c:pt idx="11">
                  <c:v>478.52</c:v>
                </c:pt>
                <c:pt idx="12">
                  <c:v>478.51</c:v>
                </c:pt>
                <c:pt idx="13">
                  <c:v>478.48</c:v>
                </c:pt>
                <c:pt idx="14">
                  <c:v>478.49</c:v>
                </c:pt>
                <c:pt idx="15">
                  <c:v>478.46</c:v>
                </c:pt>
                <c:pt idx="16">
                  <c:v>478.33</c:v>
                </c:pt>
                <c:pt idx="17">
                  <c:v>478.4</c:v>
                </c:pt>
                <c:pt idx="18">
                  <c:v>478.51</c:v>
                </c:pt>
                <c:pt idx="19">
                  <c:v>478.51</c:v>
                </c:pt>
                <c:pt idx="20">
                  <c:v>478.55</c:v>
                </c:pt>
                <c:pt idx="21">
                  <c:v>478.72</c:v>
                </c:pt>
                <c:pt idx="22">
                  <c:v>479.28</c:v>
                </c:pt>
                <c:pt idx="23">
                  <c:v>480.38</c:v>
                </c:pt>
                <c:pt idx="24">
                  <c:v>480.65</c:v>
                </c:pt>
                <c:pt idx="25">
                  <c:v>480.84</c:v>
                </c:pt>
                <c:pt idx="26">
                  <c:v>479.34</c:v>
                </c:pt>
                <c:pt idx="27">
                  <c:v>480.02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83-4C21-A3B0-630D1E81C042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2009-11-29'!$A$39:$A$40</c:f>
              <c:numCache>
                <c:formatCode>0.00</c:formatCode>
                <c:ptCount val="2"/>
                <c:pt idx="0">
                  <c:v>14.52</c:v>
                </c:pt>
                <c:pt idx="1">
                  <c:v>14.52</c:v>
                </c:pt>
              </c:numCache>
            </c:numRef>
          </c:xVal>
          <c:yVal>
            <c:numRef>
              <c:f>'Fecha 2009-11-29'!$B$39:$B$40</c:f>
              <c:numCache>
                <c:formatCode>0.000</c:formatCode>
                <c:ptCount val="2"/>
                <c:pt idx="0">
                  <c:v>479.30900000000003</c:v>
                </c:pt>
                <c:pt idx="1">
                  <c:v>480.85599999999999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83-4C21-A3B0-630D1E81C042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2009-11-29'!$A$37:$A$38</c:f>
              <c:numCache>
                <c:formatCode>0.00</c:formatCode>
                <c:ptCount val="2"/>
                <c:pt idx="0">
                  <c:v>12.5</c:v>
                </c:pt>
                <c:pt idx="1">
                  <c:v>12.5</c:v>
                </c:pt>
              </c:numCache>
            </c:numRef>
          </c:xVal>
          <c:yVal>
            <c:numRef>
              <c:f>'Fecha 2009-11-29'!$B$37:$B$38</c:f>
              <c:numCache>
                <c:formatCode>0.000</c:formatCode>
                <c:ptCount val="2"/>
                <c:pt idx="0">
                  <c:v>478.31</c:v>
                </c:pt>
                <c:pt idx="1">
                  <c:v>480.3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83-4C21-A3B0-630D1E81C042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2009-11-29'!$A$35:$A$36</c:f>
              <c:numCache>
                <c:formatCode>0.00</c:formatCode>
                <c:ptCount val="2"/>
                <c:pt idx="0">
                  <c:v>15.2</c:v>
                </c:pt>
                <c:pt idx="1">
                  <c:v>6.9</c:v>
                </c:pt>
              </c:numCache>
            </c:numRef>
          </c:xVal>
          <c:yVal>
            <c:numRef>
              <c:f>'Fecha 2009-11-29'!$B$35:$B$36</c:f>
              <c:numCache>
                <c:formatCode>0.000</c:formatCode>
                <c:ptCount val="2"/>
                <c:pt idx="0">
                  <c:v>478.72</c:v>
                </c:pt>
                <c:pt idx="1">
                  <c:v>478.72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83-4C21-A3B0-630D1E81C042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2009-11-29'!$A$41:$A$42</c:f>
              <c:numCache>
                <c:formatCode>0.00</c:formatCode>
                <c:ptCount val="2"/>
                <c:pt idx="0">
                  <c:v>0</c:v>
                </c:pt>
                <c:pt idx="1">
                  <c:v>20.6</c:v>
                </c:pt>
              </c:numCache>
            </c:numRef>
          </c:xVal>
          <c:yVal>
            <c:numRef>
              <c:f>'Fecha 2009-11-29'!$B$41:$B$42</c:f>
              <c:numCache>
                <c:formatCode>0.000</c:formatCode>
                <c:ptCount val="2"/>
                <c:pt idx="0">
                  <c:v>480.05</c:v>
                </c:pt>
                <c:pt idx="1">
                  <c:v>480.15300000000002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83-4C21-A3B0-630D1E81C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56816"/>
        <c:axId val="189257208"/>
      </c:scatterChart>
      <c:valAx>
        <c:axId val="189256816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7208"/>
        <c:crossesAt val="89"/>
        <c:crossBetween val="midCat"/>
        <c:majorUnit val="10"/>
        <c:minorUnit val="2"/>
      </c:valAx>
      <c:valAx>
        <c:axId val="189257208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681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
Dibujó:            PALACIOS
Revisó:    
 Fecha:  2010-03-22
 IDEAM - Area Operativa No. 04</a:t>
            </a:r>
          </a:p>
        </c:rich>
      </c:tx>
      <c:layout>
        <c:manualLayout>
          <c:xMode val="edge"/>
          <c:yMode val="edge"/>
          <c:x val="0.63295078022732443"/>
          <c:y val="2.6895761741122563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577515901539593E-2"/>
          <c:w val="0.93639726223056952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2010-03-22'!$A$3:$A$34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13</c:v>
                </c:pt>
                <c:pt idx="5">
                  <c:v>15.6</c:v>
                </c:pt>
                <c:pt idx="6">
                  <c:v>17.100000000000001</c:v>
                </c:pt>
                <c:pt idx="7">
                  <c:v>17.600000000000001</c:v>
                </c:pt>
                <c:pt idx="8">
                  <c:v>18.100000000000001</c:v>
                </c:pt>
                <c:pt idx="9">
                  <c:v>18.600000000000001</c:v>
                </c:pt>
                <c:pt idx="10">
                  <c:v>19.100000000000001</c:v>
                </c:pt>
                <c:pt idx="11">
                  <c:v>19.600000000000001</c:v>
                </c:pt>
                <c:pt idx="12">
                  <c:v>20.100000000000001</c:v>
                </c:pt>
                <c:pt idx="13">
                  <c:v>20.6</c:v>
                </c:pt>
                <c:pt idx="14">
                  <c:v>21.1</c:v>
                </c:pt>
                <c:pt idx="15">
                  <c:v>21.6</c:v>
                </c:pt>
                <c:pt idx="16">
                  <c:v>22.3</c:v>
                </c:pt>
                <c:pt idx="17">
                  <c:v>24.4</c:v>
                </c:pt>
                <c:pt idx="18">
                  <c:v>26.8</c:v>
                </c:pt>
                <c:pt idx="19">
                  <c:v>29</c:v>
                </c:pt>
              </c:numCache>
            </c:numRef>
          </c:xVal>
          <c:yVal>
            <c:numRef>
              <c:f>'Fecha 2010-03-22'!$B$3:$B$34</c:f>
              <c:numCache>
                <c:formatCode>0.000</c:formatCode>
                <c:ptCount val="32"/>
                <c:pt idx="0">
                  <c:v>480.322</c:v>
                </c:pt>
                <c:pt idx="1">
                  <c:v>480.63</c:v>
                </c:pt>
                <c:pt idx="2">
                  <c:v>480.17</c:v>
                </c:pt>
                <c:pt idx="3">
                  <c:v>480.31</c:v>
                </c:pt>
                <c:pt idx="4">
                  <c:v>479.44</c:v>
                </c:pt>
                <c:pt idx="5">
                  <c:v>478.82</c:v>
                </c:pt>
                <c:pt idx="6">
                  <c:v>478.72</c:v>
                </c:pt>
                <c:pt idx="7">
                  <c:v>478.71</c:v>
                </c:pt>
                <c:pt idx="8">
                  <c:v>478.67</c:v>
                </c:pt>
                <c:pt idx="9">
                  <c:v>478.6</c:v>
                </c:pt>
                <c:pt idx="10">
                  <c:v>478.5</c:v>
                </c:pt>
                <c:pt idx="11">
                  <c:v>478.49</c:v>
                </c:pt>
                <c:pt idx="12">
                  <c:v>478.52</c:v>
                </c:pt>
                <c:pt idx="13">
                  <c:v>478.52</c:v>
                </c:pt>
                <c:pt idx="14">
                  <c:v>478.51</c:v>
                </c:pt>
                <c:pt idx="15">
                  <c:v>478.47</c:v>
                </c:pt>
                <c:pt idx="16">
                  <c:v>478.82</c:v>
                </c:pt>
                <c:pt idx="17">
                  <c:v>479.12</c:v>
                </c:pt>
                <c:pt idx="18">
                  <c:v>479.47</c:v>
                </c:pt>
                <c:pt idx="19">
                  <c:v>480.54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F-4EBE-9EA9-BA6909C0C93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2010-03-22'!$A$39:$A$40</c:f>
              <c:numCache>
                <c:formatCode>0.00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'Fecha 2010-03-22'!$B$39:$B$40</c:f>
              <c:numCache>
                <c:formatCode>0.000</c:formatCode>
                <c:ptCount val="2"/>
                <c:pt idx="0">
                  <c:v>479.30900000000003</c:v>
                </c:pt>
                <c:pt idx="1">
                  <c:v>480.85599999999999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8F-4EBE-9EA9-BA6909C0C93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2010-03-22'!$A$37:$A$38</c:f>
              <c:numCache>
                <c:formatCode>0.00</c:formatCode>
                <c:ptCount val="2"/>
                <c:pt idx="0">
                  <c:v>15.7</c:v>
                </c:pt>
                <c:pt idx="1">
                  <c:v>15.7</c:v>
                </c:pt>
              </c:numCache>
            </c:numRef>
          </c:xVal>
          <c:yVal>
            <c:numRef>
              <c:f>'Fecha 2010-03-22'!$B$37:$B$38</c:f>
              <c:numCache>
                <c:formatCode>0.000</c:formatCode>
                <c:ptCount val="2"/>
                <c:pt idx="0">
                  <c:v>478.322</c:v>
                </c:pt>
                <c:pt idx="1">
                  <c:v>480.3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8F-4EBE-9EA9-BA6909C0C93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2010-03-22'!$A$35:$A$36</c:f>
              <c:numCache>
                <c:formatCode>0.00</c:formatCode>
                <c:ptCount val="2"/>
                <c:pt idx="0">
                  <c:v>15.6</c:v>
                </c:pt>
                <c:pt idx="1">
                  <c:v>22.3</c:v>
                </c:pt>
              </c:numCache>
            </c:numRef>
          </c:xVal>
          <c:yVal>
            <c:numRef>
              <c:f>'Fecha 2010-03-22'!$B$35:$B$36</c:f>
              <c:numCache>
                <c:formatCode>0.000</c:formatCode>
                <c:ptCount val="2"/>
                <c:pt idx="0">
                  <c:v>478.82</c:v>
                </c:pt>
                <c:pt idx="1">
                  <c:v>478.82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8F-4EBE-9EA9-BA6909C0C93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2010-03-22'!$A$41:$A$42</c:f>
              <c:numCache>
                <c:formatCode>0.00</c:formatCode>
                <c:ptCount val="2"/>
                <c:pt idx="0">
                  <c:v>0</c:v>
                </c:pt>
                <c:pt idx="1">
                  <c:v>29</c:v>
                </c:pt>
              </c:numCache>
            </c:numRef>
          </c:xVal>
          <c:yVal>
            <c:numRef>
              <c:f>'Fecha 2010-03-22'!$B$41:$B$42</c:f>
              <c:numCache>
                <c:formatCode>0.000</c:formatCode>
                <c:ptCount val="2"/>
                <c:pt idx="0">
                  <c:v>480.05</c:v>
                </c:pt>
                <c:pt idx="1">
                  <c:v>480.15300000000002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8F-4EBE-9EA9-BA6909C0C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57992"/>
        <c:axId val="189258384"/>
      </c:scatterChart>
      <c:valAx>
        <c:axId val="189257992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8384"/>
        <c:crossesAt val="89"/>
        <c:crossBetween val="midCat"/>
        <c:majorUnit val="10"/>
        <c:minorUnit val="2"/>
      </c:valAx>
      <c:valAx>
        <c:axId val="189258384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5799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VERGARA
Dibujó:            PALACIOS
Revisó:    
 Fecha:  2010-05-14
 IDEAM - Area Operativa No. 04</a:t>
            </a:r>
          </a:p>
        </c:rich>
      </c:tx>
      <c:layout>
        <c:manualLayout>
          <c:xMode val="edge"/>
          <c:yMode val="edge"/>
          <c:x val="0.63295078022732443"/>
          <c:y val="2.6895761741122563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577515901539593E-2"/>
          <c:w val="0.93639726223056952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2010-05-14'!$A$3:$A$34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0.9</c:v>
                </c:pt>
                <c:pt idx="3">
                  <c:v>4.4000000000000004</c:v>
                </c:pt>
                <c:pt idx="4">
                  <c:v>5.9</c:v>
                </c:pt>
                <c:pt idx="5">
                  <c:v>6.4</c:v>
                </c:pt>
                <c:pt idx="6">
                  <c:v>6.9</c:v>
                </c:pt>
                <c:pt idx="7">
                  <c:v>7.4</c:v>
                </c:pt>
                <c:pt idx="8">
                  <c:v>7.9</c:v>
                </c:pt>
                <c:pt idx="9">
                  <c:v>8.4</c:v>
                </c:pt>
                <c:pt idx="10">
                  <c:v>8.9</c:v>
                </c:pt>
                <c:pt idx="11">
                  <c:v>9.4</c:v>
                </c:pt>
                <c:pt idx="12">
                  <c:v>9.9</c:v>
                </c:pt>
                <c:pt idx="13">
                  <c:v>10.4</c:v>
                </c:pt>
                <c:pt idx="14">
                  <c:v>10.9</c:v>
                </c:pt>
                <c:pt idx="15">
                  <c:v>11.4</c:v>
                </c:pt>
                <c:pt idx="16">
                  <c:v>12</c:v>
                </c:pt>
                <c:pt idx="17">
                  <c:v>14</c:v>
                </c:pt>
                <c:pt idx="18">
                  <c:v>16.5</c:v>
                </c:pt>
              </c:numCache>
            </c:numRef>
          </c:xVal>
          <c:yVal>
            <c:numRef>
              <c:f>'Fecha 2010-05-14'!$B$3:$B$34</c:f>
              <c:numCache>
                <c:formatCode>0.000</c:formatCode>
                <c:ptCount val="32"/>
                <c:pt idx="0">
                  <c:v>480</c:v>
                </c:pt>
                <c:pt idx="1">
                  <c:v>480.15</c:v>
                </c:pt>
                <c:pt idx="2">
                  <c:v>480.09</c:v>
                </c:pt>
                <c:pt idx="3">
                  <c:v>479.03</c:v>
                </c:pt>
                <c:pt idx="4">
                  <c:v>478.93</c:v>
                </c:pt>
                <c:pt idx="5">
                  <c:v>478.68</c:v>
                </c:pt>
                <c:pt idx="6">
                  <c:v>478.6</c:v>
                </c:pt>
                <c:pt idx="7">
                  <c:v>478.63</c:v>
                </c:pt>
                <c:pt idx="8">
                  <c:v>478.56</c:v>
                </c:pt>
                <c:pt idx="9">
                  <c:v>478.58</c:v>
                </c:pt>
                <c:pt idx="10">
                  <c:v>478.63</c:v>
                </c:pt>
                <c:pt idx="11">
                  <c:v>478.68</c:v>
                </c:pt>
                <c:pt idx="12">
                  <c:v>478.61</c:v>
                </c:pt>
                <c:pt idx="13">
                  <c:v>478.66</c:v>
                </c:pt>
                <c:pt idx="14">
                  <c:v>478.73</c:v>
                </c:pt>
                <c:pt idx="15">
                  <c:v>478.86</c:v>
                </c:pt>
                <c:pt idx="16">
                  <c:v>478.93</c:v>
                </c:pt>
                <c:pt idx="17">
                  <c:v>478.93</c:v>
                </c:pt>
                <c:pt idx="18">
                  <c:v>477.91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5-4C09-907E-260E3FB3256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2010-05-14'!$A$39:$A$40</c:f>
              <c:numCache>
                <c:formatCode>0.00</c:formatCode>
                <c:ptCount val="2"/>
                <c:pt idx="0">
                  <c:v>12.2</c:v>
                </c:pt>
                <c:pt idx="1">
                  <c:v>12.2</c:v>
                </c:pt>
              </c:numCache>
            </c:numRef>
          </c:xVal>
          <c:yVal>
            <c:numRef>
              <c:f>'Fecha 2010-05-14'!$B$39:$B$40</c:f>
              <c:numCache>
                <c:formatCode>0.000</c:formatCode>
                <c:ptCount val="2"/>
                <c:pt idx="0">
                  <c:v>479.33</c:v>
                </c:pt>
                <c:pt idx="1">
                  <c:v>480.85599999999999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15-4C09-907E-260E3FB3256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2010-05-14'!$A$37:$A$38</c:f>
              <c:numCache>
                <c:formatCode>0.00</c:formatCode>
                <c:ptCount val="2"/>
                <c:pt idx="0">
                  <c:v>11.9</c:v>
                </c:pt>
                <c:pt idx="1">
                  <c:v>11.9</c:v>
                </c:pt>
              </c:numCache>
            </c:numRef>
          </c:xVal>
          <c:yVal>
            <c:numRef>
              <c:f>'Fecha 2010-05-14'!$B$37:$B$38</c:f>
              <c:numCache>
                <c:formatCode>0.000</c:formatCode>
                <c:ptCount val="2"/>
                <c:pt idx="0">
                  <c:v>478.33</c:v>
                </c:pt>
                <c:pt idx="1">
                  <c:v>479.33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15-4C09-907E-260E3FB3256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2010-05-14'!$A$35:$A$36</c:f>
              <c:numCache>
                <c:formatCode>0.00</c:formatCode>
                <c:ptCount val="2"/>
                <c:pt idx="0">
                  <c:v>5.9</c:v>
                </c:pt>
                <c:pt idx="1">
                  <c:v>12</c:v>
                </c:pt>
              </c:numCache>
            </c:numRef>
          </c:xVal>
          <c:yVal>
            <c:numRef>
              <c:f>'Fecha 2010-05-14'!$B$35:$B$36</c:f>
              <c:numCache>
                <c:formatCode>0.000</c:formatCode>
                <c:ptCount val="2"/>
                <c:pt idx="0">
                  <c:v>478.93</c:v>
                </c:pt>
                <c:pt idx="1">
                  <c:v>478.93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15-4C09-907E-260E3FB3256B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2010-05-14'!$A$41:$A$42</c:f>
              <c:numCache>
                <c:formatCode>0.00</c:formatCode>
                <c:ptCount val="2"/>
                <c:pt idx="0">
                  <c:v>0</c:v>
                </c:pt>
                <c:pt idx="1">
                  <c:v>29</c:v>
                </c:pt>
              </c:numCache>
            </c:numRef>
          </c:xVal>
          <c:yVal>
            <c:numRef>
              <c:f>'Fecha 2010-05-14'!$B$41:$B$42</c:f>
              <c:numCache>
                <c:formatCode>0.000</c:formatCode>
                <c:ptCount val="2"/>
                <c:pt idx="0">
                  <c:v>480.05</c:v>
                </c:pt>
                <c:pt idx="1">
                  <c:v>480.15300000000002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15-4C09-907E-260E3FB3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67720"/>
        <c:axId val="189268112"/>
      </c:scatterChart>
      <c:valAx>
        <c:axId val="189267720"/>
        <c:scaling>
          <c:orientation val="minMax"/>
          <c:max val="2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68112"/>
        <c:crossesAt val="89"/>
        <c:crossBetween val="midCat"/>
        <c:majorUnit val="10"/>
        <c:minorUnit val="2"/>
      </c:valAx>
      <c:valAx>
        <c:axId val="189268112"/>
        <c:scaling>
          <c:orientation val="minMax"/>
          <c:max val="481"/>
          <c:min val="47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6772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RAMIREZ
Dibujó:            PALACIOS
Revisó:    
 Fecha:  2010-10-09
 IDEAM - Area Operativa No. 04</a:t>
            </a:r>
          </a:p>
        </c:rich>
      </c:tx>
      <c:layout>
        <c:manualLayout>
          <c:xMode val="edge"/>
          <c:yMode val="edge"/>
          <c:x val="0.63295078022732443"/>
          <c:y val="2.6895761741122563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577515901539593E-2"/>
          <c:w val="0.93639726223056952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2010-10-09'!$A$3:$A$34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12</c:v>
                </c:pt>
                <c:pt idx="4">
                  <c:v>14</c:v>
                </c:pt>
                <c:pt idx="5">
                  <c:v>15.5</c:v>
                </c:pt>
                <c:pt idx="6">
                  <c:v>15.5</c:v>
                </c:pt>
                <c:pt idx="7">
                  <c:v>16.5</c:v>
                </c:pt>
                <c:pt idx="8">
                  <c:v>17.5</c:v>
                </c:pt>
                <c:pt idx="9">
                  <c:v>18.5</c:v>
                </c:pt>
                <c:pt idx="10">
                  <c:v>19</c:v>
                </c:pt>
                <c:pt idx="11">
                  <c:v>19.5</c:v>
                </c:pt>
                <c:pt idx="12">
                  <c:v>20</c:v>
                </c:pt>
                <c:pt idx="13">
                  <c:v>20.5</c:v>
                </c:pt>
                <c:pt idx="14">
                  <c:v>21</c:v>
                </c:pt>
                <c:pt idx="15">
                  <c:v>21.5</c:v>
                </c:pt>
                <c:pt idx="16">
                  <c:v>22</c:v>
                </c:pt>
                <c:pt idx="17">
                  <c:v>22.5</c:v>
                </c:pt>
                <c:pt idx="18">
                  <c:v>23</c:v>
                </c:pt>
                <c:pt idx="19">
                  <c:v>23.6</c:v>
                </c:pt>
                <c:pt idx="20">
                  <c:v>25.3</c:v>
                </c:pt>
                <c:pt idx="21">
                  <c:v>26.7</c:v>
                </c:pt>
                <c:pt idx="22">
                  <c:v>27.5</c:v>
                </c:pt>
              </c:numCache>
            </c:numRef>
          </c:xVal>
          <c:yVal>
            <c:numRef>
              <c:f>'Fecha 2010-10-09'!$B$3:$B$34</c:f>
              <c:numCache>
                <c:formatCode>0.000</c:formatCode>
                <c:ptCount val="32"/>
                <c:pt idx="0">
                  <c:v>480.02</c:v>
                </c:pt>
                <c:pt idx="1">
                  <c:v>480.28</c:v>
                </c:pt>
                <c:pt idx="2">
                  <c:v>480.2</c:v>
                </c:pt>
                <c:pt idx="3">
                  <c:v>480.06</c:v>
                </c:pt>
                <c:pt idx="4">
                  <c:v>478.92</c:v>
                </c:pt>
                <c:pt idx="5">
                  <c:v>478.8</c:v>
                </c:pt>
                <c:pt idx="6">
                  <c:v>478.8</c:v>
                </c:pt>
                <c:pt idx="7">
                  <c:v>478.75</c:v>
                </c:pt>
                <c:pt idx="8">
                  <c:v>478.75</c:v>
                </c:pt>
                <c:pt idx="9">
                  <c:v>478.7</c:v>
                </c:pt>
                <c:pt idx="10">
                  <c:v>478.73</c:v>
                </c:pt>
                <c:pt idx="11">
                  <c:v>478.57</c:v>
                </c:pt>
                <c:pt idx="12">
                  <c:v>478.58</c:v>
                </c:pt>
                <c:pt idx="13">
                  <c:v>478.49</c:v>
                </c:pt>
                <c:pt idx="14">
                  <c:v>478.36</c:v>
                </c:pt>
                <c:pt idx="15">
                  <c:v>478.39</c:v>
                </c:pt>
                <c:pt idx="16">
                  <c:v>478.29</c:v>
                </c:pt>
                <c:pt idx="17">
                  <c:v>478.6</c:v>
                </c:pt>
                <c:pt idx="18">
                  <c:v>478.68</c:v>
                </c:pt>
                <c:pt idx="19">
                  <c:v>478.8</c:v>
                </c:pt>
                <c:pt idx="20">
                  <c:v>479.02</c:v>
                </c:pt>
                <c:pt idx="21">
                  <c:v>479.91</c:v>
                </c:pt>
                <c:pt idx="22">
                  <c:v>480.84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A6-4082-98F4-6FA71B61DC08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2010-10-09'!$A$39:$A$40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'Fecha 2010-10-09'!$B$39:$B$40</c:f>
              <c:numCache>
                <c:formatCode>0.000</c:formatCode>
                <c:ptCount val="2"/>
                <c:pt idx="0">
                  <c:v>479.32499999999999</c:v>
                </c:pt>
                <c:pt idx="1">
                  <c:v>480.82499999999999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A6-4082-98F4-6FA71B61DC08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2010-10-09'!$A$37:$A$38</c:f>
              <c:numCache>
                <c:formatCode>0.00</c:formatCode>
                <c:ptCount val="2"/>
                <c:pt idx="0">
                  <c:v>15.5</c:v>
                </c:pt>
                <c:pt idx="1">
                  <c:v>15.5</c:v>
                </c:pt>
              </c:numCache>
            </c:numRef>
          </c:xVal>
          <c:yVal>
            <c:numRef>
              <c:f>'Fecha 2010-10-09'!$B$37:$B$38</c:f>
              <c:numCache>
                <c:formatCode>0.000</c:formatCode>
                <c:ptCount val="2"/>
                <c:pt idx="0">
                  <c:v>478.32400000000001</c:v>
                </c:pt>
                <c:pt idx="1">
                  <c:v>479.32400000000001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6-4082-98F4-6FA71B61DC08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2010-10-09'!$A$35:$A$36</c:f>
              <c:numCache>
                <c:formatCode>0.00</c:formatCode>
                <c:ptCount val="2"/>
                <c:pt idx="0">
                  <c:v>15.5</c:v>
                </c:pt>
                <c:pt idx="1">
                  <c:v>23.6</c:v>
                </c:pt>
              </c:numCache>
            </c:numRef>
          </c:xVal>
          <c:yVal>
            <c:numRef>
              <c:f>'Fecha 2010-10-09'!$B$35:$B$36</c:f>
              <c:numCache>
                <c:formatCode>0.000</c:formatCode>
                <c:ptCount val="2"/>
                <c:pt idx="0">
                  <c:v>478.8</c:v>
                </c:pt>
                <c:pt idx="1">
                  <c:v>478.8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A6-4082-98F4-6FA71B61DC08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2010-10-09'!$A$41:$A$42</c:f>
              <c:numCache>
                <c:formatCode>0.00</c:formatCode>
                <c:ptCount val="2"/>
                <c:pt idx="0">
                  <c:v>0</c:v>
                </c:pt>
                <c:pt idx="1">
                  <c:v>27.5</c:v>
                </c:pt>
              </c:numCache>
            </c:numRef>
          </c:xVal>
          <c:yVal>
            <c:numRef>
              <c:f>'Fecha 2010-10-09'!$B$41:$B$42</c:f>
              <c:numCache>
                <c:formatCode>0.000</c:formatCode>
                <c:ptCount val="2"/>
                <c:pt idx="0">
                  <c:v>480.28</c:v>
                </c:pt>
                <c:pt idx="1">
                  <c:v>480.84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A6-4082-98F4-6FA71B61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68896"/>
        <c:axId val="189269288"/>
      </c:scatterChart>
      <c:valAx>
        <c:axId val="189268896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69288"/>
        <c:crossesAt val="89"/>
        <c:crossBetween val="midCat"/>
        <c:majorUnit val="10"/>
        <c:minorUnit val="2"/>
      </c:valAx>
      <c:valAx>
        <c:axId val="189269288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6889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VERGARA
Dibujó:           JIMENEZ SANZ
Revisó:    
 Fecha:  2011-03-06
 IDEAM - Area Operativa No. 04</a:t>
            </a:r>
          </a:p>
        </c:rich>
      </c:tx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5.9714069938823139E-2"/>
          <c:y val="0.18900364785094484"/>
          <c:w val="0.92094234623959625"/>
          <c:h val="0.73997791825279013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2011-03-06'!$A$3:$A$34</c:f>
              <c:numCache>
                <c:formatCode>0.00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13</c:v>
                </c:pt>
                <c:pt idx="6">
                  <c:v>13</c:v>
                </c:pt>
                <c:pt idx="7">
                  <c:v>18</c:v>
                </c:pt>
                <c:pt idx="8">
                  <c:v>18.7</c:v>
                </c:pt>
                <c:pt idx="9">
                  <c:v>19.100000000000001</c:v>
                </c:pt>
                <c:pt idx="10">
                  <c:v>19.5</c:v>
                </c:pt>
                <c:pt idx="11">
                  <c:v>19.899999999999999</c:v>
                </c:pt>
                <c:pt idx="12">
                  <c:v>20.3</c:v>
                </c:pt>
                <c:pt idx="13">
                  <c:v>20.7</c:v>
                </c:pt>
                <c:pt idx="14">
                  <c:v>21.1</c:v>
                </c:pt>
                <c:pt idx="15">
                  <c:v>21.5</c:v>
                </c:pt>
                <c:pt idx="16">
                  <c:v>22.1</c:v>
                </c:pt>
                <c:pt idx="17">
                  <c:v>23.8</c:v>
                </c:pt>
                <c:pt idx="18">
                  <c:v>24.1</c:v>
                </c:pt>
                <c:pt idx="19">
                  <c:v>25.3</c:v>
                </c:pt>
                <c:pt idx="20">
                  <c:v>25.7</c:v>
                </c:pt>
              </c:numCache>
            </c:numRef>
          </c:xVal>
          <c:yVal>
            <c:numRef>
              <c:f>'Fecha 2011-03-06'!$B$3:$B$34</c:f>
              <c:numCache>
                <c:formatCode>0.000</c:formatCode>
                <c:ptCount val="32"/>
                <c:pt idx="0">
                  <c:v>480.32799999999997</c:v>
                </c:pt>
                <c:pt idx="1">
                  <c:v>481.12</c:v>
                </c:pt>
                <c:pt idx="2">
                  <c:v>480.54</c:v>
                </c:pt>
                <c:pt idx="3">
                  <c:v>480.48</c:v>
                </c:pt>
                <c:pt idx="4">
                  <c:v>480.96</c:v>
                </c:pt>
                <c:pt idx="5">
                  <c:v>480.14</c:v>
                </c:pt>
                <c:pt idx="6">
                  <c:v>478.94</c:v>
                </c:pt>
                <c:pt idx="7">
                  <c:v>478.78</c:v>
                </c:pt>
                <c:pt idx="8">
                  <c:v>478.66</c:v>
                </c:pt>
                <c:pt idx="9">
                  <c:v>478.58</c:v>
                </c:pt>
                <c:pt idx="10">
                  <c:v>478.54</c:v>
                </c:pt>
                <c:pt idx="11">
                  <c:v>478.5</c:v>
                </c:pt>
                <c:pt idx="12">
                  <c:v>478.48</c:v>
                </c:pt>
                <c:pt idx="13">
                  <c:v>478.43</c:v>
                </c:pt>
                <c:pt idx="14">
                  <c:v>478.45</c:v>
                </c:pt>
                <c:pt idx="15">
                  <c:v>478.5</c:v>
                </c:pt>
                <c:pt idx="16">
                  <c:v>478.78</c:v>
                </c:pt>
                <c:pt idx="17">
                  <c:v>479.23</c:v>
                </c:pt>
                <c:pt idx="18">
                  <c:v>480.13</c:v>
                </c:pt>
                <c:pt idx="19">
                  <c:v>480.81</c:v>
                </c:pt>
                <c:pt idx="20">
                  <c:v>481.12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AA2-9AD4-9DB95C2BB56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2011-03-06'!$A$39:$A$40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'Fecha 2011-03-06'!$B$39:$B$40</c:f>
              <c:numCache>
                <c:formatCode>0.000</c:formatCode>
                <c:ptCount val="2"/>
                <c:pt idx="0">
                  <c:v>479.33600000000001</c:v>
                </c:pt>
                <c:pt idx="1">
                  <c:v>480.83600000000001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AA2-9AD4-9DB95C2BB56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2011-03-06'!$A$37:$A$38</c:f>
              <c:numCache>
                <c:formatCode>0.00</c:formatCode>
                <c:ptCount val="2"/>
                <c:pt idx="0">
                  <c:v>15.5</c:v>
                </c:pt>
                <c:pt idx="1">
                  <c:v>15.5</c:v>
                </c:pt>
              </c:numCache>
            </c:numRef>
          </c:xVal>
          <c:yVal>
            <c:numRef>
              <c:f>'Fecha 2011-03-06'!$B$37:$B$38</c:f>
              <c:numCache>
                <c:formatCode>0.000</c:formatCode>
                <c:ptCount val="2"/>
                <c:pt idx="0">
                  <c:v>478.32799999999997</c:v>
                </c:pt>
                <c:pt idx="1">
                  <c:v>479.32799999999997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8C-4AA2-9AD4-9DB95C2BB56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2011-03-06'!$A$35:$A$36</c:f>
              <c:numCache>
                <c:formatCode>0.00</c:formatCode>
                <c:ptCount val="2"/>
                <c:pt idx="0">
                  <c:v>18</c:v>
                </c:pt>
                <c:pt idx="1">
                  <c:v>22.1</c:v>
                </c:pt>
              </c:numCache>
            </c:numRef>
          </c:xVal>
          <c:yVal>
            <c:numRef>
              <c:f>'Fecha 2011-03-06'!$B$35:$B$36</c:f>
              <c:numCache>
                <c:formatCode>0.000</c:formatCode>
                <c:ptCount val="2"/>
                <c:pt idx="0">
                  <c:v>478.78</c:v>
                </c:pt>
                <c:pt idx="1">
                  <c:v>478.78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8C-4AA2-9AD4-9DB95C2BB56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2011-03-06'!$A$41:$A$42</c:f>
              <c:numCache>
                <c:formatCode>0.00</c:formatCode>
                <c:ptCount val="2"/>
                <c:pt idx="0">
                  <c:v>0</c:v>
                </c:pt>
                <c:pt idx="1">
                  <c:v>25.7</c:v>
                </c:pt>
              </c:numCache>
            </c:numRef>
          </c:xVal>
          <c:yVal>
            <c:numRef>
              <c:f>'Fecha 2011-03-06'!$B$41:$B$42</c:f>
              <c:numCache>
                <c:formatCode>0.000</c:formatCode>
                <c:ptCount val="2"/>
                <c:pt idx="0">
                  <c:v>481.12</c:v>
                </c:pt>
                <c:pt idx="1">
                  <c:v>481.12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8C-4AA2-9AD4-9DB95C2B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70072"/>
        <c:axId val="189270464"/>
      </c:scatterChart>
      <c:valAx>
        <c:axId val="189270072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86963143352785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0464"/>
        <c:crossesAt val="89"/>
        <c:crossBetween val="midCat"/>
        <c:majorUnit val="10"/>
        <c:minorUnit val="2"/>
      </c:valAx>
      <c:valAx>
        <c:axId val="189270464"/>
        <c:scaling>
          <c:orientation val="minMax"/>
          <c:max val="481.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342921653693631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007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VERGARA
Dibujó:            D.A.S.
Revisó:    
 Fecha:  2011-08-28
 IDEAM - Area Operativa No. 04</a:t>
            </a:r>
          </a:p>
        </c:rich>
      </c:tx>
      <c:layout>
        <c:manualLayout>
          <c:xMode val="edge"/>
          <c:yMode val="edge"/>
          <c:x val="0.62286391661092833"/>
          <c:y val="5.3791643742126742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79E-2"/>
          <c:y val="2.577515901539593E-2"/>
          <c:w val="0.93723783427925056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2011-08-28'!$A$3:$A$34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2.5</c:v>
                </c:pt>
                <c:pt idx="5">
                  <c:v>3.8</c:v>
                </c:pt>
                <c:pt idx="6">
                  <c:v>4.3</c:v>
                </c:pt>
                <c:pt idx="7">
                  <c:v>5.3</c:v>
                </c:pt>
                <c:pt idx="8">
                  <c:v>6.3</c:v>
                </c:pt>
                <c:pt idx="9">
                  <c:v>6.8</c:v>
                </c:pt>
                <c:pt idx="10">
                  <c:v>7.3</c:v>
                </c:pt>
                <c:pt idx="11">
                  <c:v>7.8</c:v>
                </c:pt>
                <c:pt idx="12">
                  <c:v>8.3000000000000007</c:v>
                </c:pt>
                <c:pt idx="13">
                  <c:v>8.8000000000000007</c:v>
                </c:pt>
                <c:pt idx="14">
                  <c:v>9.3000000000000007</c:v>
                </c:pt>
                <c:pt idx="15">
                  <c:v>9.8000000000000007</c:v>
                </c:pt>
                <c:pt idx="16">
                  <c:v>10.3</c:v>
                </c:pt>
                <c:pt idx="17">
                  <c:v>10.8</c:v>
                </c:pt>
                <c:pt idx="18">
                  <c:v>12</c:v>
                </c:pt>
                <c:pt idx="19">
                  <c:v>14.8</c:v>
                </c:pt>
                <c:pt idx="20">
                  <c:v>14.8</c:v>
                </c:pt>
                <c:pt idx="21">
                  <c:v>14.8</c:v>
                </c:pt>
                <c:pt idx="22">
                  <c:v>14.8</c:v>
                </c:pt>
              </c:numCache>
            </c:numRef>
          </c:xVal>
          <c:yVal>
            <c:numRef>
              <c:f>'Fecha 2011-08-28'!$B$3:$B$34</c:f>
              <c:numCache>
                <c:formatCode>0.000</c:formatCode>
                <c:ptCount val="32"/>
                <c:pt idx="0">
                  <c:v>480.17599999999999</c:v>
                </c:pt>
                <c:pt idx="1">
                  <c:v>480.33</c:v>
                </c:pt>
                <c:pt idx="2">
                  <c:v>480.27</c:v>
                </c:pt>
                <c:pt idx="3">
                  <c:v>479.55</c:v>
                </c:pt>
                <c:pt idx="4">
                  <c:v>478.99</c:v>
                </c:pt>
                <c:pt idx="5">
                  <c:v>478.86</c:v>
                </c:pt>
                <c:pt idx="6">
                  <c:v>478.76</c:v>
                </c:pt>
                <c:pt idx="7">
                  <c:v>478.76</c:v>
                </c:pt>
                <c:pt idx="8">
                  <c:v>478.74</c:v>
                </c:pt>
                <c:pt idx="9">
                  <c:v>478.66</c:v>
                </c:pt>
                <c:pt idx="10">
                  <c:v>478.63</c:v>
                </c:pt>
                <c:pt idx="11">
                  <c:v>478.56</c:v>
                </c:pt>
                <c:pt idx="12">
                  <c:v>478.58</c:v>
                </c:pt>
                <c:pt idx="13">
                  <c:v>478.58</c:v>
                </c:pt>
                <c:pt idx="14">
                  <c:v>478.59</c:v>
                </c:pt>
                <c:pt idx="15">
                  <c:v>478.66</c:v>
                </c:pt>
                <c:pt idx="16">
                  <c:v>478.7</c:v>
                </c:pt>
                <c:pt idx="17">
                  <c:v>478.86</c:v>
                </c:pt>
                <c:pt idx="18">
                  <c:v>479.13</c:v>
                </c:pt>
                <c:pt idx="19">
                  <c:v>480.23</c:v>
                </c:pt>
                <c:pt idx="20">
                  <c:v>479.32</c:v>
                </c:pt>
                <c:pt idx="21">
                  <c:v>480.34</c:v>
                </c:pt>
                <c:pt idx="22">
                  <c:v>480.18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5-452A-ADE1-FD41B84D7B07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2011-08-28'!$A$39:$A$40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'Fecha 2011-08-28'!$B$39:$B$40</c:f>
              <c:numCache>
                <c:formatCode>0.000</c:formatCode>
                <c:ptCount val="2"/>
                <c:pt idx="0">
                  <c:v>479.32400000000001</c:v>
                </c:pt>
                <c:pt idx="1">
                  <c:v>480.83600000000001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35-452A-ADE1-FD41B84D7B07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2011-08-28'!$A$37:$A$38</c:f>
              <c:numCache>
                <c:formatCode>0.00</c:formatCode>
                <c:ptCount val="2"/>
                <c:pt idx="0">
                  <c:v>3.8</c:v>
                </c:pt>
                <c:pt idx="1">
                  <c:v>3.8</c:v>
                </c:pt>
              </c:numCache>
            </c:numRef>
          </c:xVal>
          <c:yVal>
            <c:numRef>
              <c:f>'Fecha 2011-08-28'!$B$37:$B$38</c:f>
              <c:numCache>
                <c:formatCode>0.000</c:formatCode>
                <c:ptCount val="2"/>
                <c:pt idx="0">
                  <c:v>478.34100000000001</c:v>
                </c:pt>
                <c:pt idx="1">
                  <c:v>479.33499999999998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35-452A-ADE1-FD41B84D7B07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2011-08-28'!$A$35:$A$36</c:f>
              <c:numCache>
                <c:formatCode>0.00</c:formatCode>
                <c:ptCount val="2"/>
                <c:pt idx="0">
                  <c:v>3.8</c:v>
                </c:pt>
                <c:pt idx="1">
                  <c:v>10.8</c:v>
                </c:pt>
              </c:numCache>
            </c:numRef>
          </c:xVal>
          <c:yVal>
            <c:numRef>
              <c:f>'Fecha 2011-08-28'!$B$35:$B$36</c:f>
              <c:numCache>
                <c:formatCode>0.000</c:formatCode>
                <c:ptCount val="2"/>
                <c:pt idx="0">
                  <c:v>478.86</c:v>
                </c:pt>
                <c:pt idx="1">
                  <c:v>478.86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35-452A-ADE1-FD41B84D7B07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2011-08-28'!$A$41:$A$42</c:f>
              <c:numCache>
                <c:formatCode>0.00</c:formatCode>
                <c:ptCount val="2"/>
                <c:pt idx="0">
                  <c:v>0</c:v>
                </c:pt>
                <c:pt idx="1">
                  <c:v>25.7</c:v>
                </c:pt>
              </c:numCache>
            </c:numRef>
          </c:xVal>
          <c:yVal>
            <c:numRef>
              <c:f>'Fecha 2011-08-28'!$B$41:$B$42</c:f>
              <c:numCache>
                <c:formatCode>0.000</c:formatCode>
                <c:ptCount val="2"/>
                <c:pt idx="0">
                  <c:v>481.12</c:v>
                </c:pt>
                <c:pt idx="1">
                  <c:v>481.12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35-452A-ADE1-FD41B84D7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71248"/>
        <c:axId val="189271640"/>
      </c:scatterChart>
      <c:valAx>
        <c:axId val="189271248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1640"/>
        <c:crossesAt val="89"/>
        <c:crossBetween val="midCat"/>
        <c:majorUnit val="10"/>
        <c:minorUnit val="2"/>
      </c:valAx>
      <c:valAx>
        <c:axId val="189271640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124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VERGARA
Dibujó:           VERGARA.
Revisó:    
 Fecha:  2011-12-06
 IDEAM - Area Operativa No. 04</a:t>
            </a:r>
          </a:p>
        </c:rich>
      </c:tx>
      <c:layout>
        <c:manualLayout>
          <c:xMode val="edge"/>
          <c:yMode val="edge"/>
          <c:x val="0.62286391661092833"/>
          <c:y val="5.3791643742126742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2011-12-06'!$A$3:$A$25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1</c:v>
                </c:pt>
                <c:pt idx="6">
                  <c:v>2.4</c:v>
                </c:pt>
                <c:pt idx="7">
                  <c:v>4.5999999999999996</c:v>
                </c:pt>
                <c:pt idx="8">
                  <c:v>5.4</c:v>
                </c:pt>
                <c:pt idx="9">
                  <c:v>5.8</c:v>
                </c:pt>
                <c:pt idx="10">
                  <c:v>6.2</c:v>
                </c:pt>
                <c:pt idx="11">
                  <c:v>6.6</c:v>
                </c:pt>
                <c:pt idx="12">
                  <c:v>7</c:v>
                </c:pt>
                <c:pt idx="13">
                  <c:v>7.4</c:v>
                </c:pt>
                <c:pt idx="14">
                  <c:v>7.8</c:v>
                </c:pt>
                <c:pt idx="15">
                  <c:v>8.1999999999999993</c:v>
                </c:pt>
                <c:pt idx="16">
                  <c:v>8.6</c:v>
                </c:pt>
                <c:pt idx="17">
                  <c:v>9</c:v>
                </c:pt>
                <c:pt idx="18">
                  <c:v>9.4</c:v>
                </c:pt>
                <c:pt idx="19">
                  <c:v>9.8000000000000007</c:v>
                </c:pt>
                <c:pt idx="20">
                  <c:v>10</c:v>
                </c:pt>
                <c:pt idx="21">
                  <c:v>12</c:v>
                </c:pt>
                <c:pt idx="22">
                  <c:v>15</c:v>
                </c:pt>
              </c:numCache>
            </c:numRef>
          </c:xVal>
          <c:yVal>
            <c:numRef>
              <c:f>'Fecha 2011-12-06'!$B$3:$B$25</c:f>
              <c:numCache>
                <c:formatCode>0.000</c:formatCode>
                <c:ptCount val="23"/>
                <c:pt idx="0">
                  <c:v>480.17599999999999</c:v>
                </c:pt>
                <c:pt idx="1">
                  <c:v>479.32</c:v>
                </c:pt>
                <c:pt idx="2">
                  <c:v>480.34</c:v>
                </c:pt>
                <c:pt idx="3">
                  <c:v>480.3</c:v>
                </c:pt>
                <c:pt idx="4">
                  <c:v>480.25</c:v>
                </c:pt>
                <c:pt idx="5">
                  <c:v>479.5</c:v>
                </c:pt>
                <c:pt idx="6">
                  <c:v>478.99</c:v>
                </c:pt>
                <c:pt idx="7">
                  <c:v>478.82</c:v>
                </c:pt>
                <c:pt idx="8">
                  <c:v>478.72</c:v>
                </c:pt>
                <c:pt idx="9">
                  <c:v>478.67</c:v>
                </c:pt>
                <c:pt idx="10">
                  <c:v>478.6</c:v>
                </c:pt>
                <c:pt idx="11">
                  <c:v>478.59</c:v>
                </c:pt>
                <c:pt idx="12">
                  <c:v>478.62</c:v>
                </c:pt>
                <c:pt idx="13">
                  <c:v>478.62</c:v>
                </c:pt>
                <c:pt idx="14">
                  <c:v>478.52</c:v>
                </c:pt>
                <c:pt idx="15">
                  <c:v>478.52</c:v>
                </c:pt>
                <c:pt idx="16">
                  <c:v>478.54</c:v>
                </c:pt>
                <c:pt idx="17">
                  <c:v>478.52</c:v>
                </c:pt>
                <c:pt idx="18">
                  <c:v>478.59</c:v>
                </c:pt>
                <c:pt idx="19">
                  <c:v>478.7</c:v>
                </c:pt>
                <c:pt idx="20">
                  <c:v>478.82</c:v>
                </c:pt>
                <c:pt idx="21">
                  <c:v>479.07</c:v>
                </c:pt>
                <c:pt idx="22">
                  <c:v>480.22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A1-44DE-AD65-8A4FEFAA4EE4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2011-12-06'!$A$39:$A$40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'Fecha 2011-12-06'!$B$39:$B$40</c:f>
              <c:numCache>
                <c:formatCode>0.000</c:formatCode>
                <c:ptCount val="2"/>
                <c:pt idx="0">
                  <c:v>479.32400000000001</c:v>
                </c:pt>
                <c:pt idx="1">
                  <c:v>480.83600000000001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A1-44DE-AD65-8A4FEFAA4EE4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2011-12-06'!$A$37:$A$38</c:f>
              <c:numCache>
                <c:formatCode>0.00</c:formatCode>
                <c:ptCount val="2"/>
                <c:pt idx="0">
                  <c:v>3.8</c:v>
                </c:pt>
                <c:pt idx="1">
                  <c:v>3.8</c:v>
                </c:pt>
              </c:numCache>
            </c:numRef>
          </c:xVal>
          <c:yVal>
            <c:numRef>
              <c:f>'Fecha 2011-12-06'!$B$37:$B$38</c:f>
              <c:numCache>
                <c:formatCode>0.000</c:formatCode>
                <c:ptCount val="2"/>
                <c:pt idx="0">
                  <c:v>478.34100000000001</c:v>
                </c:pt>
                <c:pt idx="1">
                  <c:v>479.33499999999998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A1-44DE-AD65-8A4FEFAA4EE4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2011-12-06'!$A$35:$A$36</c:f>
              <c:numCache>
                <c:formatCode>0.00</c:formatCode>
                <c:ptCount val="2"/>
                <c:pt idx="0">
                  <c:v>4.5999999999999996</c:v>
                </c:pt>
                <c:pt idx="1">
                  <c:v>10</c:v>
                </c:pt>
              </c:numCache>
            </c:numRef>
          </c:xVal>
          <c:yVal>
            <c:numRef>
              <c:f>'Fecha 2011-12-06'!$B$35:$B$36</c:f>
              <c:numCache>
                <c:formatCode>0.000</c:formatCode>
                <c:ptCount val="2"/>
                <c:pt idx="0">
                  <c:v>478.82100000000003</c:v>
                </c:pt>
                <c:pt idx="1">
                  <c:v>478.82100000000003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A1-44DE-AD65-8A4FEFAA4EE4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2011-12-06'!$A$41:$A$42</c:f>
              <c:numCache>
                <c:formatCode>0.00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xVal>
          <c:yVal>
            <c:numRef>
              <c:f>'Fecha 2011-12-06'!$B$41:$B$42</c:f>
              <c:numCache>
                <c:formatCode>0.000</c:formatCode>
                <c:ptCount val="2"/>
                <c:pt idx="0">
                  <c:v>480.3</c:v>
                </c:pt>
                <c:pt idx="1">
                  <c:v>480.22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8A1-44DE-AD65-8A4FEFAA4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72424"/>
        <c:axId val="189272816"/>
      </c:scatterChart>
      <c:valAx>
        <c:axId val="189272424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2816"/>
        <c:crossesAt val="89"/>
        <c:crossBetween val="midCat"/>
        <c:majorUnit val="10"/>
        <c:minorUnit val="2"/>
      </c:valAx>
      <c:valAx>
        <c:axId val="189272816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242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VERGARA
Dibujó:           D.A.S.
Revisó:    
 Fecha:  2013-05-29
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2013-05-29'!$A$3:$A$25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</c:v>
                </c:pt>
                <c:pt idx="4">
                  <c:v>1.3</c:v>
                </c:pt>
                <c:pt idx="5">
                  <c:v>2.2999999999999998</c:v>
                </c:pt>
                <c:pt idx="6">
                  <c:v>3.3</c:v>
                </c:pt>
                <c:pt idx="7">
                  <c:v>4.3</c:v>
                </c:pt>
                <c:pt idx="8">
                  <c:v>5.3</c:v>
                </c:pt>
                <c:pt idx="9">
                  <c:v>6.3</c:v>
                </c:pt>
                <c:pt idx="10">
                  <c:v>7</c:v>
                </c:pt>
                <c:pt idx="11">
                  <c:v>7.7</c:v>
                </c:pt>
                <c:pt idx="12">
                  <c:v>8.4</c:v>
                </c:pt>
                <c:pt idx="13">
                  <c:v>9.1</c:v>
                </c:pt>
                <c:pt idx="14">
                  <c:v>9.8000000000000007</c:v>
                </c:pt>
                <c:pt idx="15">
                  <c:v>10.5</c:v>
                </c:pt>
                <c:pt idx="16">
                  <c:v>11.2</c:v>
                </c:pt>
                <c:pt idx="17">
                  <c:v>11.6</c:v>
                </c:pt>
                <c:pt idx="18">
                  <c:v>12.4</c:v>
                </c:pt>
                <c:pt idx="19">
                  <c:v>12.7</c:v>
                </c:pt>
                <c:pt idx="20">
                  <c:v>12.7</c:v>
                </c:pt>
                <c:pt idx="21">
                  <c:v>14.4</c:v>
                </c:pt>
                <c:pt idx="22">
                  <c:v>14.4</c:v>
                </c:pt>
              </c:numCache>
            </c:numRef>
          </c:xVal>
          <c:yVal>
            <c:numRef>
              <c:f>'Fecha 2013-05-29'!$B$3:$B$25</c:f>
              <c:numCache>
                <c:formatCode>0.000</c:formatCode>
                <c:ptCount val="23"/>
                <c:pt idx="0">
                  <c:v>479.28800000000001</c:v>
                </c:pt>
                <c:pt idx="1">
                  <c:v>479.26</c:v>
                </c:pt>
                <c:pt idx="2">
                  <c:v>480.05</c:v>
                </c:pt>
                <c:pt idx="3">
                  <c:v>479.45</c:v>
                </c:pt>
                <c:pt idx="4">
                  <c:v>479.17</c:v>
                </c:pt>
                <c:pt idx="5">
                  <c:v>478.91</c:v>
                </c:pt>
                <c:pt idx="6">
                  <c:v>478.81</c:v>
                </c:pt>
                <c:pt idx="7">
                  <c:v>478.76</c:v>
                </c:pt>
                <c:pt idx="8">
                  <c:v>478.74</c:v>
                </c:pt>
                <c:pt idx="9">
                  <c:v>478.7</c:v>
                </c:pt>
                <c:pt idx="10">
                  <c:v>478.69</c:v>
                </c:pt>
                <c:pt idx="11">
                  <c:v>478.67</c:v>
                </c:pt>
                <c:pt idx="12">
                  <c:v>478.67</c:v>
                </c:pt>
                <c:pt idx="13">
                  <c:v>478.61</c:v>
                </c:pt>
                <c:pt idx="14">
                  <c:v>478.61</c:v>
                </c:pt>
                <c:pt idx="15">
                  <c:v>478.56</c:v>
                </c:pt>
                <c:pt idx="16">
                  <c:v>478.64</c:v>
                </c:pt>
                <c:pt idx="17">
                  <c:v>478.91</c:v>
                </c:pt>
                <c:pt idx="18">
                  <c:v>479.22</c:v>
                </c:pt>
                <c:pt idx="19">
                  <c:v>479.16</c:v>
                </c:pt>
                <c:pt idx="20">
                  <c:v>479.94</c:v>
                </c:pt>
                <c:pt idx="21">
                  <c:v>479.94</c:v>
                </c:pt>
                <c:pt idx="22">
                  <c:v>479.29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4-464D-9AE8-1845396898F8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2013-05-29'!$A$39:$A$40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'Fecha 2013-05-29'!$B$39:$B$40</c:f>
              <c:numCache>
                <c:formatCode>0.000</c:formatCode>
                <c:ptCount val="2"/>
                <c:pt idx="0">
                  <c:v>479.32400000000001</c:v>
                </c:pt>
                <c:pt idx="1">
                  <c:v>480.83600000000001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4-464D-9AE8-1845396898F8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2013-05-29'!$A$37:$A$38</c:f>
              <c:numCache>
                <c:formatCode>0.00</c:formatCode>
                <c:ptCount val="2"/>
                <c:pt idx="0">
                  <c:v>3.2</c:v>
                </c:pt>
                <c:pt idx="1">
                  <c:v>3.2</c:v>
                </c:pt>
              </c:numCache>
            </c:numRef>
          </c:xVal>
          <c:yVal>
            <c:numRef>
              <c:f>'Fecha 2013-05-29'!$B$37:$B$38</c:f>
              <c:numCache>
                <c:formatCode>0.000</c:formatCode>
                <c:ptCount val="2"/>
                <c:pt idx="0">
                  <c:v>478.34100000000001</c:v>
                </c:pt>
                <c:pt idx="1">
                  <c:v>479.33499999999998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64-464D-9AE8-1845396898F8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2013-05-29'!$A$35:$A$36</c:f>
              <c:numCache>
                <c:formatCode>0.00</c:formatCode>
                <c:ptCount val="2"/>
                <c:pt idx="0">
                  <c:v>2.2999999999999998</c:v>
                </c:pt>
                <c:pt idx="1">
                  <c:v>11.6</c:v>
                </c:pt>
              </c:numCache>
            </c:numRef>
          </c:xVal>
          <c:yVal>
            <c:numRef>
              <c:f>'Fecha 2013-05-29'!$B$35:$B$36</c:f>
              <c:numCache>
                <c:formatCode>0.000</c:formatCode>
                <c:ptCount val="2"/>
                <c:pt idx="0">
                  <c:v>478.91</c:v>
                </c:pt>
                <c:pt idx="1">
                  <c:v>478.91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64-464D-9AE8-1845396898F8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2013-05-29'!$A$41:$A$42</c:f>
              <c:numCache>
                <c:formatCode>0.00</c:formatCode>
                <c:ptCount val="2"/>
                <c:pt idx="0">
                  <c:v>0</c:v>
                </c:pt>
                <c:pt idx="1">
                  <c:v>15</c:v>
                </c:pt>
              </c:numCache>
            </c:numRef>
          </c:xVal>
          <c:yVal>
            <c:numRef>
              <c:f>'Fecha 2013-05-29'!$B$41:$B$42</c:f>
              <c:numCache>
                <c:formatCode>0.000</c:formatCode>
                <c:ptCount val="2"/>
                <c:pt idx="0">
                  <c:v>480.3</c:v>
                </c:pt>
                <c:pt idx="1">
                  <c:v>480.22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64-464D-9AE8-184539689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73600"/>
        <c:axId val="189273992"/>
      </c:scatterChart>
      <c:valAx>
        <c:axId val="189273600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3992"/>
        <c:crossesAt val="89"/>
        <c:crossBetween val="midCat"/>
        <c:majorUnit val="10"/>
        <c:minorUnit val="2"/>
      </c:valAx>
      <c:valAx>
        <c:axId val="189273992"/>
        <c:scaling>
          <c:orientation val="minMax"/>
          <c:max val="481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360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PALACIOS
Dibujó:           PALACIOS
Revisó:    
 Fecha:  2013-10-01
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2013-10-01'!$A$3:$A$25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9.5</c:v>
                </c:pt>
                <c:pt idx="4">
                  <c:v>11</c:v>
                </c:pt>
                <c:pt idx="5">
                  <c:v>12.5</c:v>
                </c:pt>
                <c:pt idx="6">
                  <c:v>13</c:v>
                </c:pt>
                <c:pt idx="7">
                  <c:v>13.7</c:v>
                </c:pt>
                <c:pt idx="8">
                  <c:v>14.4</c:v>
                </c:pt>
                <c:pt idx="9">
                  <c:v>15.1</c:v>
                </c:pt>
                <c:pt idx="10">
                  <c:v>15.8</c:v>
                </c:pt>
                <c:pt idx="11">
                  <c:v>16.5</c:v>
                </c:pt>
                <c:pt idx="12">
                  <c:v>17.2</c:v>
                </c:pt>
                <c:pt idx="13">
                  <c:v>17.8</c:v>
                </c:pt>
                <c:pt idx="14">
                  <c:v>18.399999999999999</c:v>
                </c:pt>
                <c:pt idx="15">
                  <c:v>19</c:v>
                </c:pt>
                <c:pt idx="16">
                  <c:v>19.600000000000001</c:v>
                </c:pt>
                <c:pt idx="17">
                  <c:v>20.2</c:v>
                </c:pt>
                <c:pt idx="18">
                  <c:v>20.8</c:v>
                </c:pt>
                <c:pt idx="19">
                  <c:v>23.8</c:v>
                </c:pt>
                <c:pt idx="20">
                  <c:v>25.8</c:v>
                </c:pt>
                <c:pt idx="21">
                  <c:v>25.8</c:v>
                </c:pt>
              </c:numCache>
            </c:numRef>
          </c:xVal>
          <c:yVal>
            <c:numRef>
              <c:f>'Fecha 2013-10-01'!$B$3:$B$25</c:f>
              <c:numCache>
                <c:formatCode>0.000</c:formatCode>
                <c:ptCount val="23"/>
                <c:pt idx="0">
                  <c:v>480.16</c:v>
                </c:pt>
                <c:pt idx="1">
                  <c:v>480.11</c:v>
                </c:pt>
                <c:pt idx="2">
                  <c:v>480.17</c:v>
                </c:pt>
                <c:pt idx="3">
                  <c:v>480.39</c:v>
                </c:pt>
                <c:pt idx="4">
                  <c:v>479.25</c:v>
                </c:pt>
                <c:pt idx="5">
                  <c:v>478.89</c:v>
                </c:pt>
                <c:pt idx="6">
                  <c:v>478.71</c:v>
                </c:pt>
                <c:pt idx="7">
                  <c:v>478.69</c:v>
                </c:pt>
                <c:pt idx="8">
                  <c:v>478.68</c:v>
                </c:pt>
                <c:pt idx="9">
                  <c:v>478.73</c:v>
                </c:pt>
                <c:pt idx="10">
                  <c:v>478.75</c:v>
                </c:pt>
                <c:pt idx="11">
                  <c:v>478.65</c:v>
                </c:pt>
                <c:pt idx="12">
                  <c:v>478.73</c:v>
                </c:pt>
                <c:pt idx="13">
                  <c:v>478.52</c:v>
                </c:pt>
                <c:pt idx="14">
                  <c:v>478.5</c:v>
                </c:pt>
                <c:pt idx="15">
                  <c:v>478.51</c:v>
                </c:pt>
                <c:pt idx="16">
                  <c:v>478.74</c:v>
                </c:pt>
                <c:pt idx="17">
                  <c:v>478.76</c:v>
                </c:pt>
                <c:pt idx="18">
                  <c:v>478.89</c:v>
                </c:pt>
                <c:pt idx="19">
                  <c:v>479.49</c:v>
                </c:pt>
                <c:pt idx="20">
                  <c:v>480.09</c:v>
                </c:pt>
                <c:pt idx="21">
                  <c:v>481.59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32-4496-8535-ACD34A794C0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2013-10-01'!$A$39:$A$40</c:f>
              <c:numCache>
                <c:formatCode>0.00</c:formatCode>
                <c:ptCount val="2"/>
                <c:pt idx="0">
                  <c:v>21.5</c:v>
                </c:pt>
                <c:pt idx="1">
                  <c:v>21.5</c:v>
                </c:pt>
              </c:numCache>
            </c:numRef>
          </c:xVal>
          <c:yVal>
            <c:numRef>
              <c:f>'Fecha 2013-10-01'!$B$39:$B$40</c:f>
              <c:numCache>
                <c:formatCode>0.000</c:formatCode>
                <c:ptCount val="2"/>
                <c:pt idx="0">
                  <c:v>479.30900000000003</c:v>
                </c:pt>
                <c:pt idx="1">
                  <c:v>480.80900000000003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32-4496-8535-ACD34A794C0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2013-10-01'!$A$37:$A$38</c:f>
              <c:numCache>
                <c:formatCode>0.00</c:formatCode>
                <c:ptCount val="2"/>
                <c:pt idx="0">
                  <c:v>20.8</c:v>
                </c:pt>
                <c:pt idx="1">
                  <c:v>20.8</c:v>
                </c:pt>
              </c:numCache>
            </c:numRef>
          </c:xVal>
          <c:yVal>
            <c:numRef>
              <c:f>'Fecha 2013-10-01'!$B$37:$B$38</c:f>
              <c:numCache>
                <c:formatCode>0.000</c:formatCode>
                <c:ptCount val="2"/>
                <c:pt idx="0">
                  <c:v>478.32</c:v>
                </c:pt>
                <c:pt idx="1">
                  <c:v>480.32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32-4496-8535-ACD34A794C0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2013-10-01'!$A$35:$A$36</c:f>
              <c:numCache>
                <c:formatCode>0.00</c:formatCode>
                <c:ptCount val="2"/>
                <c:pt idx="0">
                  <c:v>12.5</c:v>
                </c:pt>
                <c:pt idx="1">
                  <c:v>20.8</c:v>
                </c:pt>
              </c:numCache>
            </c:numRef>
          </c:xVal>
          <c:yVal>
            <c:numRef>
              <c:f>'Fecha 2013-10-01'!$B$35:$B$36</c:f>
              <c:numCache>
                <c:formatCode>0.000</c:formatCode>
                <c:ptCount val="2"/>
                <c:pt idx="0">
                  <c:v>478.89</c:v>
                </c:pt>
                <c:pt idx="1">
                  <c:v>478.89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32-4496-8535-ACD34A794C0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2013-10-01'!$A$41:$A$42</c:f>
              <c:numCache>
                <c:formatCode>0.00</c:formatCode>
                <c:ptCount val="2"/>
                <c:pt idx="0">
                  <c:v>0</c:v>
                </c:pt>
                <c:pt idx="1">
                  <c:v>25.8</c:v>
                </c:pt>
              </c:numCache>
            </c:numRef>
          </c:xVal>
          <c:yVal>
            <c:numRef>
              <c:f>'Fecha 2013-10-01'!$B$41:$B$42</c:f>
              <c:numCache>
                <c:formatCode>0.000</c:formatCode>
                <c:ptCount val="2"/>
                <c:pt idx="0">
                  <c:v>480.11</c:v>
                </c:pt>
                <c:pt idx="1">
                  <c:v>481.59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32-4496-8535-ACD34A794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74776"/>
        <c:axId val="189275168"/>
      </c:scatterChart>
      <c:valAx>
        <c:axId val="189274776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5168"/>
        <c:crossesAt val="89"/>
        <c:crossBetween val="midCat"/>
        <c:majorUnit val="10"/>
        <c:minorUnit val="2"/>
      </c:valAx>
      <c:valAx>
        <c:axId val="189275168"/>
        <c:scaling>
          <c:orientation val="minMax"/>
          <c:max val="482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8927477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E</a:t>
            </a:r>
            <a:r>
              <a:rPr lang="es-CO" baseline="0"/>
              <a:t> TAMAYO</a:t>
            </a:r>
            <a:r>
              <a:rPr lang="es-CO"/>
              <a:t>
Dibujó:           J</a:t>
            </a:r>
            <a:r>
              <a:rPr lang="es-CO" baseline="0"/>
              <a:t> OCAMPO</a:t>
            </a:r>
            <a:r>
              <a:rPr lang="es-CO"/>
              <a:t>
Revisó:    
 Fecha:  2014-06-25
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9529032213023771E-2"/>
          <c:y val="3.092786964833643E-2"/>
          <c:w val="0.94785572987399547"/>
          <c:h val="0.90721750968453529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2014-06-25'!$A$3:$A$28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</c:v>
                </c:pt>
                <c:pt idx="5">
                  <c:v>3</c:v>
                </c:pt>
                <c:pt idx="6">
                  <c:v>4.4000000000000004</c:v>
                </c:pt>
                <c:pt idx="7">
                  <c:v>5.4</c:v>
                </c:pt>
                <c:pt idx="8">
                  <c:v>5.9</c:v>
                </c:pt>
                <c:pt idx="9">
                  <c:v>6.4</c:v>
                </c:pt>
                <c:pt idx="10">
                  <c:v>7.1</c:v>
                </c:pt>
                <c:pt idx="11">
                  <c:v>7.8</c:v>
                </c:pt>
                <c:pt idx="12">
                  <c:v>8.1999999999999993</c:v>
                </c:pt>
                <c:pt idx="13">
                  <c:v>8.9</c:v>
                </c:pt>
                <c:pt idx="14">
                  <c:v>9.6</c:v>
                </c:pt>
                <c:pt idx="15">
                  <c:v>10.3</c:v>
                </c:pt>
                <c:pt idx="16">
                  <c:v>11</c:v>
                </c:pt>
                <c:pt idx="17">
                  <c:v>11.7</c:v>
                </c:pt>
                <c:pt idx="18">
                  <c:v>12.4</c:v>
                </c:pt>
                <c:pt idx="19">
                  <c:v>13.1</c:v>
                </c:pt>
                <c:pt idx="20">
                  <c:v>13.8</c:v>
                </c:pt>
                <c:pt idx="21">
                  <c:v>14.4</c:v>
                </c:pt>
                <c:pt idx="22">
                  <c:v>15.8</c:v>
                </c:pt>
                <c:pt idx="23">
                  <c:v>15.8</c:v>
                </c:pt>
                <c:pt idx="24">
                  <c:v>16.8</c:v>
                </c:pt>
                <c:pt idx="25">
                  <c:v>18.8</c:v>
                </c:pt>
              </c:numCache>
            </c:numRef>
          </c:xVal>
          <c:yVal>
            <c:numRef>
              <c:f>'Fecha 2014-06-25'!$B$3:$B$28</c:f>
              <c:numCache>
                <c:formatCode>0.000</c:formatCode>
                <c:ptCount val="26"/>
                <c:pt idx="0">
                  <c:v>480.02</c:v>
                </c:pt>
                <c:pt idx="1">
                  <c:v>479.34</c:v>
                </c:pt>
                <c:pt idx="2">
                  <c:v>479.35</c:v>
                </c:pt>
                <c:pt idx="3">
                  <c:v>480.03</c:v>
                </c:pt>
                <c:pt idx="4">
                  <c:v>479.05</c:v>
                </c:pt>
                <c:pt idx="5">
                  <c:v>479.07</c:v>
                </c:pt>
                <c:pt idx="6">
                  <c:v>478.66</c:v>
                </c:pt>
                <c:pt idx="7">
                  <c:v>478.51</c:v>
                </c:pt>
                <c:pt idx="8">
                  <c:v>478.43</c:v>
                </c:pt>
                <c:pt idx="9">
                  <c:v>478.48</c:v>
                </c:pt>
                <c:pt idx="10">
                  <c:v>478.43</c:v>
                </c:pt>
                <c:pt idx="11">
                  <c:v>478.36</c:v>
                </c:pt>
                <c:pt idx="12">
                  <c:v>478.34</c:v>
                </c:pt>
                <c:pt idx="13">
                  <c:v>478.47</c:v>
                </c:pt>
                <c:pt idx="14">
                  <c:v>478.41</c:v>
                </c:pt>
                <c:pt idx="15">
                  <c:v>478.41</c:v>
                </c:pt>
                <c:pt idx="16">
                  <c:v>478.45</c:v>
                </c:pt>
                <c:pt idx="17">
                  <c:v>478.41</c:v>
                </c:pt>
                <c:pt idx="18">
                  <c:v>478.46</c:v>
                </c:pt>
                <c:pt idx="19">
                  <c:v>478.46</c:v>
                </c:pt>
                <c:pt idx="20">
                  <c:v>478.47</c:v>
                </c:pt>
                <c:pt idx="21">
                  <c:v>478.66</c:v>
                </c:pt>
                <c:pt idx="22">
                  <c:v>479.17</c:v>
                </c:pt>
                <c:pt idx="23">
                  <c:v>479.45</c:v>
                </c:pt>
                <c:pt idx="24">
                  <c:v>480.08</c:v>
                </c:pt>
                <c:pt idx="25">
                  <c:v>480.16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F-4A1B-A082-C0233992661F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2014-06-25'!$A$39:$A$40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'Fecha 2014-06-25'!$B$39:$B$40</c:f>
              <c:numCache>
                <c:formatCode>0.000</c:formatCode>
                <c:ptCount val="2"/>
                <c:pt idx="0">
                  <c:v>479.32</c:v>
                </c:pt>
                <c:pt idx="1">
                  <c:v>480.80900000000003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6F-4A1B-A082-C0233992661F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2014-06-25'!$A$37:$A$38</c:f>
              <c:numCache>
                <c:formatCode>0.00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xVal>
          <c:yVal>
            <c:numRef>
              <c:f>'Fecha 2014-06-25'!$B$37:$B$38</c:f>
              <c:numCache>
                <c:formatCode>0.000</c:formatCode>
                <c:ptCount val="2"/>
                <c:pt idx="0">
                  <c:v>478.33</c:v>
                </c:pt>
                <c:pt idx="1">
                  <c:v>480.33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6F-4A1B-A082-C0233992661F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2014-06-25'!$A$35:$A$36</c:f>
              <c:numCache>
                <c:formatCode>0.00</c:formatCode>
                <c:ptCount val="2"/>
                <c:pt idx="0">
                  <c:v>4.4000000000000004</c:v>
                </c:pt>
                <c:pt idx="1">
                  <c:v>14.4</c:v>
                </c:pt>
              </c:numCache>
            </c:numRef>
          </c:xVal>
          <c:yVal>
            <c:numRef>
              <c:f>'Fecha 2014-06-25'!$B$35:$B$36</c:f>
              <c:numCache>
                <c:formatCode>0.000</c:formatCode>
                <c:ptCount val="2"/>
                <c:pt idx="0">
                  <c:v>478.66</c:v>
                </c:pt>
                <c:pt idx="1">
                  <c:v>478.66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6F-4A1B-A082-C0233992661F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2014-06-25'!$A$41:$A$42</c:f>
              <c:numCache>
                <c:formatCode>0.00</c:formatCode>
                <c:ptCount val="2"/>
                <c:pt idx="0">
                  <c:v>0</c:v>
                </c:pt>
                <c:pt idx="1">
                  <c:v>18.8</c:v>
                </c:pt>
              </c:numCache>
            </c:numRef>
          </c:xVal>
          <c:yVal>
            <c:numRef>
              <c:f>'Fecha 2014-06-25'!$B$41:$B$42</c:f>
              <c:numCache>
                <c:formatCode>0.000</c:formatCode>
                <c:ptCount val="2"/>
                <c:pt idx="0">
                  <c:v>480.03</c:v>
                </c:pt>
                <c:pt idx="1">
                  <c:v>480.16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6F-4A1B-A082-C02339926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85432"/>
        <c:axId val="191485824"/>
      </c:scatterChart>
      <c:valAx>
        <c:axId val="191485432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5824"/>
        <c:crossesAt val="89"/>
        <c:crossBetween val="midCat"/>
        <c:majorUnit val="10"/>
        <c:minorUnit val="2"/>
      </c:valAx>
      <c:valAx>
        <c:axId val="191485824"/>
        <c:scaling>
          <c:orientation val="minMax"/>
          <c:max val="482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543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JIMENEZ T
Dibujó:           D.A.S.
Revisó:    
 Fecha:  2014-11-22
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3.9529032213023771E-2"/>
          <c:y val="3.092786964833643E-2"/>
          <c:w val="0.94785572987399547"/>
          <c:h val="0.90721750968453529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2014-11-22'!$A$3:$A$28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3.7</c:v>
                </c:pt>
                <c:pt idx="6">
                  <c:v>4.3</c:v>
                </c:pt>
                <c:pt idx="7">
                  <c:v>4.8</c:v>
                </c:pt>
                <c:pt idx="8">
                  <c:v>5.3</c:v>
                </c:pt>
                <c:pt idx="9">
                  <c:v>5.8</c:v>
                </c:pt>
                <c:pt idx="10">
                  <c:v>6.3</c:v>
                </c:pt>
                <c:pt idx="11">
                  <c:v>6.8</c:v>
                </c:pt>
                <c:pt idx="12">
                  <c:v>7.3</c:v>
                </c:pt>
                <c:pt idx="13">
                  <c:v>7.8</c:v>
                </c:pt>
                <c:pt idx="14">
                  <c:v>8.3000000000000007</c:v>
                </c:pt>
                <c:pt idx="15">
                  <c:v>8.8000000000000007</c:v>
                </c:pt>
                <c:pt idx="16">
                  <c:v>9.3000000000000007</c:v>
                </c:pt>
                <c:pt idx="17">
                  <c:v>9.8000000000000007</c:v>
                </c:pt>
                <c:pt idx="18">
                  <c:v>10.8</c:v>
                </c:pt>
                <c:pt idx="19">
                  <c:v>10.8</c:v>
                </c:pt>
                <c:pt idx="20">
                  <c:v>12.3</c:v>
                </c:pt>
                <c:pt idx="21">
                  <c:v>12.3</c:v>
                </c:pt>
                <c:pt idx="22">
                  <c:v>12.3</c:v>
                </c:pt>
              </c:numCache>
            </c:numRef>
          </c:xVal>
          <c:yVal>
            <c:numRef>
              <c:f>'Fecha 2014-11-22'!$B$3:$B$28</c:f>
              <c:numCache>
                <c:formatCode>0.000</c:formatCode>
                <c:ptCount val="26"/>
                <c:pt idx="0">
                  <c:v>480.02</c:v>
                </c:pt>
                <c:pt idx="1">
                  <c:v>480.88</c:v>
                </c:pt>
                <c:pt idx="2">
                  <c:v>480.4</c:v>
                </c:pt>
                <c:pt idx="3">
                  <c:v>479.82</c:v>
                </c:pt>
                <c:pt idx="4">
                  <c:v>479.54</c:v>
                </c:pt>
                <c:pt idx="5">
                  <c:v>479.38</c:v>
                </c:pt>
                <c:pt idx="6">
                  <c:v>479.36</c:v>
                </c:pt>
                <c:pt idx="7">
                  <c:v>479.34</c:v>
                </c:pt>
                <c:pt idx="8">
                  <c:v>479.37</c:v>
                </c:pt>
                <c:pt idx="9">
                  <c:v>479.35</c:v>
                </c:pt>
                <c:pt idx="10">
                  <c:v>479.33</c:v>
                </c:pt>
                <c:pt idx="11">
                  <c:v>479.34</c:v>
                </c:pt>
                <c:pt idx="12">
                  <c:v>479.29</c:v>
                </c:pt>
                <c:pt idx="13">
                  <c:v>479.28</c:v>
                </c:pt>
                <c:pt idx="14">
                  <c:v>479.3</c:v>
                </c:pt>
                <c:pt idx="15">
                  <c:v>479.31</c:v>
                </c:pt>
                <c:pt idx="16">
                  <c:v>479.28</c:v>
                </c:pt>
                <c:pt idx="17">
                  <c:v>479.4</c:v>
                </c:pt>
                <c:pt idx="18">
                  <c:v>479.54</c:v>
                </c:pt>
                <c:pt idx="19">
                  <c:v>479.54</c:v>
                </c:pt>
                <c:pt idx="20">
                  <c:v>479.75</c:v>
                </c:pt>
                <c:pt idx="21">
                  <c:v>480.66</c:v>
                </c:pt>
                <c:pt idx="22">
                  <c:v>479.99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2-460C-9C72-D0A6E1CF69A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2014-11-22'!$A$39:$A$40</c:f>
              <c:numCache>
                <c:formatCode>0.00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'Fecha 2014-11-22'!$B$39:$B$40</c:f>
              <c:numCache>
                <c:formatCode>0.000</c:formatCode>
                <c:ptCount val="2"/>
                <c:pt idx="0">
                  <c:v>479.32</c:v>
                </c:pt>
                <c:pt idx="1">
                  <c:v>480.80900000000003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A2-460C-9C72-D0A6E1CF69A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2014-11-22'!$A$37:$A$38</c:f>
              <c:numCache>
                <c:formatCode>0.00</c:formatCode>
                <c:ptCount val="2"/>
                <c:pt idx="0">
                  <c:v>4.4000000000000004</c:v>
                </c:pt>
                <c:pt idx="1">
                  <c:v>4.4000000000000004</c:v>
                </c:pt>
              </c:numCache>
            </c:numRef>
          </c:xVal>
          <c:yVal>
            <c:numRef>
              <c:f>'Fecha 2014-11-22'!$B$37:$B$38</c:f>
              <c:numCache>
                <c:formatCode>0.000</c:formatCode>
                <c:ptCount val="2"/>
                <c:pt idx="0">
                  <c:v>479.02600000000001</c:v>
                </c:pt>
                <c:pt idx="1">
                  <c:v>480.33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A2-460C-9C72-D0A6E1CF69A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2014-11-22'!$A$35:$A$36</c:f>
              <c:numCache>
                <c:formatCode>0.00</c:formatCode>
                <c:ptCount val="2"/>
                <c:pt idx="0">
                  <c:v>3</c:v>
                </c:pt>
                <c:pt idx="1">
                  <c:v>10.8</c:v>
                </c:pt>
              </c:numCache>
            </c:numRef>
          </c:xVal>
          <c:yVal>
            <c:numRef>
              <c:f>'Fecha 2014-11-22'!$B$35:$B$36</c:f>
              <c:numCache>
                <c:formatCode>0.000</c:formatCode>
                <c:ptCount val="2"/>
                <c:pt idx="0">
                  <c:v>479.54</c:v>
                </c:pt>
                <c:pt idx="1">
                  <c:v>479.54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A2-460C-9C72-D0A6E1CF69A3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2014-11-22'!$A$41:$A$42</c:f>
              <c:numCache>
                <c:formatCode>0.00</c:formatCode>
                <c:ptCount val="2"/>
                <c:pt idx="0">
                  <c:v>0</c:v>
                </c:pt>
                <c:pt idx="1">
                  <c:v>18.8</c:v>
                </c:pt>
              </c:numCache>
            </c:numRef>
          </c:xVal>
          <c:yVal>
            <c:numRef>
              <c:f>'Fecha 2014-11-22'!$B$41:$B$42</c:f>
              <c:numCache>
                <c:formatCode>0.000</c:formatCode>
                <c:ptCount val="2"/>
                <c:pt idx="0">
                  <c:v>480.03</c:v>
                </c:pt>
                <c:pt idx="1">
                  <c:v>480.16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A2-460C-9C72-D0A6E1CF6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86608"/>
        <c:axId val="191487000"/>
      </c:scatterChart>
      <c:valAx>
        <c:axId val="191486608"/>
        <c:scaling>
          <c:orientation val="minMax"/>
          <c:max val="1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7000"/>
        <c:crossesAt val="89"/>
        <c:crossBetween val="midCat"/>
        <c:majorUnit val="10"/>
        <c:minorUnit val="2"/>
      </c:valAx>
      <c:valAx>
        <c:axId val="191487000"/>
        <c:scaling>
          <c:orientation val="minMax"/>
          <c:max val="482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660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OCAMPO
Dibujó:           D.A.S.
Revisó:    
 Fecha:       2015-05-12
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7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2015-05-12'!$A$3:$A$34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2.7</c:v>
                </c:pt>
                <c:pt idx="5">
                  <c:v>3</c:v>
                </c:pt>
                <c:pt idx="6">
                  <c:v>3.3</c:v>
                </c:pt>
                <c:pt idx="7">
                  <c:v>3.6</c:v>
                </c:pt>
                <c:pt idx="8">
                  <c:v>3.9</c:v>
                </c:pt>
                <c:pt idx="9">
                  <c:v>4.2</c:v>
                </c:pt>
                <c:pt idx="10">
                  <c:v>4.5</c:v>
                </c:pt>
                <c:pt idx="11">
                  <c:v>4.8</c:v>
                </c:pt>
                <c:pt idx="12">
                  <c:v>5.0999999999999996</c:v>
                </c:pt>
                <c:pt idx="13">
                  <c:v>5.4</c:v>
                </c:pt>
                <c:pt idx="14">
                  <c:v>5.7</c:v>
                </c:pt>
                <c:pt idx="15">
                  <c:v>6</c:v>
                </c:pt>
                <c:pt idx="16">
                  <c:v>6.3</c:v>
                </c:pt>
                <c:pt idx="17">
                  <c:v>6.6</c:v>
                </c:pt>
                <c:pt idx="18">
                  <c:v>6.9</c:v>
                </c:pt>
                <c:pt idx="19">
                  <c:v>7.2</c:v>
                </c:pt>
                <c:pt idx="20">
                  <c:v>7.5</c:v>
                </c:pt>
                <c:pt idx="21">
                  <c:v>7.8</c:v>
                </c:pt>
                <c:pt idx="22">
                  <c:v>8.1</c:v>
                </c:pt>
                <c:pt idx="23">
                  <c:v>8.1</c:v>
                </c:pt>
                <c:pt idx="24">
                  <c:v>9.1</c:v>
                </c:pt>
                <c:pt idx="25">
                  <c:v>9.1</c:v>
                </c:pt>
                <c:pt idx="26">
                  <c:v>10.7</c:v>
                </c:pt>
              </c:numCache>
            </c:numRef>
          </c:xVal>
          <c:yVal>
            <c:numRef>
              <c:f>'Fecha 2015-05-12'!$B$3:$B$34</c:f>
              <c:numCache>
                <c:formatCode>0.000</c:formatCode>
                <c:ptCount val="32"/>
                <c:pt idx="0">
                  <c:v>479.26</c:v>
                </c:pt>
                <c:pt idx="1">
                  <c:v>480.08</c:v>
                </c:pt>
                <c:pt idx="2">
                  <c:v>479.41</c:v>
                </c:pt>
                <c:pt idx="3">
                  <c:v>479.14</c:v>
                </c:pt>
                <c:pt idx="4">
                  <c:v>478.85</c:v>
                </c:pt>
                <c:pt idx="5">
                  <c:v>478.64</c:v>
                </c:pt>
                <c:pt idx="6">
                  <c:v>478.59</c:v>
                </c:pt>
                <c:pt idx="7">
                  <c:v>478.51</c:v>
                </c:pt>
                <c:pt idx="8">
                  <c:v>478.46</c:v>
                </c:pt>
                <c:pt idx="9">
                  <c:v>478.39</c:v>
                </c:pt>
                <c:pt idx="10">
                  <c:v>478.36</c:v>
                </c:pt>
                <c:pt idx="11">
                  <c:v>478.3</c:v>
                </c:pt>
                <c:pt idx="12">
                  <c:v>478.31</c:v>
                </c:pt>
                <c:pt idx="13">
                  <c:v>478.3</c:v>
                </c:pt>
                <c:pt idx="14">
                  <c:v>478.37</c:v>
                </c:pt>
                <c:pt idx="15">
                  <c:v>478.42</c:v>
                </c:pt>
                <c:pt idx="16">
                  <c:v>478.41</c:v>
                </c:pt>
                <c:pt idx="17">
                  <c:v>478.4</c:v>
                </c:pt>
                <c:pt idx="18">
                  <c:v>478.43</c:v>
                </c:pt>
                <c:pt idx="19">
                  <c:v>478.44</c:v>
                </c:pt>
                <c:pt idx="20">
                  <c:v>478.47</c:v>
                </c:pt>
                <c:pt idx="21">
                  <c:v>478.54</c:v>
                </c:pt>
                <c:pt idx="22">
                  <c:v>478.55</c:v>
                </c:pt>
                <c:pt idx="23">
                  <c:v>478.85</c:v>
                </c:pt>
                <c:pt idx="24">
                  <c:v>479</c:v>
                </c:pt>
                <c:pt idx="25">
                  <c:v>479.93</c:v>
                </c:pt>
                <c:pt idx="26">
                  <c:v>479.92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9-474F-935D-6C1E23C5DE46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2015-05-12'!$A$39:$A$40</c:f>
              <c:numCache>
                <c:formatCode>0.00</c:formatCode>
                <c:ptCount val="2"/>
                <c:pt idx="0">
                  <c:v>5.5</c:v>
                </c:pt>
                <c:pt idx="1">
                  <c:v>5.5</c:v>
                </c:pt>
              </c:numCache>
            </c:numRef>
          </c:xVal>
          <c:yVal>
            <c:numRef>
              <c:f>'Fecha 2015-05-12'!$B$39:$B$40</c:f>
              <c:numCache>
                <c:formatCode>0.000</c:formatCode>
                <c:ptCount val="2"/>
                <c:pt idx="0">
                  <c:v>479.32</c:v>
                </c:pt>
                <c:pt idx="1">
                  <c:v>480.80900000000003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9-474F-935D-6C1E23C5DE46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2015-05-12'!$A$37:$A$38</c:f>
              <c:numCache>
                <c:formatCode>0.00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'Fecha 2015-05-12'!$B$37:$B$38</c:f>
              <c:numCache>
                <c:formatCode>0.000</c:formatCode>
                <c:ptCount val="2"/>
                <c:pt idx="0">
                  <c:v>478.31200000000001</c:v>
                </c:pt>
                <c:pt idx="1">
                  <c:v>480.33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9-474F-935D-6C1E23C5DE46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2015-05-12'!$A$35:$A$36</c:f>
              <c:numCache>
                <c:formatCode>0.00</c:formatCode>
                <c:ptCount val="2"/>
                <c:pt idx="0">
                  <c:v>2.7</c:v>
                </c:pt>
                <c:pt idx="1">
                  <c:v>8.1</c:v>
                </c:pt>
              </c:numCache>
            </c:numRef>
          </c:xVal>
          <c:yVal>
            <c:numRef>
              <c:f>'Fecha 2015-05-12'!$B$35:$B$36</c:f>
              <c:numCache>
                <c:formatCode>0.000</c:formatCode>
                <c:ptCount val="2"/>
                <c:pt idx="0">
                  <c:v>478.85</c:v>
                </c:pt>
                <c:pt idx="1">
                  <c:v>478.85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A9-474F-935D-6C1E23C5DE46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2015-05-12'!$A$41:$A$42</c:f>
              <c:numCache>
                <c:formatCode>0.00</c:formatCode>
                <c:ptCount val="2"/>
                <c:pt idx="0">
                  <c:v>0</c:v>
                </c:pt>
                <c:pt idx="1">
                  <c:v>18.100000000000001</c:v>
                </c:pt>
              </c:numCache>
            </c:numRef>
          </c:xVal>
          <c:yVal>
            <c:numRef>
              <c:f>'Fecha 2015-05-12'!$B$41:$B$42</c:f>
              <c:numCache>
                <c:formatCode>0.000</c:formatCode>
                <c:ptCount val="2"/>
                <c:pt idx="0">
                  <c:v>480.36</c:v>
                </c:pt>
                <c:pt idx="1">
                  <c:v>480.13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A9-474F-935D-6C1E23C5D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87784"/>
        <c:axId val="191488176"/>
      </c:scatterChart>
      <c:valAx>
        <c:axId val="191487784"/>
        <c:scaling>
          <c:orientation val="minMax"/>
          <c:max val="1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8176"/>
        <c:crossesAt val="89"/>
        <c:crossBetween val="midCat"/>
        <c:majorUnit val="10"/>
        <c:minorUnit val="2"/>
      </c:valAx>
      <c:valAx>
        <c:axId val="191488176"/>
        <c:scaling>
          <c:orientation val="minMax"/>
          <c:max val="482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778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GUEVARA</a:t>
            </a:r>
            <a:r>
              <a:rPr lang="es-CO" baseline="0"/>
              <a:t> C.</a:t>
            </a:r>
            <a:r>
              <a:rPr lang="es-CO"/>
              <a:t>
Dibujó:          </a:t>
            </a:r>
            <a:r>
              <a:rPr lang="es-CO" sz="1200" b="1" i="0" u="none" strike="noStrike" baseline="0">
                <a:effectLst/>
              </a:rPr>
              <a:t>GUEVARA C.</a:t>
            </a:r>
            <a:r>
              <a:rPr lang="es-CO"/>
              <a:t>
Revisó:    
 Fecha:       2015-11-16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7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2015-11-16'!$A$3:$A$34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3.1</c:v>
                </c:pt>
                <c:pt idx="4">
                  <c:v>3.3</c:v>
                </c:pt>
                <c:pt idx="5">
                  <c:v>3.3</c:v>
                </c:pt>
                <c:pt idx="6">
                  <c:v>4.3</c:v>
                </c:pt>
                <c:pt idx="7">
                  <c:v>6</c:v>
                </c:pt>
                <c:pt idx="8">
                  <c:v>7.8</c:v>
                </c:pt>
                <c:pt idx="9">
                  <c:v>8.1</c:v>
                </c:pt>
                <c:pt idx="10">
                  <c:v>8.4</c:v>
                </c:pt>
                <c:pt idx="11">
                  <c:v>8.6999999999999993</c:v>
                </c:pt>
                <c:pt idx="12">
                  <c:v>9</c:v>
                </c:pt>
                <c:pt idx="13">
                  <c:v>9.3000000000000007</c:v>
                </c:pt>
                <c:pt idx="14">
                  <c:v>9.6</c:v>
                </c:pt>
                <c:pt idx="15">
                  <c:v>9.9</c:v>
                </c:pt>
                <c:pt idx="16">
                  <c:v>10.199999999999999</c:v>
                </c:pt>
                <c:pt idx="17">
                  <c:v>10.5</c:v>
                </c:pt>
                <c:pt idx="18">
                  <c:v>10.8</c:v>
                </c:pt>
                <c:pt idx="19">
                  <c:v>11.1</c:v>
                </c:pt>
                <c:pt idx="20">
                  <c:v>11.4</c:v>
                </c:pt>
                <c:pt idx="21">
                  <c:v>11.7</c:v>
                </c:pt>
                <c:pt idx="22">
                  <c:v>12</c:v>
                </c:pt>
                <c:pt idx="23">
                  <c:v>12.3</c:v>
                </c:pt>
                <c:pt idx="24">
                  <c:v>12.6</c:v>
                </c:pt>
                <c:pt idx="25">
                  <c:v>12.9</c:v>
                </c:pt>
                <c:pt idx="26">
                  <c:v>13.7</c:v>
                </c:pt>
                <c:pt idx="27">
                  <c:v>14.7</c:v>
                </c:pt>
                <c:pt idx="28">
                  <c:v>16.399999999999999</c:v>
                </c:pt>
                <c:pt idx="29">
                  <c:v>18.100000000000001</c:v>
                </c:pt>
              </c:numCache>
            </c:numRef>
          </c:xVal>
          <c:yVal>
            <c:numRef>
              <c:f>'Fecha 2015-11-16'!$B$3:$B$34</c:f>
              <c:numCache>
                <c:formatCode>0.000</c:formatCode>
                <c:ptCount val="32"/>
                <c:pt idx="0">
                  <c:v>479.32</c:v>
                </c:pt>
                <c:pt idx="1">
                  <c:v>480.36</c:v>
                </c:pt>
                <c:pt idx="2">
                  <c:v>480.58</c:v>
                </c:pt>
                <c:pt idx="3">
                  <c:v>480.19</c:v>
                </c:pt>
                <c:pt idx="4">
                  <c:v>480.05</c:v>
                </c:pt>
                <c:pt idx="5">
                  <c:v>479.74</c:v>
                </c:pt>
                <c:pt idx="6">
                  <c:v>479.21</c:v>
                </c:pt>
                <c:pt idx="7">
                  <c:v>478.87</c:v>
                </c:pt>
                <c:pt idx="8">
                  <c:v>478.73</c:v>
                </c:pt>
                <c:pt idx="9">
                  <c:v>478.67</c:v>
                </c:pt>
                <c:pt idx="10">
                  <c:v>478.62</c:v>
                </c:pt>
                <c:pt idx="11">
                  <c:v>478.57</c:v>
                </c:pt>
                <c:pt idx="12">
                  <c:v>478.39</c:v>
                </c:pt>
                <c:pt idx="13">
                  <c:v>478.33</c:v>
                </c:pt>
                <c:pt idx="14">
                  <c:v>478.31</c:v>
                </c:pt>
                <c:pt idx="15">
                  <c:v>478.54</c:v>
                </c:pt>
                <c:pt idx="16">
                  <c:v>478.36</c:v>
                </c:pt>
                <c:pt idx="17">
                  <c:v>478.48</c:v>
                </c:pt>
                <c:pt idx="18">
                  <c:v>478.41</c:v>
                </c:pt>
                <c:pt idx="19">
                  <c:v>478.43</c:v>
                </c:pt>
                <c:pt idx="20">
                  <c:v>478.44</c:v>
                </c:pt>
                <c:pt idx="21">
                  <c:v>478.48</c:v>
                </c:pt>
                <c:pt idx="22">
                  <c:v>478.5</c:v>
                </c:pt>
                <c:pt idx="23">
                  <c:v>478.53</c:v>
                </c:pt>
                <c:pt idx="24">
                  <c:v>478.56</c:v>
                </c:pt>
                <c:pt idx="25">
                  <c:v>478.66</c:v>
                </c:pt>
                <c:pt idx="26">
                  <c:v>478.87</c:v>
                </c:pt>
                <c:pt idx="27">
                  <c:v>478.95</c:v>
                </c:pt>
                <c:pt idx="28">
                  <c:v>479.65</c:v>
                </c:pt>
                <c:pt idx="29">
                  <c:v>480.13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7B-4993-97DA-DEAEAE31993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2015-11-16'!$A$39:$A$40</c:f>
              <c:numCache>
                <c:formatCode>0.00</c:formatCode>
                <c:ptCount val="2"/>
                <c:pt idx="0">
                  <c:v>5.5</c:v>
                </c:pt>
                <c:pt idx="1">
                  <c:v>5.5</c:v>
                </c:pt>
              </c:numCache>
            </c:numRef>
          </c:xVal>
          <c:yVal>
            <c:numRef>
              <c:f>'Fecha 2015-11-16'!$B$39:$B$40</c:f>
              <c:numCache>
                <c:formatCode>0.000</c:formatCode>
                <c:ptCount val="2"/>
                <c:pt idx="0">
                  <c:v>479.32</c:v>
                </c:pt>
                <c:pt idx="1">
                  <c:v>480.80900000000003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7B-4993-97DA-DEAEAE31993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2015-11-16'!$A$37:$A$38</c:f>
              <c:numCache>
                <c:formatCode>0.00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'Fecha 2015-11-16'!$B$37:$B$38</c:f>
              <c:numCache>
                <c:formatCode>0.000</c:formatCode>
                <c:ptCount val="2"/>
                <c:pt idx="0">
                  <c:v>478.31200000000001</c:v>
                </c:pt>
                <c:pt idx="1">
                  <c:v>480.33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7B-4993-97DA-DEAEAE31993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2015-11-16'!$A$35:$A$36</c:f>
              <c:numCache>
                <c:formatCode>0.00</c:formatCode>
                <c:ptCount val="2"/>
                <c:pt idx="0">
                  <c:v>6</c:v>
                </c:pt>
                <c:pt idx="1">
                  <c:v>13.7</c:v>
                </c:pt>
              </c:numCache>
            </c:numRef>
          </c:xVal>
          <c:yVal>
            <c:numRef>
              <c:f>'Fecha 2015-11-16'!$B$35:$B$36</c:f>
              <c:numCache>
                <c:formatCode>0.000</c:formatCode>
                <c:ptCount val="2"/>
                <c:pt idx="0">
                  <c:v>478.87</c:v>
                </c:pt>
                <c:pt idx="1">
                  <c:v>478.87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7B-4993-97DA-DEAEAE319933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2015-11-16'!$A$41:$A$42</c:f>
              <c:numCache>
                <c:formatCode>0.00</c:formatCode>
                <c:ptCount val="2"/>
                <c:pt idx="0">
                  <c:v>0</c:v>
                </c:pt>
                <c:pt idx="1">
                  <c:v>18.100000000000001</c:v>
                </c:pt>
              </c:numCache>
            </c:numRef>
          </c:xVal>
          <c:yVal>
            <c:numRef>
              <c:f>'Fecha 2015-11-16'!$B$41:$B$42</c:f>
              <c:numCache>
                <c:formatCode>0.000</c:formatCode>
                <c:ptCount val="2"/>
                <c:pt idx="0">
                  <c:v>480.36</c:v>
                </c:pt>
                <c:pt idx="1">
                  <c:v>480.13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7B-4993-97DA-DEAEAE31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89352"/>
        <c:axId val="191489744"/>
      </c:scatterChart>
      <c:valAx>
        <c:axId val="191489352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9744"/>
        <c:crossesAt val="89"/>
        <c:crossBetween val="midCat"/>
        <c:majorUnit val="10"/>
        <c:minorUnit val="2"/>
      </c:valAx>
      <c:valAx>
        <c:axId val="191489744"/>
        <c:scaling>
          <c:orientation val="minMax"/>
          <c:max val="482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8935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GUEVARA
Dibujó:          </a:t>
            </a:r>
            <a:r>
              <a:rPr lang="es-CO" sz="1200" b="1" i="0" u="none" strike="noStrike" baseline="0">
                <a:effectLst/>
              </a:rPr>
              <a:t>TAMAYO</a:t>
            </a:r>
            <a:r>
              <a:rPr lang="es-CO"/>
              <a:t>
Revisó:    
 Fecha:       2016-05-19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IDEAM - Area Operativa No. 04</a:t>
            </a:r>
          </a:p>
        </c:rich>
      </c:tx>
      <c:layout>
        <c:manualLayout>
          <c:xMode val="edge"/>
          <c:yMode val="edge"/>
          <c:x val="0.37734817630554801"/>
          <c:y val="4.99925824489330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7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'2016-05-19'!$A$3:$A$26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3.3</c:v>
                </c:pt>
                <c:pt idx="4">
                  <c:v>3.8</c:v>
                </c:pt>
                <c:pt idx="5">
                  <c:v>4.3</c:v>
                </c:pt>
                <c:pt idx="6">
                  <c:v>4.8</c:v>
                </c:pt>
                <c:pt idx="7">
                  <c:v>5.3</c:v>
                </c:pt>
                <c:pt idx="8">
                  <c:v>5.8</c:v>
                </c:pt>
                <c:pt idx="9">
                  <c:v>6.3</c:v>
                </c:pt>
                <c:pt idx="10">
                  <c:v>6.8</c:v>
                </c:pt>
                <c:pt idx="11">
                  <c:v>7.3</c:v>
                </c:pt>
                <c:pt idx="12">
                  <c:v>7.8</c:v>
                </c:pt>
                <c:pt idx="13">
                  <c:v>8.3000000000000007</c:v>
                </c:pt>
                <c:pt idx="14">
                  <c:v>8.8000000000000007</c:v>
                </c:pt>
                <c:pt idx="15">
                  <c:v>9.3000000000000007</c:v>
                </c:pt>
                <c:pt idx="16">
                  <c:v>9.8000000000000007</c:v>
                </c:pt>
                <c:pt idx="17">
                  <c:v>10.3</c:v>
                </c:pt>
                <c:pt idx="18">
                  <c:v>10.8</c:v>
                </c:pt>
                <c:pt idx="19">
                  <c:v>11.3</c:v>
                </c:pt>
                <c:pt idx="20">
                  <c:v>12</c:v>
                </c:pt>
                <c:pt idx="21">
                  <c:v>14</c:v>
                </c:pt>
                <c:pt idx="22">
                  <c:v>16</c:v>
                </c:pt>
                <c:pt idx="23">
                  <c:v>17</c:v>
                </c:pt>
              </c:numCache>
            </c:numRef>
          </c:xVal>
          <c:yVal>
            <c:numRef>
              <c:f>'2016-05-19'!$B$3:$B$26</c:f>
              <c:numCache>
                <c:formatCode>0.000</c:formatCode>
                <c:ptCount val="24"/>
                <c:pt idx="0">
                  <c:v>480.02</c:v>
                </c:pt>
                <c:pt idx="1">
                  <c:v>480.29</c:v>
                </c:pt>
                <c:pt idx="2">
                  <c:v>479.18</c:v>
                </c:pt>
                <c:pt idx="3">
                  <c:v>478.95</c:v>
                </c:pt>
                <c:pt idx="4">
                  <c:v>478.75</c:v>
                </c:pt>
                <c:pt idx="5">
                  <c:v>478.71</c:v>
                </c:pt>
                <c:pt idx="6">
                  <c:v>478.75</c:v>
                </c:pt>
                <c:pt idx="7">
                  <c:v>478.75</c:v>
                </c:pt>
                <c:pt idx="8">
                  <c:v>478.73</c:v>
                </c:pt>
                <c:pt idx="9">
                  <c:v>478.76</c:v>
                </c:pt>
                <c:pt idx="10">
                  <c:v>478.73</c:v>
                </c:pt>
                <c:pt idx="11">
                  <c:v>478.65</c:v>
                </c:pt>
                <c:pt idx="12">
                  <c:v>478.73</c:v>
                </c:pt>
                <c:pt idx="13">
                  <c:v>478.71</c:v>
                </c:pt>
                <c:pt idx="14">
                  <c:v>478.74</c:v>
                </c:pt>
                <c:pt idx="15">
                  <c:v>478.72</c:v>
                </c:pt>
                <c:pt idx="16">
                  <c:v>478.72</c:v>
                </c:pt>
                <c:pt idx="17">
                  <c:v>478.73</c:v>
                </c:pt>
                <c:pt idx="18">
                  <c:v>478.75</c:v>
                </c:pt>
                <c:pt idx="19">
                  <c:v>478.75</c:v>
                </c:pt>
                <c:pt idx="20">
                  <c:v>478.95</c:v>
                </c:pt>
                <c:pt idx="21">
                  <c:v>479.59</c:v>
                </c:pt>
                <c:pt idx="22">
                  <c:v>480.16</c:v>
                </c:pt>
                <c:pt idx="23">
                  <c:v>480.44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C-4E88-9373-FB45BE235F30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'2016-05-19'!$A$31:$A$32</c:f>
              <c:numCache>
                <c:formatCode>0.00</c:formatCode>
                <c:ptCount val="2"/>
                <c:pt idx="0">
                  <c:v>1.6</c:v>
                </c:pt>
                <c:pt idx="1">
                  <c:v>1.6</c:v>
                </c:pt>
              </c:numCache>
            </c:numRef>
          </c:xVal>
          <c:yVal>
            <c:numRef>
              <c:f>'2016-05-19'!$B$31:$B$32</c:f>
              <c:numCache>
                <c:formatCode>0.000</c:formatCode>
                <c:ptCount val="2"/>
                <c:pt idx="0">
                  <c:v>479.32</c:v>
                </c:pt>
                <c:pt idx="1">
                  <c:v>480.23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C-4E88-9373-FB45BE235F30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'2016-05-19'!$A$29:$A$30</c:f>
              <c:numCache>
                <c:formatCode>0.00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'2016-05-19'!$B$29:$B$30</c:f>
              <c:numCache>
                <c:formatCode>0.000</c:formatCode>
                <c:ptCount val="2"/>
                <c:pt idx="0">
                  <c:v>478.30799999999999</c:v>
                </c:pt>
                <c:pt idx="1">
                  <c:v>480.30799999999999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8C-4E88-9373-FB45BE235F30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'2016-05-19'!$A$27:$A$28</c:f>
              <c:numCache>
                <c:formatCode>0.00</c:formatCode>
                <c:ptCount val="2"/>
                <c:pt idx="0">
                  <c:v>3.3</c:v>
                </c:pt>
                <c:pt idx="1">
                  <c:v>12</c:v>
                </c:pt>
              </c:numCache>
            </c:numRef>
          </c:xVal>
          <c:yVal>
            <c:numRef>
              <c:f>'2016-05-19'!$B$27:$B$28</c:f>
              <c:numCache>
                <c:formatCode>0.000</c:formatCode>
                <c:ptCount val="2"/>
                <c:pt idx="0">
                  <c:v>478.95</c:v>
                </c:pt>
                <c:pt idx="1">
                  <c:v>478.95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8C-4E88-9373-FB45BE235F30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'2016-05-19'!$A$33:$A$34</c:f>
              <c:numCache>
                <c:formatCode>0.00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xVal>
          <c:yVal>
            <c:numRef>
              <c:f>'2016-05-19'!$B$33:$B$34</c:f>
              <c:numCache>
                <c:formatCode>0.000</c:formatCode>
                <c:ptCount val="2"/>
                <c:pt idx="0">
                  <c:v>480.6</c:v>
                </c:pt>
                <c:pt idx="1">
                  <c:v>483.09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8C-4E88-9373-FB45BE235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1312"/>
        <c:axId val="191491704"/>
      </c:scatterChart>
      <c:valAx>
        <c:axId val="19149131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211343147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91704"/>
        <c:crossesAt val="89"/>
        <c:crossBetween val="midCat"/>
        <c:majorUnit val="10"/>
        <c:minorUnit val="2"/>
      </c:valAx>
      <c:valAx>
        <c:axId val="191491704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65822207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9131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OCAMPO
Dibujó:          </a:t>
            </a:r>
            <a:r>
              <a:rPr lang="es-CO" sz="1200" b="1" i="0" u="none" strike="noStrike" baseline="0">
                <a:effectLst/>
              </a:rPr>
              <a:t>PALACIOS</a:t>
            </a:r>
            <a:r>
              <a:rPr lang="es-CO"/>
              <a:t>
Revisó:    
 Fecha:       2016-07-23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7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'2016-07-23'!$A$3:$A$34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11.1</c:v>
                </c:pt>
                <c:pt idx="4">
                  <c:v>11.1</c:v>
                </c:pt>
                <c:pt idx="5">
                  <c:v>12.2</c:v>
                </c:pt>
                <c:pt idx="6">
                  <c:v>12.9</c:v>
                </c:pt>
                <c:pt idx="7">
                  <c:v>14.9</c:v>
                </c:pt>
                <c:pt idx="8">
                  <c:v>15.15</c:v>
                </c:pt>
                <c:pt idx="9">
                  <c:v>15.4</c:v>
                </c:pt>
                <c:pt idx="10">
                  <c:v>15.65</c:v>
                </c:pt>
                <c:pt idx="11">
                  <c:v>15.9</c:v>
                </c:pt>
                <c:pt idx="12">
                  <c:v>16.149999999999999</c:v>
                </c:pt>
                <c:pt idx="13">
                  <c:v>16.399999999999999</c:v>
                </c:pt>
                <c:pt idx="14">
                  <c:v>16.649999999999999</c:v>
                </c:pt>
                <c:pt idx="15">
                  <c:v>16.899999999999999</c:v>
                </c:pt>
                <c:pt idx="16">
                  <c:v>17.149999999999999</c:v>
                </c:pt>
                <c:pt idx="17">
                  <c:v>17.399999999999999</c:v>
                </c:pt>
                <c:pt idx="18">
                  <c:v>17.649999999999999</c:v>
                </c:pt>
                <c:pt idx="19">
                  <c:v>17.899999999999999</c:v>
                </c:pt>
                <c:pt idx="20">
                  <c:v>18.149999999999999</c:v>
                </c:pt>
                <c:pt idx="21">
                  <c:v>18.399999999999999</c:v>
                </c:pt>
                <c:pt idx="22">
                  <c:v>18.649999999999999</c:v>
                </c:pt>
                <c:pt idx="23">
                  <c:v>18.899999999999999</c:v>
                </c:pt>
                <c:pt idx="24">
                  <c:v>19.149999999999999</c:v>
                </c:pt>
                <c:pt idx="25">
                  <c:v>19.399999999999999</c:v>
                </c:pt>
                <c:pt idx="26">
                  <c:v>19.899999999999999</c:v>
                </c:pt>
                <c:pt idx="27">
                  <c:v>22.9</c:v>
                </c:pt>
                <c:pt idx="28">
                  <c:v>24.3</c:v>
                </c:pt>
                <c:pt idx="29">
                  <c:v>24.3</c:v>
                </c:pt>
              </c:numCache>
            </c:numRef>
          </c:xVal>
          <c:yVal>
            <c:numRef>
              <c:f>'2016-07-23'!$B$3:$B$34</c:f>
              <c:numCache>
                <c:formatCode>0.000</c:formatCode>
                <c:ptCount val="32"/>
                <c:pt idx="0">
                  <c:v>479.32</c:v>
                </c:pt>
                <c:pt idx="1">
                  <c:v>480.11</c:v>
                </c:pt>
                <c:pt idx="2">
                  <c:v>480.6</c:v>
                </c:pt>
                <c:pt idx="3">
                  <c:v>480.11</c:v>
                </c:pt>
                <c:pt idx="4">
                  <c:v>479.66</c:v>
                </c:pt>
                <c:pt idx="5">
                  <c:v>479.17</c:v>
                </c:pt>
                <c:pt idx="6">
                  <c:v>478.89</c:v>
                </c:pt>
                <c:pt idx="7">
                  <c:v>478.65</c:v>
                </c:pt>
                <c:pt idx="8">
                  <c:v>478.58</c:v>
                </c:pt>
                <c:pt idx="9">
                  <c:v>478.55</c:v>
                </c:pt>
                <c:pt idx="10">
                  <c:v>478.51</c:v>
                </c:pt>
                <c:pt idx="11">
                  <c:v>478.44</c:v>
                </c:pt>
                <c:pt idx="12">
                  <c:v>478.43</c:v>
                </c:pt>
                <c:pt idx="13">
                  <c:v>478.43</c:v>
                </c:pt>
                <c:pt idx="14">
                  <c:v>478.42</c:v>
                </c:pt>
                <c:pt idx="15">
                  <c:v>478.43</c:v>
                </c:pt>
                <c:pt idx="16">
                  <c:v>478.45</c:v>
                </c:pt>
                <c:pt idx="17">
                  <c:v>478.44</c:v>
                </c:pt>
                <c:pt idx="18">
                  <c:v>478.47</c:v>
                </c:pt>
                <c:pt idx="19">
                  <c:v>478.45</c:v>
                </c:pt>
                <c:pt idx="20">
                  <c:v>478.44</c:v>
                </c:pt>
                <c:pt idx="21">
                  <c:v>478.54</c:v>
                </c:pt>
                <c:pt idx="22">
                  <c:v>478.54</c:v>
                </c:pt>
                <c:pt idx="23">
                  <c:v>478.55</c:v>
                </c:pt>
                <c:pt idx="24">
                  <c:v>478.56</c:v>
                </c:pt>
                <c:pt idx="25">
                  <c:v>478.36</c:v>
                </c:pt>
                <c:pt idx="26">
                  <c:v>478.89</c:v>
                </c:pt>
                <c:pt idx="27">
                  <c:v>479.76</c:v>
                </c:pt>
                <c:pt idx="28">
                  <c:v>480.09</c:v>
                </c:pt>
                <c:pt idx="29">
                  <c:v>483.09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7-4288-845B-927446222502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'2016-07-23'!$A$39:$A$40</c:f>
              <c:numCache>
                <c:formatCode>0.00</c:formatCode>
                <c:ptCount val="2"/>
                <c:pt idx="0">
                  <c:v>19.5</c:v>
                </c:pt>
                <c:pt idx="1">
                  <c:v>19.5</c:v>
                </c:pt>
              </c:numCache>
            </c:numRef>
          </c:xVal>
          <c:yVal>
            <c:numRef>
              <c:f>'2016-07-23'!$B$39:$B$40</c:f>
              <c:numCache>
                <c:formatCode>0.000</c:formatCode>
                <c:ptCount val="2"/>
                <c:pt idx="0">
                  <c:v>479.32</c:v>
                </c:pt>
                <c:pt idx="1">
                  <c:v>480.80900000000003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87-4288-845B-927446222502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'2016-07-23'!$A$37:$A$38</c:f>
              <c:numCache>
                <c:formatCode>0.00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xVal>
          <c:yVal>
            <c:numRef>
              <c:f>'2016-07-23'!$B$37:$B$38</c:f>
              <c:numCache>
                <c:formatCode>0.000</c:formatCode>
                <c:ptCount val="2"/>
                <c:pt idx="0">
                  <c:v>478.30799999999999</c:v>
                </c:pt>
                <c:pt idx="1">
                  <c:v>480.30799999999999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87-4288-845B-927446222502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'2016-07-23'!$A$35:$A$36</c:f>
              <c:numCache>
                <c:formatCode>0.00</c:formatCode>
                <c:ptCount val="2"/>
                <c:pt idx="0">
                  <c:v>12.9</c:v>
                </c:pt>
                <c:pt idx="1">
                  <c:v>19.899999999999999</c:v>
                </c:pt>
              </c:numCache>
            </c:numRef>
          </c:xVal>
          <c:yVal>
            <c:numRef>
              <c:f>'2016-07-23'!$B$35:$B$36</c:f>
              <c:numCache>
                <c:formatCode>0.000</c:formatCode>
                <c:ptCount val="2"/>
                <c:pt idx="0">
                  <c:v>478.89</c:v>
                </c:pt>
                <c:pt idx="1">
                  <c:v>478.89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87-4288-845B-927446222502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'2016-07-23'!$A$41:$A$42</c:f>
              <c:numCache>
                <c:formatCode>0.00</c:formatCode>
                <c:ptCount val="2"/>
                <c:pt idx="0">
                  <c:v>10</c:v>
                </c:pt>
                <c:pt idx="1">
                  <c:v>24.3</c:v>
                </c:pt>
              </c:numCache>
            </c:numRef>
          </c:xVal>
          <c:yVal>
            <c:numRef>
              <c:f>'2016-07-23'!$B$41:$B$42</c:f>
              <c:numCache>
                <c:formatCode>0.000</c:formatCode>
                <c:ptCount val="2"/>
                <c:pt idx="0">
                  <c:v>480.6</c:v>
                </c:pt>
                <c:pt idx="1">
                  <c:v>483.09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87-4288-845B-927446222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0528"/>
        <c:axId val="191492096"/>
      </c:scatterChart>
      <c:valAx>
        <c:axId val="19149052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92096"/>
        <c:crossesAt val="89"/>
        <c:crossBetween val="midCat"/>
        <c:majorUnit val="10"/>
        <c:minorUnit val="2"/>
      </c:valAx>
      <c:valAx>
        <c:axId val="191492096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149052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BOCATOMA 1   
CORRIENTE:  DEDO
Código:           4403712
Levantó:          E.H.T.H
Dibujó:             O.F.R.V</a:t>
            </a:r>
            <a:r>
              <a:rPr lang="es-CO" sz="1200" b="1" i="0" u="none" strike="noStrike" baseline="0">
                <a:effectLst/>
              </a:rPr>
              <a:t>.</a:t>
            </a:r>
            <a:r>
              <a:rPr lang="es-CO"/>
              <a:t>
Revisó:    
 Fecha:       2016-09-15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IDEAM - Area Operativa No. 04</a:t>
            </a:r>
          </a:p>
        </c:rich>
      </c:tx>
      <c:layout>
        <c:manualLayout>
          <c:xMode val="edge"/>
          <c:yMode val="edge"/>
          <c:x val="0.65096746422256502"/>
          <c:y val="4.467353951890034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390890628770893E-2"/>
          <c:y val="2.5775159015395947E-2"/>
          <c:w val="0.93723783427925067"/>
          <c:h val="0.9088545200646129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'2016-09-15'!$A$3:$A$34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1.4</c:v>
                </c:pt>
                <c:pt idx="3">
                  <c:v>3</c:v>
                </c:pt>
                <c:pt idx="4">
                  <c:v>4.4000000000000004</c:v>
                </c:pt>
                <c:pt idx="5">
                  <c:v>4.7</c:v>
                </c:pt>
                <c:pt idx="6">
                  <c:v>5.2</c:v>
                </c:pt>
                <c:pt idx="7">
                  <c:v>5.7</c:v>
                </c:pt>
                <c:pt idx="8">
                  <c:v>6.2</c:v>
                </c:pt>
                <c:pt idx="9">
                  <c:v>6.7</c:v>
                </c:pt>
                <c:pt idx="10">
                  <c:v>7.2</c:v>
                </c:pt>
                <c:pt idx="11">
                  <c:v>7.7</c:v>
                </c:pt>
                <c:pt idx="12">
                  <c:v>8.1999999999999993</c:v>
                </c:pt>
                <c:pt idx="13">
                  <c:v>8.6999999999999993</c:v>
                </c:pt>
                <c:pt idx="14">
                  <c:v>9.1999999999999993</c:v>
                </c:pt>
                <c:pt idx="15">
                  <c:v>9.6999999999999993</c:v>
                </c:pt>
                <c:pt idx="16">
                  <c:v>10.199999999999999</c:v>
                </c:pt>
                <c:pt idx="17">
                  <c:v>10.7</c:v>
                </c:pt>
                <c:pt idx="18">
                  <c:v>11.2</c:v>
                </c:pt>
                <c:pt idx="19">
                  <c:v>11.7</c:v>
                </c:pt>
                <c:pt idx="20">
                  <c:v>12.2</c:v>
                </c:pt>
                <c:pt idx="21">
                  <c:v>13.1</c:v>
                </c:pt>
                <c:pt idx="22">
                  <c:v>14.6</c:v>
                </c:pt>
                <c:pt idx="23">
                  <c:v>15.6</c:v>
                </c:pt>
                <c:pt idx="24">
                  <c:v>17.600000000000001</c:v>
                </c:pt>
              </c:numCache>
            </c:numRef>
          </c:xVal>
          <c:yVal>
            <c:numRef>
              <c:f>'2016-09-15'!$B$3:$B$34</c:f>
              <c:numCache>
                <c:formatCode>0.000</c:formatCode>
                <c:ptCount val="32"/>
                <c:pt idx="0">
                  <c:v>480</c:v>
                </c:pt>
                <c:pt idx="1">
                  <c:v>480.1</c:v>
                </c:pt>
                <c:pt idx="2">
                  <c:v>479.05</c:v>
                </c:pt>
                <c:pt idx="3">
                  <c:v>478.99</c:v>
                </c:pt>
                <c:pt idx="4">
                  <c:v>478.96</c:v>
                </c:pt>
                <c:pt idx="5">
                  <c:v>478.81</c:v>
                </c:pt>
                <c:pt idx="6">
                  <c:v>478.78</c:v>
                </c:pt>
                <c:pt idx="7">
                  <c:v>478.79</c:v>
                </c:pt>
                <c:pt idx="8">
                  <c:v>478.82</c:v>
                </c:pt>
                <c:pt idx="9">
                  <c:v>478.75</c:v>
                </c:pt>
                <c:pt idx="10">
                  <c:v>478.74</c:v>
                </c:pt>
                <c:pt idx="11">
                  <c:v>478.72</c:v>
                </c:pt>
                <c:pt idx="12">
                  <c:v>478.62</c:v>
                </c:pt>
                <c:pt idx="13">
                  <c:v>478.59</c:v>
                </c:pt>
                <c:pt idx="14">
                  <c:v>478.58</c:v>
                </c:pt>
                <c:pt idx="15">
                  <c:v>478.6</c:v>
                </c:pt>
                <c:pt idx="16">
                  <c:v>478.59</c:v>
                </c:pt>
                <c:pt idx="17">
                  <c:v>478.65</c:v>
                </c:pt>
                <c:pt idx="18">
                  <c:v>478.74</c:v>
                </c:pt>
                <c:pt idx="19">
                  <c:v>478.71</c:v>
                </c:pt>
                <c:pt idx="20">
                  <c:v>478.76</c:v>
                </c:pt>
                <c:pt idx="21">
                  <c:v>478.96</c:v>
                </c:pt>
                <c:pt idx="22">
                  <c:v>479.03</c:v>
                </c:pt>
                <c:pt idx="23">
                  <c:v>479.43</c:v>
                </c:pt>
                <c:pt idx="24">
                  <c:v>480.06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E3-4D7D-826E-1C49469F58F9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'2016-09-15'!$A$39:$A$40</c:f>
              <c:numCache>
                <c:formatCode>0.00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'2016-09-15'!$B$39:$B$40</c:f>
              <c:numCache>
                <c:formatCode>0.000</c:formatCode>
                <c:ptCount val="2"/>
                <c:pt idx="0">
                  <c:v>479.32</c:v>
                </c:pt>
                <c:pt idx="1">
                  <c:v>480.80900000000003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E3-4D7D-826E-1C49469F58F9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'2016-09-15'!$A$37:$A$38</c:f>
              <c:numCache>
                <c:formatCode>0.00</c:formatCode>
                <c:ptCount val="2"/>
                <c:pt idx="0">
                  <c:v>1.4</c:v>
                </c:pt>
                <c:pt idx="1">
                  <c:v>1.4</c:v>
                </c:pt>
              </c:numCache>
            </c:numRef>
          </c:xVal>
          <c:yVal>
            <c:numRef>
              <c:f>'2016-09-15'!$B$37:$B$38</c:f>
              <c:numCache>
                <c:formatCode>0.000</c:formatCode>
                <c:ptCount val="2"/>
                <c:pt idx="0">
                  <c:v>478.31200000000001</c:v>
                </c:pt>
                <c:pt idx="1">
                  <c:v>480.33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E3-4D7D-826E-1C49469F58F9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'2016-09-15'!$A$35:$A$36</c:f>
              <c:numCache>
                <c:formatCode>0.00</c:formatCode>
                <c:ptCount val="2"/>
                <c:pt idx="0">
                  <c:v>4.4000000000000004</c:v>
                </c:pt>
                <c:pt idx="1">
                  <c:v>13.1</c:v>
                </c:pt>
              </c:numCache>
            </c:numRef>
          </c:xVal>
          <c:yVal>
            <c:numRef>
              <c:f>'2016-09-15'!$B$35:$B$36</c:f>
              <c:numCache>
                <c:formatCode>0.000</c:formatCode>
                <c:ptCount val="2"/>
                <c:pt idx="0">
                  <c:v>478.96</c:v>
                </c:pt>
                <c:pt idx="1">
                  <c:v>478.96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E3-4D7D-826E-1C49469F58F9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'2016-09-15'!$A$41:$A$42</c:f>
              <c:numCache>
                <c:formatCode>0.00</c:formatCode>
                <c:ptCount val="2"/>
                <c:pt idx="0">
                  <c:v>0</c:v>
                </c:pt>
                <c:pt idx="1">
                  <c:v>17.600000000000001</c:v>
                </c:pt>
              </c:numCache>
            </c:numRef>
          </c:xVal>
          <c:yVal>
            <c:numRef>
              <c:f>'2016-09-15'!$B$41:$B$42</c:f>
              <c:numCache>
                <c:formatCode>0.000</c:formatCode>
                <c:ptCount val="2"/>
                <c:pt idx="0">
                  <c:v>480.1</c:v>
                </c:pt>
                <c:pt idx="1">
                  <c:v>480.06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CE3-4D7D-826E-1C49469F5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33872"/>
        <c:axId val="192334264"/>
      </c:scatterChart>
      <c:valAx>
        <c:axId val="192333872"/>
        <c:scaling>
          <c:orientation val="minMax"/>
          <c:max val="18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828550867642805"/>
              <c:y val="0.962646198434817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4264"/>
        <c:crossesAt val="89"/>
        <c:crossBetween val="midCat"/>
        <c:majorUnit val="10"/>
        <c:minorUnit val="2"/>
      </c:valAx>
      <c:valAx>
        <c:axId val="192334264"/>
        <c:scaling>
          <c:orientation val="minMax"/>
          <c:max val="482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2830407342901E-3"/>
              <c:y val="0.4359364186005958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387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M.PALACIOS, Dibujó: J.RAMOS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30/01/2017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'PLANTILLA NAOI-NAOD'!$A$5:$A$35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10.5</c:v>
                </c:pt>
                <c:pt idx="5">
                  <c:v>11.5</c:v>
                </c:pt>
                <c:pt idx="6">
                  <c:v>12.5</c:v>
                </c:pt>
                <c:pt idx="7">
                  <c:v>13</c:v>
                </c:pt>
                <c:pt idx="8">
                  <c:v>13.5</c:v>
                </c:pt>
                <c:pt idx="9">
                  <c:v>14</c:v>
                </c:pt>
                <c:pt idx="10">
                  <c:v>14.5</c:v>
                </c:pt>
                <c:pt idx="11">
                  <c:v>15</c:v>
                </c:pt>
                <c:pt idx="12">
                  <c:v>15.5</c:v>
                </c:pt>
                <c:pt idx="13">
                  <c:v>16</c:v>
                </c:pt>
                <c:pt idx="14">
                  <c:v>16.5</c:v>
                </c:pt>
                <c:pt idx="15">
                  <c:v>17</c:v>
                </c:pt>
                <c:pt idx="16">
                  <c:v>17.5</c:v>
                </c:pt>
                <c:pt idx="17">
                  <c:v>18</c:v>
                </c:pt>
                <c:pt idx="18">
                  <c:v>18.5</c:v>
                </c:pt>
                <c:pt idx="19">
                  <c:v>19</c:v>
                </c:pt>
                <c:pt idx="20">
                  <c:v>19.5</c:v>
                </c:pt>
                <c:pt idx="21">
                  <c:v>20</c:v>
                </c:pt>
                <c:pt idx="22">
                  <c:v>20.5</c:v>
                </c:pt>
                <c:pt idx="23">
                  <c:v>21</c:v>
                </c:pt>
                <c:pt idx="24">
                  <c:v>23</c:v>
                </c:pt>
                <c:pt idx="25">
                  <c:v>23</c:v>
                </c:pt>
                <c:pt idx="26">
                  <c:v>25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  <c:pt idx="30">
                  <c:v>32</c:v>
                </c:pt>
              </c:numCache>
            </c:numRef>
          </c:xVal>
          <c:yVal>
            <c:numRef>
              <c:f>'PLANTILLA NAOI-NAOD'!$B$5:$B$35</c:f>
              <c:numCache>
                <c:formatCode>0.000</c:formatCode>
                <c:ptCount val="31"/>
                <c:pt idx="0">
                  <c:v>98.69</c:v>
                </c:pt>
                <c:pt idx="1">
                  <c:v>97.131999999999991</c:v>
                </c:pt>
                <c:pt idx="2">
                  <c:v>96.361999999999995</c:v>
                </c:pt>
                <c:pt idx="3">
                  <c:v>95.071999999999989</c:v>
                </c:pt>
                <c:pt idx="4">
                  <c:v>94.821999999999989</c:v>
                </c:pt>
                <c:pt idx="5">
                  <c:v>94.521999999999991</c:v>
                </c:pt>
                <c:pt idx="6">
                  <c:v>94.471999999999994</c:v>
                </c:pt>
                <c:pt idx="7">
                  <c:v>94.461999999999989</c:v>
                </c:pt>
                <c:pt idx="8">
                  <c:v>94.441999999999993</c:v>
                </c:pt>
                <c:pt idx="9">
                  <c:v>94.431999999999988</c:v>
                </c:pt>
                <c:pt idx="10">
                  <c:v>94.321999999999989</c:v>
                </c:pt>
                <c:pt idx="11">
                  <c:v>94.261999999999986</c:v>
                </c:pt>
                <c:pt idx="12">
                  <c:v>94.35199999999999</c:v>
                </c:pt>
                <c:pt idx="13">
                  <c:v>94.331999999999994</c:v>
                </c:pt>
                <c:pt idx="14">
                  <c:v>94.261999999999986</c:v>
                </c:pt>
                <c:pt idx="15">
                  <c:v>94.321999999999989</c:v>
                </c:pt>
                <c:pt idx="16">
                  <c:v>94.281999999999982</c:v>
                </c:pt>
                <c:pt idx="17">
                  <c:v>94.321999999999989</c:v>
                </c:pt>
                <c:pt idx="18">
                  <c:v>94.341999999999985</c:v>
                </c:pt>
                <c:pt idx="19">
                  <c:v>94.431999999999988</c:v>
                </c:pt>
                <c:pt idx="20">
                  <c:v>94.451999999999984</c:v>
                </c:pt>
                <c:pt idx="21">
                  <c:v>94.521999999999991</c:v>
                </c:pt>
                <c:pt idx="22">
                  <c:v>94.521999999999991</c:v>
                </c:pt>
                <c:pt idx="23">
                  <c:v>94.471999999999994</c:v>
                </c:pt>
                <c:pt idx="24">
                  <c:v>94.771999999999991</c:v>
                </c:pt>
                <c:pt idx="25">
                  <c:v>94.801999999999992</c:v>
                </c:pt>
                <c:pt idx="26">
                  <c:v>96.512</c:v>
                </c:pt>
                <c:pt idx="27">
                  <c:v>98.012</c:v>
                </c:pt>
                <c:pt idx="28">
                  <c:v>98.122</c:v>
                </c:pt>
                <c:pt idx="29">
                  <c:v>98.221000000000004</c:v>
                </c:pt>
                <c:pt idx="30">
                  <c:v>98.694000000000003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3-42BE-A730-B7152EBECFF7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'PLANTILLA NAOI-NAOD'!$A$57:$A$58</c:f>
              <c:numCache>
                <c:formatCode>0.00</c:formatCode>
                <c:ptCount val="2"/>
                <c:pt idx="0">
                  <c:v>23.5</c:v>
                </c:pt>
                <c:pt idx="1">
                  <c:v>23.5</c:v>
                </c:pt>
              </c:numCache>
            </c:numRef>
          </c:xVal>
          <c:yVal>
            <c:numRef>
              <c:f>'PLANTILLA NAOI-NAOD'!$B$57:$B$58</c:f>
              <c:numCache>
                <c:formatCode>0.000</c:formatCode>
                <c:ptCount val="2"/>
                <c:pt idx="0">
                  <c:v>96.317999999999998</c:v>
                </c:pt>
                <c:pt idx="1">
                  <c:v>97.817999999999998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33-42BE-A730-B7152EBECFF7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'PLANTILLA NAOI-NAOD'!$A$55:$A$56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'PLANTILLA NAOI-NAOD'!$B$55:$B$56</c:f>
              <c:numCache>
                <c:formatCode>0.000</c:formatCode>
                <c:ptCount val="2"/>
                <c:pt idx="0">
                  <c:v>93.302999999999997</c:v>
                </c:pt>
                <c:pt idx="1">
                  <c:v>97.302999999999997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33-42BE-A730-B7152EBECFF7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'PLANTILLA NAOI-NAOD'!$A$53:$A$54</c:f>
              <c:numCache>
                <c:formatCode>0.00</c:formatCode>
                <c:ptCount val="2"/>
                <c:pt idx="0">
                  <c:v>10.5</c:v>
                </c:pt>
                <c:pt idx="1">
                  <c:v>23</c:v>
                </c:pt>
              </c:numCache>
            </c:numRef>
          </c:xVal>
          <c:yVal>
            <c:numRef>
              <c:f>'PLANTILLA NAOI-NAOD'!$B$53:$B$54</c:f>
              <c:numCache>
                <c:formatCode>0.000</c:formatCode>
                <c:ptCount val="2"/>
                <c:pt idx="0">
                  <c:v>94.821999999999989</c:v>
                </c:pt>
                <c:pt idx="1">
                  <c:v>94.801999999999992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33-42BE-A730-B7152EBECFF7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'PLANTILLA NAOI-NAOD'!$A$59:$A$60</c:f>
              <c:numCache>
                <c:formatCode>0.00</c:formatCode>
                <c:ptCount val="2"/>
              </c:numCache>
            </c:numRef>
          </c:xVal>
          <c:yVal>
            <c:numRef>
              <c:f>'PLANTILLA NAOI-NAOD'!$B$59:$B$60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33-42BE-A730-B7152EBEC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35832"/>
        <c:axId val="192336224"/>
      </c:scatterChart>
      <c:valAx>
        <c:axId val="192335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6224"/>
        <c:crosses val="autoZero"/>
        <c:crossBetween val="midCat"/>
      </c:valAx>
      <c:valAx>
        <c:axId val="192336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5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A. RAMIREZ.-, Dibujó: A. RAMIREZ.-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24/03/2017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'2017-03-24'!$A$5:$A$33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11.5</c:v>
                </c:pt>
                <c:pt idx="4">
                  <c:v>11.5</c:v>
                </c:pt>
                <c:pt idx="5">
                  <c:v>12.4</c:v>
                </c:pt>
                <c:pt idx="6">
                  <c:v>13.5</c:v>
                </c:pt>
                <c:pt idx="7">
                  <c:v>14</c:v>
                </c:pt>
                <c:pt idx="8">
                  <c:v>14.5</c:v>
                </c:pt>
                <c:pt idx="9">
                  <c:v>15</c:v>
                </c:pt>
                <c:pt idx="10">
                  <c:v>15.5</c:v>
                </c:pt>
                <c:pt idx="11">
                  <c:v>15.9</c:v>
                </c:pt>
                <c:pt idx="12">
                  <c:v>16.3</c:v>
                </c:pt>
                <c:pt idx="13">
                  <c:v>16.7</c:v>
                </c:pt>
                <c:pt idx="14">
                  <c:v>17.099999999999998</c:v>
                </c:pt>
                <c:pt idx="15">
                  <c:v>17.499999999999996</c:v>
                </c:pt>
                <c:pt idx="16">
                  <c:v>17.899999999999995</c:v>
                </c:pt>
                <c:pt idx="17">
                  <c:v>18.299999999999994</c:v>
                </c:pt>
                <c:pt idx="18">
                  <c:v>18.699999999999992</c:v>
                </c:pt>
                <c:pt idx="19">
                  <c:v>19.099999999999991</c:v>
                </c:pt>
                <c:pt idx="20">
                  <c:v>19.499999999999989</c:v>
                </c:pt>
                <c:pt idx="21">
                  <c:v>19.999999999999989</c:v>
                </c:pt>
                <c:pt idx="22">
                  <c:v>20.499999999999989</c:v>
                </c:pt>
                <c:pt idx="23">
                  <c:v>20.999999999999989</c:v>
                </c:pt>
                <c:pt idx="24">
                  <c:v>21.999999999999989</c:v>
                </c:pt>
                <c:pt idx="25">
                  <c:v>23.999999999999989</c:v>
                </c:pt>
                <c:pt idx="26">
                  <c:v>26.599999999999991</c:v>
                </c:pt>
                <c:pt idx="27">
                  <c:v>26.599999999999991</c:v>
                </c:pt>
                <c:pt idx="28">
                  <c:v>26.599999999999991</c:v>
                </c:pt>
              </c:numCache>
            </c:numRef>
          </c:xVal>
          <c:yVal>
            <c:numRef>
              <c:f>'2017-03-24'!$B$5:$B$33</c:f>
              <c:numCache>
                <c:formatCode>0.000</c:formatCode>
                <c:ptCount val="29"/>
                <c:pt idx="0">
                  <c:v>480.02</c:v>
                </c:pt>
                <c:pt idx="1">
                  <c:v>479.78099999999995</c:v>
                </c:pt>
                <c:pt idx="2">
                  <c:v>480.26699999999994</c:v>
                </c:pt>
                <c:pt idx="3">
                  <c:v>480.07399999999996</c:v>
                </c:pt>
                <c:pt idx="4">
                  <c:v>479.72099999999995</c:v>
                </c:pt>
                <c:pt idx="5">
                  <c:v>480.19099999999997</c:v>
                </c:pt>
                <c:pt idx="6">
                  <c:v>478.88099999999997</c:v>
                </c:pt>
                <c:pt idx="7">
                  <c:v>478.68099999999998</c:v>
                </c:pt>
                <c:pt idx="8">
                  <c:v>478.68099999999998</c:v>
                </c:pt>
                <c:pt idx="9">
                  <c:v>478.71099999999996</c:v>
                </c:pt>
                <c:pt idx="10">
                  <c:v>478.67099999999999</c:v>
                </c:pt>
                <c:pt idx="11">
                  <c:v>478.70099999999996</c:v>
                </c:pt>
                <c:pt idx="12">
                  <c:v>478.68099999999998</c:v>
                </c:pt>
                <c:pt idx="13">
                  <c:v>478.64099999999996</c:v>
                </c:pt>
                <c:pt idx="14">
                  <c:v>478.67099999999999</c:v>
                </c:pt>
                <c:pt idx="15">
                  <c:v>478.57099999999997</c:v>
                </c:pt>
                <c:pt idx="16">
                  <c:v>478.48099999999999</c:v>
                </c:pt>
                <c:pt idx="17">
                  <c:v>478.50099999999998</c:v>
                </c:pt>
                <c:pt idx="18">
                  <c:v>478.51099999999997</c:v>
                </c:pt>
                <c:pt idx="19">
                  <c:v>478.51099999999997</c:v>
                </c:pt>
                <c:pt idx="20">
                  <c:v>478.51099999999997</c:v>
                </c:pt>
                <c:pt idx="21">
                  <c:v>478.56099999999998</c:v>
                </c:pt>
                <c:pt idx="22">
                  <c:v>478.61099999999999</c:v>
                </c:pt>
                <c:pt idx="23">
                  <c:v>478.73099999999999</c:v>
                </c:pt>
                <c:pt idx="24">
                  <c:v>478.88099999999997</c:v>
                </c:pt>
                <c:pt idx="25">
                  <c:v>479.26099999999997</c:v>
                </c:pt>
                <c:pt idx="26">
                  <c:v>480.15899999999999</c:v>
                </c:pt>
                <c:pt idx="27">
                  <c:v>482.15099999999995</c:v>
                </c:pt>
                <c:pt idx="28">
                  <c:v>480.02099999999996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5F-4FCA-A968-07EAD17FBD26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'2017-03-24'!$A$57:$A$58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'2017-03-24'!$B$57:$B$58</c:f>
              <c:numCache>
                <c:formatCode>0.000</c:formatCode>
                <c:ptCount val="2"/>
                <c:pt idx="0">
                  <c:v>479.33</c:v>
                </c:pt>
                <c:pt idx="1">
                  <c:v>480.83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5F-4FCA-A968-07EAD17FBD26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'2017-03-24'!$A$55:$A$56</c:f>
              <c:numCache>
                <c:formatCode>0.00</c:formatCode>
                <c:ptCount val="2"/>
                <c:pt idx="0">
                  <c:v>13.5</c:v>
                </c:pt>
                <c:pt idx="1">
                  <c:v>13.5</c:v>
                </c:pt>
              </c:numCache>
            </c:numRef>
          </c:xVal>
          <c:yVal>
            <c:numRef>
              <c:f>'2017-03-24'!$B$55:$B$56</c:f>
              <c:numCache>
                <c:formatCode>0.000</c:formatCode>
                <c:ptCount val="2"/>
                <c:pt idx="0">
                  <c:v>478.32100000000003</c:v>
                </c:pt>
                <c:pt idx="1">
                  <c:v>482.32100000000003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5F-4FCA-A968-07EAD17FBD26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'2017-03-24'!$A$53:$A$54</c:f>
              <c:numCache>
                <c:formatCode>0.00</c:formatCode>
                <c:ptCount val="2"/>
                <c:pt idx="0">
                  <c:v>13.5</c:v>
                </c:pt>
                <c:pt idx="1">
                  <c:v>21.999999999999989</c:v>
                </c:pt>
              </c:numCache>
            </c:numRef>
          </c:xVal>
          <c:yVal>
            <c:numRef>
              <c:f>'2017-03-24'!$B$53:$B$54</c:f>
              <c:numCache>
                <c:formatCode>0.000</c:formatCode>
                <c:ptCount val="2"/>
                <c:pt idx="0">
                  <c:v>478.88099999999997</c:v>
                </c:pt>
                <c:pt idx="1">
                  <c:v>478.88099999999997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5F-4FCA-A968-07EAD17FBD26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'2017-03-24'!$A$59:$A$60</c:f>
              <c:numCache>
                <c:formatCode>0.00</c:formatCode>
                <c:ptCount val="2"/>
              </c:numCache>
            </c:numRef>
          </c:xVal>
          <c:yVal>
            <c:numRef>
              <c:f>'2017-03-24'!$B$59:$B$60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5F-4FCA-A968-07EAD17FB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37792"/>
        <c:axId val="192338184"/>
      </c:scatterChart>
      <c:valAx>
        <c:axId val="1923377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8184"/>
        <c:crosses val="autoZero"/>
        <c:crossBetween val="midCat"/>
      </c:valAx>
      <c:valAx>
        <c:axId val="192338184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77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PALACIOS, Dibujó: PALACIOS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11/09/2017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tx>
            <c:v>COTAS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'2017-09-11'!$A$5:$A$35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9</c:v>
                </c:pt>
                <c:pt idx="5">
                  <c:v>11</c:v>
                </c:pt>
                <c:pt idx="6">
                  <c:v>11.6</c:v>
                </c:pt>
                <c:pt idx="7">
                  <c:v>12.6</c:v>
                </c:pt>
                <c:pt idx="8">
                  <c:v>14.6</c:v>
                </c:pt>
                <c:pt idx="9">
                  <c:v>15.6</c:v>
                </c:pt>
                <c:pt idx="10">
                  <c:v>15.9</c:v>
                </c:pt>
                <c:pt idx="11">
                  <c:v>16.2</c:v>
                </c:pt>
                <c:pt idx="12">
                  <c:v>16.5</c:v>
                </c:pt>
                <c:pt idx="13">
                  <c:v>16.8</c:v>
                </c:pt>
                <c:pt idx="14">
                  <c:v>17.100000000000001</c:v>
                </c:pt>
                <c:pt idx="15">
                  <c:v>17.400000000000002</c:v>
                </c:pt>
                <c:pt idx="16">
                  <c:v>17.700000000000003</c:v>
                </c:pt>
                <c:pt idx="17">
                  <c:v>18.000000000000004</c:v>
                </c:pt>
                <c:pt idx="18">
                  <c:v>18.300000000000004</c:v>
                </c:pt>
                <c:pt idx="19">
                  <c:v>18.600000000000005</c:v>
                </c:pt>
                <c:pt idx="20">
                  <c:v>18.900000000000006</c:v>
                </c:pt>
                <c:pt idx="21">
                  <c:v>19.200000000000006</c:v>
                </c:pt>
                <c:pt idx="22">
                  <c:v>19.500000000000007</c:v>
                </c:pt>
                <c:pt idx="23">
                  <c:v>19.800000000000008</c:v>
                </c:pt>
                <c:pt idx="24">
                  <c:v>20.100000000000009</c:v>
                </c:pt>
                <c:pt idx="25">
                  <c:v>20.400000000000009</c:v>
                </c:pt>
                <c:pt idx="26">
                  <c:v>20.70000000000001</c:v>
                </c:pt>
                <c:pt idx="27">
                  <c:v>22.000000000000011</c:v>
                </c:pt>
                <c:pt idx="28">
                  <c:v>24.000000000000011</c:v>
                </c:pt>
                <c:pt idx="29">
                  <c:v>26.600000000000012</c:v>
                </c:pt>
                <c:pt idx="30">
                  <c:v>28.600000000000012</c:v>
                </c:pt>
              </c:numCache>
            </c:numRef>
          </c:xVal>
          <c:yVal>
            <c:numRef>
              <c:f>'2017-09-11'!$B$5:$B$35</c:f>
              <c:numCache>
                <c:formatCode>0.000</c:formatCode>
                <c:ptCount val="31"/>
                <c:pt idx="0">
                  <c:v>480.02</c:v>
                </c:pt>
                <c:pt idx="1">
                  <c:v>480.20699999999999</c:v>
                </c:pt>
                <c:pt idx="2">
                  <c:v>480.05700000000002</c:v>
                </c:pt>
                <c:pt idx="3">
                  <c:v>480.02499999999998</c:v>
                </c:pt>
                <c:pt idx="4">
                  <c:v>480.30700000000002</c:v>
                </c:pt>
                <c:pt idx="5">
                  <c:v>480.197</c:v>
                </c:pt>
                <c:pt idx="6">
                  <c:v>479.74799999999999</c:v>
                </c:pt>
                <c:pt idx="7">
                  <c:v>479.24900000000002</c:v>
                </c:pt>
                <c:pt idx="8">
                  <c:v>478.88299999999998</c:v>
                </c:pt>
                <c:pt idx="9">
                  <c:v>478.64299999999997</c:v>
                </c:pt>
                <c:pt idx="10">
                  <c:v>478.65299999999996</c:v>
                </c:pt>
                <c:pt idx="11">
                  <c:v>478.64299999999997</c:v>
                </c:pt>
                <c:pt idx="12">
                  <c:v>478.553</c:v>
                </c:pt>
                <c:pt idx="13">
                  <c:v>478.45299999999997</c:v>
                </c:pt>
                <c:pt idx="14">
                  <c:v>478.423</c:v>
                </c:pt>
                <c:pt idx="15">
                  <c:v>478.39299999999997</c:v>
                </c:pt>
                <c:pt idx="16">
                  <c:v>478.39299999999997</c:v>
                </c:pt>
                <c:pt idx="17">
                  <c:v>478.45299999999997</c:v>
                </c:pt>
                <c:pt idx="18">
                  <c:v>478.45299999999997</c:v>
                </c:pt>
                <c:pt idx="19">
                  <c:v>478.423</c:v>
                </c:pt>
                <c:pt idx="20">
                  <c:v>478.41299999999995</c:v>
                </c:pt>
                <c:pt idx="21">
                  <c:v>478.49299999999999</c:v>
                </c:pt>
                <c:pt idx="22">
                  <c:v>478.56299999999999</c:v>
                </c:pt>
                <c:pt idx="23">
                  <c:v>478.56299999999999</c:v>
                </c:pt>
                <c:pt idx="24">
                  <c:v>478.60300000000001</c:v>
                </c:pt>
                <c:pt idx="25">
                  <c:v>478.57299999999998</c:v>
                </c:pt>
                <c:pt idx="26">
                  <c:v>478.64299999999997</c:v>
                </c:pt>
                <c:pt idx="27">
                  <c:v>478.88299999999998</c:v>
                </c:pt>
                <c:pt idx="28">
                  <c:v>479.30700000000002</c:v>
                </c:pt>
                <c:pt idx="29">
                  <c:v>480.142</c:v>
                </c:pt>
                <c:pt idx="30">
                  <c:v>483.642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FB-42D6-9865-98C74F824B6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'2017-09-11'!$A$57:$A$58</c:f>
              <c:numCache>
                <c:formatCode>0.00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'2017-09-11'!$B$57:$B$58</c:f>
              <c:numCache>
                <c:formatCode>0.000</c:formatCode>
                <c:ptCount val="2"/>
                <c:pt idx="0">
                  <c:v>479.33699999999999</c:v>
                </c:pt>
                <c:pt idx="1">
                  <c:v>480.83699999999999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FB-42D6-9865-98C74F824B6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'2017-09-11'!$A$55:$A$56</c:f>
              <c:numCache>
                <c:formatCode>0.00</c:formatCode>
                <c:ptCount val="2"/>
                <c:pt idx="0">
                  <c:v>14.6</c:v>
                </c:pt>
                <c:pt idx="1">
                  <c:v>14.6</c:v>
                </c:pt>
              </c:numCache>
            </c:numRef>
          </c:xVal>
          <c:yVal>
            <c:numRef>
              <c:f>'2017-09-11'!$B$55:$B$56</c:f>
              <c:numCache>
                <c:formatCode>0.000</c:formatCode>
                <c:ptCount val="2"/>
                <c:pt idx="0">
                  <c:v>478.33499999999998</c:v>
                </c:pt>
                <c:pt idx="1">
                  <c:v>480.33499999999998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FB-42D6-9865-98C74F824B6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'2017-09-11'!$A$53:$A$54</c:f>
              <c:numCache>
                <c:formatCode>0.00</c:formatCode>
                <c:ptCount val="2"/>
                <c:pt idx="0">
                  <c:v>14.6</c:v>
                </c:pt>
                <c:pt idx="1">
                  <c:v>22.000000000000011</c:v>
                </c:pt>
              </c:numCache>
            </c:numRef>
          </c:xVal>
          <c:yVal>
            <c:numRef>
              <c:f>'2017-09-11'!$B$53:$B$54</c:f>
              <c:numCache>
                <c:formatCode>0.000</c:formatCode>
                <c:ptCount val="2"/>
                <c:pt idx="0">
                  <c:v>478.88299999999998</c:v>
                </c:pt>
                <c:pt idx="1">
                  <c:v>478.88299999999998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FB-42D6-9865-98C74F824B6A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'2017-09-11'!$A$59:$A$60</c:f>
              <c:numCache>
                <c:formatCode>0.00</c:formatCode>
                <c:ptCount val="2"/>
              </c:numCache>
            </c:numRef>
          </c:xVal>
          <c:yVal>
            <c:numRef>
              <c:f>'2017-09-11'!$B$59:$B$60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5FB-42D6-9865-98C74F824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39360"/>
        <c:axId val="192339752"/>
      </c:scatterChart>
      <c:valAx>
        <c:axId val="192339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9752"/>
        <c:crosses val="autoZero"/>
        <c:crossBetween val="midCat"/>
      </c:valAx>
      <c:valAx>
        <c:axId val="192339752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393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TAMAYO, Dibujó: RAMOS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4/04/2018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tx>
            <c:v>COTAS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'2018-04-04'!$A$5:$A$35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1.3</c:v>
                </c:pt>
                <c:pt idx="3">
                  <c:v>3.3</c:v>
                </c:pt>
                <c:pt idx="4">
                  <c:v>4.9000000000000004</c:v>
                </c:pt>
                <c:pt idx="5">
                  <c:v>5.3500000000000005</c:v>
                </c:pt>
                <c:pt idx="6">
                  <c:v>5.8000000000000007</c:v>
                </c:pt>
                <c:pt idx="7">
                  <c:v>6.2500000000000009</c:v>
                </c:pt>
                <c:pt idx="8">
                  <c:v>6.7000000000000011</c:v>
                </c:pt>
                <c:pt idx="9">
                  <c:v>7.1500000000000012</c:v>
                </c:pt>
                <c:pt idx="10">
                  <c:v>7.6000000000000014</c:v>
                </c:pt>
                <c:pt idx="11">
                  <c:v>8.0500000000000007</c:v>
                </c:pt>
                <c:pt idx="12">
                  <c:v>8.5</c:v>
                </c:pt>
                <c:pt idx="13">
                  <c:v>8.9499999999999993</c:v>
                </c:pt>
                <c:pt idx="14">
                  <c:v>9.3999999999999986</c:v>
                </c:pt>
                <c:pt idx="15">
                  <c:v>9.8499999999999979</c:v>
                </c:pt>
                <c:pt idx="16">
                  <c:v>10.299999999999997</c:v>
                </c:pt>
                <c:pt idx="17">
                  <c:v>10.749999999999996</c:v>
                </c:pt>
                <c:pt idx="18">
                  <c:v>11.199999999999996</c:v>
                </c:pt>
                <c:pt idx="19">
                  <c:v>11.649999999999995</c:v>
                </c:pt>
                <c:pt idx="20">
                  <c:v>12.099999999999994</c:v>
                </c:pt>
                <c:pt idx="21">
                  <c:v>12.549999999999994</c:v>
                </c:pt>
                <c:pt idx="22">
                  <c:v>14.549999999999994</c:v>
                </c:pt>
                <c:pt idx="23">
                  <c:v>14.549999999999994</c:v>
                </c:pt>
                <c:pt idx="24">
                  <c:v>17.549999999999994</c:v>
                </c:pt>
                <c:pt idx="25">
                  <c:v>19.549999999999994</c:v>
                </c:pt>
                <c:pt idx="26">
                  <c:v>19.549999999999994</c:v>
                </c:pt>
              </c:numCache>
            </c:numRef>
          </c:xVal>
          <c:yVal>
            <c:numRef>
              <c:f>'2018-04-04'!$B$5:$B$35</c:f>
              <c:numCache>
                <c:formatCode>0.000</c:formatCode>
                <c:ptCount val="31"/>
                <c:pt idx="0">
                  <c:v>480.02</c:v>
                </c:pt>
                <c:pt idx="1">
                  <c:v>480.70099999999996</c:v>
                </c:pt>
                <c:pt idx="2">
                  <c:v>480.262</c:v>
                </c:pt>
                <c:pt idx="3">
                  <c:v>479.16800000000001</c:v>
                </c:pt>
                <c:pt idx="4">
                  <c:v>478.89100000000002</c:v>
                </c:pt>
                <c:pt idx="5">
                  <c:v>478.78100000000001</c:v>
                </c:pt>
                <c:pt idx="6">
                  <c:v>478.76100000000002</c:v>
                </c:pt>
                <c:pt idx="7">
                  <c:v>478.74100000000004</c:v>
                </c:pt>
                <c:pt idx="8">
                  <c:v>478.73099999999999</c:v>
                </c:pt>
                <c:pt idx="9">
                  <c:v>478.71100000000001</c:v>
                </c:pt>
                <c:pt idx="10">
                  <c:v>478.721</c:v>
                </c:pt>
                <c:pt idx="11">
                  <c:v>478.721</c:v>
                </c:pt>
                <c:pt idx="12">
                  <c:v>478.75100000000003</c:v>
                </c:pt>
                <c:pt idx="13">
                  <c:v>478.661</c:v>
                </c:pt>
                <c:pt idx="14">
                  <c:v>478.67099999999999</c:v>
                </c:pt>
                <c:pt idx="15">
                  <c:v>478.65100000000001</c:v>
                </c:pt>
                <c:pt idx="16">
                  <c:v>478.721</c:v>
                </c:pt>
                <c:pt idx="17">
                  <c:v>478.58100000000002</c:v>
                </c:pt>
                <c:pt idx="18">
                  <c:v>478.61100000000005</c:v>
                </c:pt>
                <c:pt idx="19">
                  <c:v>478.64100000000002</c:v>
                </c:pt>
                <c:pt idx="20">
                  <c:v>478.74100000000004</c:v>
                </c:pt>
                <c:pt idx="21">
                  <c:v>478.88799999999998</c:v>
                </c:pt>
                <c:pt idx="22">
                  <c:v>479.05700000000002</c:v>
                </c:pt>
                <c:pt idx="23">
                  <c:v>479.334</c:v>
                </c:pt>
                <c:pt idx="24">
                  <c:v>479.92500000000001</c:v>
                </c:pt>
                <c:pt idx="25">
                  <c:v>480.92099999999999</c:v>
                </c:pt>
                <c:pt idx="26">
                  <c:v>480.02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3-40B2-842C-62DDC70CD9F1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'2018-04-04'!$A$57:$A$58</c:f>
              <c:numCache>
                <c:formatCode>0.00</c:formatCode>
                <c:ptCount val="2"/>
                <c:pt idx="0">
                  <c:v>5.5</c:v>
                </c:pt>
                <c:pt idx="1">
                  <c:v>5.5</c:v>
                </c:pt>
              </c:numCache>
            </c:numRef>
          </c:xVal>
          <c:yVal>
            <c:numRef>
              <c:f>'2018-04-04'!$B$57:$B$58</c:f>
              <c:numCache>
                <c:formatCode>0.000</c:formatCode>
                <c:ptCount val="2"/>
                <c:pt idx="0">
                  <c:v>479.31299999999999</c:v>
                </c:pt>
                <c:pt idx="1">
                  <c:v>480.81299999999999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03-40B2-842C-62DDC70CD9F1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'2018-04-04'!$A$55:$A$56</c:f>
              <c:numCache>
                <c:formatCode>0.00</c:formatCode>
                <c:ptCount val="2"/>
                <c:pt idx="0">
                  <c:v>4.9000000000000004</c:v>
                </c:pt>
                <c:pt idx="1">
                  <c:v>4.9000000000000004</c:v>
                </c:pt>
              </c:numCache>
            </c:numRef>
          </c:xVal>
          <c:yVal>
            <c:numRef>
              <c:f>'2018-04-04'!$B$55:$B$56</c:f>
              <c:numCache>
                <c:formatCode>0.000</c:formatCode>
                <c:ptCount val="2"/>
                <c:pt idx="0">
                  <c:v>478.32</c:v>
                </c:pt>
                <c:pt idx="1">
                  <c:v>480.32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03-40B2-842C-62DDC70CD9F1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'2018-04-04'!$A$53:$A$54</c:f>
              <c:numCache>
                <c:formatCode>0.00</c:formatCode>
                <c:ptCount val="2"/>
                <c:pt idx="0">
                  <c:v>4.9000000000000004</c:v>
                </c:pt>
                <c:pt idx="1">
                  <c:v>12.549999999999994</c:v>
                </c:pt>
              </c:numCache>
            </c:numRef>
          </c:xVal>
          <c:yVal>
            <c:numRef>
              <c:f>'2018-04-04'!$B$53:$B$54</c:f>
              <c:numCache>
                <c:formatCode>0.000</c:formatCode>
                <c:ptCount val="2"/>
                <c:pt idx="0">
                  <c:v>478.89100000000002</c:v>
                </c:pt>
                <c:pt idx="1">
                  <c:v>478.88799999999998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03-40B2-842C-62DDC70CD9F1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'2018-04-04'!$A$59:$A$60</c:f>
              <c:numCache>
                <c:formatCode>0.00</c:formatCode>
                <c:ptCount val="2"/>
              </c:numCache>
            </c:numRef>
          </c:xVal>
          <c:yVal>
            <c:numRef>
              <c:f>'2018-04-04'!$B$59:$B$60</c:f>
              <c:numCache>
                <c:formatCode>0.000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03-40B2-842C-62DDC70CD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41320"/>
        <c:axId val="192709488"/>
      </c:scatterChart>
      <c:valAx>
        <c:axId val="1923413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09488"/>
        <c:crosses val="autoZero"/>
        <c:crossBetween val="midCat"/>
      </c:valAx>
      <c:valAx>
        <c:axId val="192709488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3413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RAMIREZ, Dibujó: RAMIREZ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19/07/2018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33457061079752681"/>
          <c:y val="0.1049908290875405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'2018-07-19'!$A$5:$A$35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8</c:v>
                </c:pt>
                <c:pt idx="4">
                  <c:v>10</c:v>
                </c:pt>
                <c:pt idx="5">
                  <c:v>11.5</c:v>
                </c:pt>
                <c:pt idx="6">
                  <c:v>12.5</c:v>
                </c:pt>
                <c:pt idx="7">
                  <c:v>13.2</c:v>
                </c:pt>
                <c:pt idx="8">
                  <c:v>13.7</c:v>
                </c:pt>
                <c:pt idx="9">
                  <c:v>14.2</c:v>
                </c:pt>
                <c:pt idx="10">
                  <c:v>14.7</c:v>
                </c:pt>
                <c:pt idx="11">
                  <c:v>15.2</c:v>
                </c:pt>
                <c:pt idx="12">
                  <c:v>15.7</c:v>
                </c:pt>
                <c:pt idx="13">
                  <c:v>16.099999999999998</c:v>
                </c:pt>
                <c:pt idx="14">
                  <c:v>16.499999999999996</c:v>
                </c:pt>
                <c:pt idx="15">
                  <c:v>16.899999999999995</c:v>
                </c:pt>
                <c:pt idx="16">
                  <c:v>17.299999999999994</c:v>
                </c:pt>
                <c:pt idx="17">
                  <c:v>17.699999999999992</c:v>
                </c:pt>
                <c:pt idx="18">
                  <c:v>18.099999999999991</c:v>
                </c:pt>
                <c:pt idx="19">
                  <c:v>18.499999999999989</c:v>
                </c:pt>
                <c:pt idx="20">
                  <c:v>18.899999999999988</c:v>
                </c:pt>
                <c:pt idx="21">
                  <c:v>19.299999999999986</c:v>
                </c:pt>
                <c:pt idx="22">
                  <c:v>19.799999999999986</c:v>
                </c:pt>
                <c:pt idx="23">
                  <c:v>20.299999999999986</c:v>
                </c:pt>
                <c:pt idx="24">
                  <c:v>21.199999999999985</c:v>
                </c:pt>
                <c:pt idx="25">
                  <c:v>27.699999999999985</c:v>
                </c:pt>
                <c:pt idx="26">
                  <c:v>29.999999999999986</c:v>
                </c:pt>
                <c:pt idx="27">
                  <c:v>29.999999999999986</c:v>
                </c:pt>
                <c:pt idx="28">
                  <c:v>30.999999999999986</c:v>
                </c:pt>
              </c:numCache>
            </c:numRef>
          </c:xVal>
          <c:yVal>
            <c:numRef>
              <c:f>'2018-07-19'!$B$5:$B$33</c:f>
              <c:numCache>
                <c:formatCode>0.000</c:formatCode>
                <c:ptCount val="29"/>
                <c:pt idx="0">
                  <c:v>480.02</c:v>
                </c:pt>
                <c:pt idx="1">
                  <c:v>480.54499999999996</c:v>
                </c:pt>
                <c:pt idx="2">
                  <c:v>480.09199999999998</c:v>
                </c:pt>
                <c:pt idx="3">
                  <c:v>480.43699999999995</c:v>
                </c:pt>
                <c:pt idx="4">
                  <c:v>480.17499999999995</c:v>
                </c:pt>
                <c:pt idx="5">
                  <c:v>479.23999999999995</c:v>
                </c:pt>
                <c:pt idx="6">
                  <c:v>478.93</c:v>
                </c:pt>
                <c:pt idx="7">
                  <c:v>478.81</c:v>
                </c:pt>
                <c:pt idx="8">
                  <c:v>478.79</c:v>
                </c:pt>
                <c:pt idx="9">
                  <c:v>478.73</c:v>
                </c:pt>
                <c:pt idx="10">
                  <c:v>478.72</c:v>
                </c:pt>
                <c:pt idx="11">
                  <c:v>478.73</c:v>
                </c:pt>
                <c:pt idx="12">
                  <c:v>478.66</c:v>
                </c:pt>
                <c:pt idx="13">
                  <c:v>478.69</c:v>
                </c:pt>
                <c:pt idx="14">
                  <c:v>478.56</c:v>
                </c:pt>
                <c:pt idx="15">
                  <c:v>478.6</c:v>
                </c:pt>
                <c:pt idx="16">
                  <c:v>478.61</c:v>
                </c:pt>
                <c:pt idx="17">
                  <c:v>478.57</c:v>
                </c:pt>
                <c:pt idx="18">
                  <c:v>478.54</c:v>
                </c:pt>
                <c:pt idx="19">
                  <c:v>478.51</c:v>
                </c:pt>
                <c:pt idx="20">
                  <c:v>478.6</c:v>
                </c:pt>
                <c:pt idx="21">
                  <c:v>478.64</c:v>
                </c:pt>
                <c:pt idx="22">
                  <c:v>478.82</c:v>
                </c:pt>
                <c:pt idx="23">
                  <c:v>478.73</c:v>
                </c:pt>
                <c:pt idx="24">
                  <c:v>478.93</c:v>
                </c:pt>
                <c:pt idx="25">
                  <c:v>479.62</c:v>
                </c:pt>
                <c:pt idx="26">
                  <c:v>480.39</c:v>
                </c:pt>
                <c:pt idx="27">
                  <c:v>480.709</c:v>
                </c:pt>
                <c:pt idx="28">
                  <c:v>480.709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3-442F-B0BD-DBC4E18EB97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'2018-07-19'!$A$57:$A$58</c:f>
              <c:numCache>
                <c:formatCode>0.00</c:formatCode>
                <c:ptCount val="2"/>
                <c:pt idx="0">
                  <c:v>11.6</c:v>
                </c:pt>
                <c:pt idx="1">
                  <c:v>11.6</c:v>
                </c:pt>
              </c:numCache>
            </c:numRef>
          </c:xVal>
          <c:yVal>
            <c:numRef>
              <c:f>'2018-07-19'!$B$57:$B$58</c:f>
              <c:numCache>
                <c:formatCode>0.000</c:formatCode>
                <c:ptCount val="2"/>
                <c:pt idx="0">
                  <c:v>479.31299999999999</c:v>
                </c:pt>
                <c:pt idx="1">
                  <c:v>480.81299999999999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3-442F-B0BD-DBC4E18EB97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'2018-07-19'!$A$55:$A$56</c:f>
              <c:numCache>
                <c:formatCode>0.00</c:formatCode>
                <c:ptCount val="2"/>
                <c:pt idx="0">
                  <c:v>13.4</c:v>
                </c:pt>
                <c:pt idx="1">
                  <c:v>13.4</c:v>
                </c:pt>
              </c:numCache>
            </c:numRef>
          </c:xVal>
          <c:yVal>
            <c:numRef>
              <c:f>'2018-07-19'!$B$55:$B$56</c:f>
              <c:numCache>
                <c:formatCode>0.000</c:formatCode>
                <c:ptCount val="2"/>
                <c:pt idx="0">
                  <c:v>478.33</c:v>
                </c:pt>
                <c:pt idx="1">
                  <c:v>480.33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83-442F-B0BD-DBC4E18EB97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'2018-07-19'!$A$53:$A$54</c:f>
              <c:numCache>
                <c:formatCode>0.00</c:formatCode>
                <c:ptCount val="2"/>
                <c:pt idx="0">
                  <c:v>12.5</c:v>
                </c:pt>
                <c:pt idx="1">
                  <c:v>21.199999999999985</c:v>
                </c:pt>
              </c:numCache>
            </c:numRef>
          </c:xVal>
          <c:yVal>
            <c:numRef>
              <c:f>'2018-07-19'!$B$53:$B$54</c:f>
              <c:numCache>
                <c:formatCode>0.000</c:formatCode>
                <c:ptCount val="2"/>
                <c:pt idx="0">
                  <c:v>478.93</c:v>
                </c:pt>
                <c:pt idx="1">
                  <c:v>478.93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83-442F-B0BD-DBC4E18EB97B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'2018-07-19'!$A$59:$A$60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'2018-07-19'!$B$59:$B$60</c:f>
              <c:numCache>
                <c:formatCode>0.000</c:formatCode>
                <c:ptCount val="2"/>
                <c:pt idx="0">
                  <c:v>480.54500000000002</c:v>
                </c:pt>
                <c:pt idx="1">
                  <c:v>483.51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83-442F-B0BD-DBC4E18EB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10664"/>
        <c:axId val="192711056"/>
      </c:scatterChart>
      <c:valAx>
        <c:axId val="1927106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1056"/>
        <c:crosses val="autoZero"/>
        <c:crossBetween val="midCat"/>
      </c:valAx>
      <c:valAx>
        <c:axId val="192711056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06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J.OCAMPO, Dibujó: J.OCAMPO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13/03/2019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33457061079752681"/>
          <c:y val="0.1049908290875405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'2019-03-13'!$A$5:$A$35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11</c:v>
                </c:pt>
                <c:pt idx="5">
                  <c:v>13</c:v>
                </c:pt>
                <c:pt idx="6">
                  <c:v>14</c:v>
                </c:pt>
                <c:pt idx="7">
                  <c:v>14.7</c:v>
                </c:pt>
                <c:pt idx="8">
                  <c:v>15.1</c:v>
                </c:pt>
                <c:pt idx="9">
                  <c:v>15.5</c:v>
                </c:pt>
                <c:pt idx="10">
                  <c:v>15.9</c:v>
                </c:pt>
                <c:pt idx="11">
                  <c:v>16.3</c:v>
                </c:pt>
                <c:pt idx="12">
                  <c:v>16.7</c:v>
                </c:pt>
                <c:pt idx="13">
                  <c:v>17.099999999999998</c:v>
                </c:pt>
                <c:pt idx="14">
                  <c:v>17.499999999999996</c:v>
                </c:pt>
                <c:pt idx="15">
                  <c:v>17.899999999999995</c:v>
                </c:pt>
                <c:pt idx="16">
                  <c:v>18.299999999999994</c:v>
                </c:pt>
                <c:pt idx="17">
                  <c:v>18.699999999999992</c:v>
                </c:pt>
                <c:pt idx="18">
                  <c:v>19.099999999999991</c:v>
                </c:pt>
                <c:pt idx="19">
                  <c:v>19.499999999999989</c:v>
                </c:pt>
                <c:pt idx="20">
                  <c:v>19.899999999999988</c:v>
                </c:pt>
                <c:pt idx="21">
                  <c:v>20.299999999999986</c:v>
                </c:pt>
                <c:pt idx="22">
                  <c:v>20.699999999999985</c:v>
                </c:pt>
                <c:pt idx="23">
                  <c:v>21.099999999999984</c:v>
                </c:pt>
                <c:pt idx="24">
                  <c:v>21.499999999999982</c:v>
                </c:pt>
                <c:pt idx="25">
                  <c:v>22.299999999999983</c:v>
                </c:pt>
                <c:pt idx="26">
                  <c:v>23.799999999999983</c:v>
                </c:pt>
                <c:pt idx="27">
                  <c:v>26.799999999999983</c:v>
                </c:pt>
                <c:pt idx="28">
                  <c:v>27.799999999999983</c:v>
                </c:pt>
              </c:numCache>
            </c:numRef>
          </c:xVal>
          <c:yVal>
            <c:numRef>
              <c:f>'2019-03-13'!$B$5:$B$33</c:f>
              <c:numCache>
                <c:formatCode>0.000</c:formatCode>
                <c:ptCount val="29"/>
                <c:pt idx="0">
                  <c:v>480.02</c:v>
                </c:pt>
                <c:pt idx="1">
                  <c:v>480.72300000000001</c:v>
                </c:pt>
                <c:pt idx="2">
                  <c:v>480.34</c:v>
                </c:pt>
                <c:pt idx="3">
                  <c:v>480.44899999999996</c:v>
                </c:pt>
                <c:pt idx="4">
                  <c:v>480.20199999999994</c:v>
                </c:pt>
                <c:pt idx="5">
                  <c:v>479.26199999999994</c:v>
                </c:pt>
                <c:pt idx="6">
                  <c:v>478.87399999999997</c:v>
                </c:pt>
                <c:pt idx="7">
                  <c:v>478.72399999999999</c:v>
                </c:pt>
                <c:pt idx="8">
                  <c:v>478.71399999999994</c:v>
                </c:pt>
                <c:pt idx="9">
                  <c:v>478.72399999999999</c:v>
                </c:pt>
                <c:pt idx="10">
                  <c:v>478.70399999999995</c:v>
                </c:pt>
                <c:pt idx="11">
                  <c:v>478.69399999999996</c:v>
                </c:pt>
                <c:pt idx="12">
                  <c:v>478.67399999999998</c:v>
                </c:pt>
                <c:pt idx="13">
                  <c:v>478.65399999999994</c:v>
                </c:pt>
                <c:pt idx="14">
                  <c:v>478.65399999999994</c:v>
                </c:pt>
                <c:pt idx="15">
                  <c:v>478.66399999999999</c:v>
                </c:pt>
                <c:pt idx="16">
                  <c:v>478.65399999999994</c:v>
                </c:pt>
                <c:pt idx="17">
                  <c:v>478.63399999999996</c:v>
                </c:pt>
                <c:pt idx="18">
                  <c:v>478.65399999999994</c:v>
                </c:pt>
                <c:pt idx="19">
                  <c:v>478.65399999999994</c:v>
                </c:pt>
                <c:pt idx="20">
                  <c:v>478.70399999999995</c:v>
                </c:pt>
                <c:pt idx="21">
                  <c:v>478.60399999999998</c:v>
                </c:pt>
                <c:pt idx="22">
                  <c:v>478.72399999999999</c:v>
                </c:pt>
                <c:pt idx="23">
                  <c:v>478.69399999999996</c:v>
                </c:pt>
                <c:pt idx="24">
                  <c:v>478.69399999999996</c:v>
                </c:pt>
                <c:pt idx="25">
                  <c:v>478.87399999999997</c:v>
                </c:pt>
                <c:pt idx="26">
                  <c:v>478.89899999999994</c:v>
                </c:pt>
                <c:pt idx="27">
                  <c:v>480.62399999999997</c:v>
                </c:pt>
                <c:pt idx="28">
                  <c:v>481.16399999999999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5-4BD3-9FCF-E7BBE974C1B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'2019-03-13'!$A$57:$A$58</c:f>
              <c:numCache>
                <c:formatCode>0.00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'2019-03-13'!$B$57:$B$58</c:f>
              <c:numCache>
                <c:formatCode>0.000</c:formatCode>
                <c:ptCount val="2"/>
                <c:pt idx="0">
                  <c:v>479.33300000000003</c:v>
                </c:pt>
                <c:pt idx="1">
                  <c:v>480.83300000000003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5-4BD3-9FCF-E7BBE974C1B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'2019-03-13'!$A$55:$A$56</c:f>
              <c:numCache>
                <c:formatCode>0.00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'2019-03-13'!$B$55:$B$56</c:f>
              <c:numCache>
                <c:formatCode>0.000</c:formatCode>
                <c:ptCount val="2"/>
                <c:pt idx="0">
                  <c:v>478.34199999999998</c:v>
                </c:pt>
                <c:pt idx="1">
                  <c:v>480.34199999999998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5-4BD3-9FCF-E7BBE974C1B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'2019-03-13'!$A$53:$A$54</c:f>
              <c:numCache>
                <c:formatCode>0.00</c:formatCode>
                <c:ptCount val="2"/>
                <c:pt idx="0">
                  <c:v>14</c:v>
                </c:pt>
                <c:pt idx="1">
                  <c:v>22.299999999999983</c:v>
                </c:pt>
              </c:numCache>
            </c:numRef>
          </c:xVal>
          <c:yVal>
            <c:numRef>
              <c:f>'2019-03-13'!$B$53:$B$54</c:f>
              <c:numCache>
                <c:formatCode>0.000</c:formatCode>
                <c:ptCount val="2"/>
                <c:pt idx="0">
                  <c:v>478.87399999999997</c:v>
                </c:pt>
                <c:pt idx="1">
                  <c:v>478.87399999999997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5-4BD3-9FCF-E7BBE974C1B3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'2019-03-13'!$A$59:$A$60</c:f>
              <c:numCache>
                <c:formatCode>0.00</c:formatCode>
                <c:ptCount val="2"/>
                <c:pt idx="0">
                  <c:v>0</c:v>
                </c:pt>
                <c:pt idx="1">
                  <c:v>27.8</c:v>
                </c:pt>
              </c:numCache>
            </c:numRef>
          </c:xVal>
          <c:yVal>
            <c:numRef>
              <c:f>'2019-03-13'!$B$59:$B$60</c:f>
              <c:numCache>
                <c:formatCode>0.000</c:formatCode>
                <c:ptCount val="2"/>
                <c:pt idx="0">
                  <c:v>481.16500000000002</c:v>
                </c:pt>
                <c:pt idx="1">
                  <c:v>481.16500000000002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75-4BD3-9FCF-E7BBE974C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12232"/>
        <c:axId val="192712624"/>
      </c:scatterChart>
      <c:valAx>
        <c:axId val="192712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2624"/>
        <c:crosses val="autoZero"/>
        <c:crossBetween val="midCat"/>
      </c:valAx>
      <c:valAx>
        <c:axId val="192712624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22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GUEVARA, Dibujó: J.OCAMPO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20/07/2019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33457061079752681"/>
          <c:y val="0.1049908290875405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'2019-07-20'!$A$5:$A$35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10</c:v>
                </c:pt>
                <c:pt idx="5">
                  <c:v>12</c:v>
                </c:pt>
                <c:pt idx="6">
                  <c:v>13</c:v>
                </c:pt>
                <c:pt idx="7">
                  <c:v>13.5</c:v>
                </c:pt>
                <c:pt idx="8">
                  <c:v>14</c:v>
                </c:pt>
                <c:pt idx="9">
                  <c:v>14.5</c:v>
                </c:pt>
                <c:pt idx="10">
                  <c:v>15</c:v>
                </c:pt>
                <c:pt idx="11">
                  <c:v>15.5</c:v>
                </c:pt>
                <c:pt idx="12">
                  <c:v>16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18</c:v>
                </c:pt>
                <c:pt idx="17">
                  <c:v>18.5</c:v>
                </c:pt>
                <c:pt idx="18">
                  <c:v>19</c:v>
                </c:pt>
                <c:pt idx="19">
                  <c:v>19.5</c:v>
                </c:pt>
                <c:pt idx="20">
                  <c:v>20</c:v>
                </c:pt>
                <c:pt idx="21">
                  <c:v>20.5</c:v>
                </c:pt>
                <c:pt idx="22">
                  <c:v>21</c:v>
                </c:pt>
                <c:pt idx="23">
                  <c:v>21.5</c:v>
                </c:pt>
                <c:pt idx="24">
                  <c:v>23</c:v>
                </c:pt>
                <c:pt idx="25">
                  <c:v>25</c:v>
                </c:pt>
                <c:pt idx="26">
                  <c:v>27.5</c:v>
                </c:pt>
                <c:pt idx="27">
                  <c:v>28.5</c:v>
                </c:pt>
              </c:numCache>
            </c:numRef>
          </c:xVal>
          <c:yVal>
            <c:numRef>
              <c:f>'2019-07-20'!$B$5:$B$33</c:f>
              <c:numCache>
                <c:formatCode>0.000</c:formatCode>
                <c:ptCount val="29"/>
                <c:pt idx="0">
                  <c:v>480.02</c:v>
                </c:pt>
                <c:pt idx="1">
                  <c:v>480.72300000000001</c:v>
                </c:pt>
                <c:pt idx="2">
                  <c:v>480.20199999999994</c:v>
                </c:pt>
                <c:pt idx="3">
                  <c:v>480.14</c:v>
                </c:pt>
                <c:pt idx="4">
                  <c:v>480.34299999999996</c:v>
                </c:pt>
                <c:pt idx="5">
                  <c:v>479.34899999999999</c:v>
                </c:pt>
                <c:pt idx="6">
                  <c:v>478.98299999999995</c:v>
                </c:pt>
                <c:pt idx="7">
                  <c:v>478.79299999999995</c:v>
                </c:pt>
                <c:pt idx="8">
                  <c:v>478.76299999999992</c:v>
                </c:pt>
                <c:pt idx="9">
                  <c:v>478.74299999999994</c:v>
                </c:pt>
                <c:pt idx="10">
                  <c:v>478.75299999999993</c:v>
                </c:pt>
                <c:pt idx="11">
                  <c:v>478.71299999999997</c:v>
                </c:pt>
                <c:pt idx="12">
                  <c:v>478.69299999999993</c:v>
                </c:pt>
                <c:pt idx="13">
                  <c:v>478.70299999999997</c:v>
                </c:pt>
                <c:pt idx="14">
                  <c:v>478.65299999999996</c:v>
                </c:pt>
                <c:pt idx="15">
                  <c:v>478.63299999999992</c:v>
                </c:pt>
                <c:pt idx="16">
                  <c:v>478.60299999999995</c:v>
                </c:pt>
                <c:pt idx="17">
                  <c:v>478.62299999999993</c:v>
                </c:pt>
                <c:pt idx="18">
                  <c:v>478.63299999999992</c:v>
                </c:pt>
                <c:pt idx="19">
                  <c:v>478.66299999999995</c:v>
                </c:pt>
                <c:pt idx="20">
                  <c:v>478.69299999999993</c:v>
                </c:pt>
                <c:pt idx="21">
                  <c:v>478.73299999999995</c:v>
                </c:pt>
                <c:pt idx="22">
                  <c:v>478.77299999999997</c:v>
                </c:pt>
                <c:pt idx="23">
                  <c:v>478.70299999999997</c:v>
                </c:pt>
                <c:pt idx="24">
                  <c:v>478.98299999999995</c:v>
                </c:pt>
                <c:pt idx="25">
                  <c:v>479.42399999999998</c:v>
                </c:pt>
                <c:pt idx="26">
                  <c:v>480.70699999999999</c:v>
                </c:pt>
                <c:pt idx="27">
                  <c:v>481.02199999999999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1-48FA-8AAF-6F6341BDE8BC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'2019-07-20'!$A$57:$A$58</c:f>
              <c:numCache>
                <c:formatCode>0.00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'2019-07-20'!$B$57:$B$58</c:f>
              <c:numCache>
                <c:formatCode>0.000</c:formatCode>
                <c:ptCount val="2"/>
                <c:pt idx="0">
                  <c:v>479.33600000000001</c:v>
                </c:pt>
                <c:pt idx="1">
                  <c:v>480.83600000000001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31-48FA-8AAF-6F6341BDE8BC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'2019-07-20'!$A$55:$A$56</c:f>
              <c:numCache>
                <c:formatCode>0.00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'2019-07-20'!$B$55:$B$56</c:f>
              <c:numCache>
                <c:formatCode>0.000</c:formatCode>
                <c:ptCount val="2"/>
                <c:pt idx="0">
                  <c:v>478.34899999999999</c:v>
                </c:pt>
                <c:pt idx="1">
                  <c:v>480.34899999999999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31-48FA-8AAF-6F6341BDE8BC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'2019-07-20'!$A$53:$A$54</c:f>
              <c:numCache>
                <c:formatCode>0.00</c:formatCode>
                <c:ptCount val="2"/>
                <c:pt idx="0">
                  <c:v>13</c:v>
                </c:pt>
                <c:pt idx="1">
                  <c:v>23</c:v>
                </c:pt>
              </c:numCache>
            </c:numRef>
          </c:xVal>
          <c:yVal>
            <c:numRef>
              <c:f>'2019-07-20'!$B$53:$B$54</c:f>
              <c:numCache>
                <c:formatCode>0.000</c:formatCode>
                <c:ptCount val="2"/>
                <c:pt idx="0">
                  <c:v>478.98299999999995</c:v>
                </c:pt>
                <c:pt idx="1">
                  <c:v>478.98299999999995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31-48FA-8AAF-6F6341BDE8BC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'2019-07-20'!$A$59:$A$60</c:f>
              <c:numCache>
                <c:formatCode>0.00</c:formatCode>
                <c:ptCount val="2"/>
                <c:pt idx="0">
                  <c:v>0</c:v>
                </c:pt>
                <c:pt idx="1">
                  <c:v>28.5</c:v>
                </c:pt>
              </c:numCache>
            </c:numRef>
          </c:xVal>
          <c:yVal>
            <c:numRef>
              <c:f>'2019-07-20'!$B$59:$B$60</c:f>
              <c:numCache>
                <c:formatCode>0.000</c:formatCode>
                <c:ptCount val="2"/>
                <c:pt idx="0">
                  <c:v>481.02199999999999</c:v>
                </c:pt>
                <c:pt idx="1">
                  <c:v>481.02199999999999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731-48FA-8AAF-6F6341BD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13800"/>
        <c:axId val="192714192"/>
      </c:scatterChart>
      <c:valAx>
        <c:axId val="192713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4192"/>
        <c:crosses val="autoZero"/>
        <c:crossBetween val="midCat"/>
      </c:valAx>
      <c:valAx>
        <c:axId val="192714192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38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E. TAMAYO, Dibujó: J. 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4/03/2020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33457061079752681"/>
          <c:y val="0.1049908290875405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'2020-03-04'!$A$5:$A$29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10.5</c:v>
                </c:pt>
                <c:pt idx="5">
                  <c:v>11.5</c:v>
                </c:pt>
                <c:pt idx="6">
                  <c:v>14.5</c:v>
                </c:pt>
                <c:pt idx="7">
                  <c:v>15.5</c:v>
                </c:pt>
                <c:pt idx="8">
                  <c:v>16</c:v>
                </c:pt>
                <c:pt idx="9">
                  <c:v>16.5</c:v>
                </c:pt>
                <c:pt idx="10">
                  <c:v>17</c:v>
                </c:pt>
                <c:pt idx="11">
                  <c:v>17.5</c:v>
                </c:pt>
                <c:pt idx="12">
                  <c:v>18</c:v>
                </c:pt>
                <c:pt idx="13">
                  <c:v>18.5</c:v>
                </c:pt>
                <c:pt idx="14">
                  <c:v>19</c:v>
                </c:pt>
                <c:pt idx="15">
                  <c:v>19.5</c:v>
                </c:pt>
                <c:pt idx="16">
                  <c:v>20</c:v>
                </c:pt>
                <c:pt idx="17">
                  <c:v>20.5</c:v>
                </c:pt>
                <c:pt idx="18">
                  <c:v>21</c:v>
                </c:pt>
                <c:pt idx="19">
                  <c:v>21.5</c:v>
                </c:pt>
                <c:pt idx="20">
                  <c:v>22</c:v>
                </c:pt>
                <c:pt idx="21">
                  <c:v>23</c:v>
                </c:pt>
                <c:pt idx="22">
                  <c:v>24.5</c:v>
                </c:pt>
                <c:pt idx="23">
                  <c:v>26</c:v>
                </c:pt>
                <c:pt idx="24">
                  <c:v>27.7</c:v>
                </c:pt>
              </c:numCache>
            </c:numRef>
          </c:xVal>
          <c:yVal>
            <c:numRef>
              <c:f>'2020-03-04'!$B$5:$B$29</c:f>
              <c:numCache>
                <c:formatCode>0.000</c:formatCode>
                <c:ptCount val="25"/>
                <c:pt idx="0">
                  <c:v>480.02</c:v>
                </c:pt>
                <c:pt idx="1">
                  <c:v>480.72300000000001</c:v>
                </c:pt>
                <c:pt idx="2">
                  <c:v>479.78699999999998</c:v>
                </c:pt>
                <c:pt idx="3">
                  <c:v>479.71600000000001</c:v>
                </c:pt>
                <c:pt idx="4">
                  <c:v>480.089</c:v>
                </c:pt>
                <c:pt idx="5">
                  <c:v>479.10899999999998</c:v>
                </c:pt>
                <c:pt idx="6">
                  <c:v>478.86500000000001</c:v>
                </c:pt>
                <c:pt idx="7">
                  <c:v>478.755</c:v>
                </c:pt>
                <c:pt idx="8">
                  <c:v>478.69499999999999</c:v>
                </c:pt>
                <c:pt idx="9">
                  <c:v>478.66500000000002</c:v>
                </c:pt>
                <c:pt idx="10">
                  <c:v>478.65500000000003</c:v>
                </c:pt>
                <c:pt idx="11">
                  <c:v>478.69499999999999</c:v>
                </c:pt>
                <c:pt idx="12">
                  <c:v>478.685</c:v>
                </c:pt>
                <c:pt idx="13">
                  <c:v>478.625</c:v>
                </c:pt>
                <c:pt idx="14">
                  <c:v>478.65500000000003</c:v>
                </c:pt>
                <c:pt idx="15">
                  <c:v>478.58500000000004</c:v>
                </c:pt>
                <c:pt idx="16">
                  <c:v>478.71500000000003</c:v>
                </c:pt>
                <c:pt idx="17">
                  <c:v>478.63499999999999</c:v>
                </c:pt>
                <c:pt idx="18">
                  <c:v>478.66500000000002</c:v>
                </c:pt>
                <c:pt idx="19">
                  <c:v>478.70499999999998</c:v>
                </c:pt>
                <c:pt idx="20">
                  <c:v>478.70499999999998</c:v>
                </c:pt>
                <c:pt idx="21">
                  <c:v>478.86500000000001</c:v>
                </c:pt>
                <c:pt idx="22">
                  <c:v>479.09300000000002</c:v>
                </c:pt>
                <c:pt idx="23">
                  <c:v>479.46199999999999</c:v>
                </c:pt>
                <c:pt idx="24">
                  <c:v>480.23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B-4C35-B69C-C1CDC77D82CD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'2020-03-04'!$A$57:$A$58</c:f>
              <c:numCache>
                <c:formatCode>0.00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xVal>
          <c:yVal>
            <c:numRef>
              <c:f>'2020-03-04'!$B$57:$B$58</c:f>
              <c:numCache>
                <c:formatCode>0.000</c:formatCode>
                <c:ptCount val="2"/>
                <c:pt idx="0">
                  <c:v>479.33600000000001</c:v>
                </c:pt>
                <c:pt idx="1">
                  <c:v>480.83600000000001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6B-4C35-B69C-C1CDC77D82CD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'2020-03-04'!$A$55:$A$56</c:f>
              <c:numCache>
                <c:formatCode>0.00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'2020-03-04'!$B$55:$B$56</c:f>
              <c:numCache>
                <c:formatCode>0.000</c:formatCode>
                <c:ptCount val="2"/>
                <c:pt idx="0">
                  <c:v>478.34699999999998</c:v>
                </c:pt>
                <c:pt idx="1">
                  <c:v>480.34699999999998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6B-4C35-B69C-C1CDC77D82CD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'2020-03-04'!$A$53:$A$54</c:f>
              <c:numCache>
                <c:formatCode>0.00</c:formatCode>
                <c:ptCount val="2"/>
                <c:pt idx="0">
                  <c:v>14.5</c:v>
                </c:pt>
                <c:pt idx="1">
                  <c:v>23</c:v>
                </c:pt>
              </c:numCache>
            </c:numRef>
          </c:xVal>
          <c:yVal>
            <c:numRef>
              <c:f>'2020-03-04'!$B$53:$B$54</c:f>
              <c:numCache>
                <c:formatCode>0.000</c:formatCode>
                <c:ptCount val="2"/>
                <c:pt idx="0">
                  <c:v>478.86500000000001</c:v>
                </c:pt>
                <c:pt idx="1">
                  <c:v>478.86500000000001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6B-4C35-B69C-C1CDC77D82CD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'2020-03-04'!$A$59:$A$60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'2020-03-04'!$B$59:$B$60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06B-4C35-B69C-C1CDC77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15368"/>
        <c:axId val="192715760"/>
      </c:scatterChart>
      <c:valAx>
        <c:axId val="1927153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5760"/>
        <c:crosses val="autoZero"/>
        <c:crossBetween val="midCat"/>
      </c:valAx>
      <c:valAx>
        <c:axId val="192715760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927153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BOCATOMA 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DEDO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44037120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E. TAMAYO, Dibujó: J. CALDERÓN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12/10/2021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33457061079752681"/>
          <c:y val="0.1049908290875405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'2021-10-12'!$A$5:$A$34</c:f>
              <c:numCache>
                <c:formatCode>0.000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3.2</c:v>
                </c:pt>
                <c:pt idx="5">
                  <c:v>3.2</c:v>
                </c:pt>
                <c:pt idx="6">
                  <c:v>3.7160000000000002</c:v>
                </c:pt>
                <c:pt idx="7">
                  <c:v>4.2320000000000002</c:v>
                </c:pt>
                <c:pt idx="8">
                  <c:v>4.7480000000000002</c:v>
                </c:pt>
                <c:pt idx="9">
                  <c:v>5.2640000000000002</c:v>
                </c:pt>
                <c:pt idx="10">
                  <c:v>5.78</c:v>
                </c:pt>
                <c:pt idx="11">
                  <c:v>6.2960000000000003</c:v>
                </c:pt>
                <c:pt idx="12">
                  <c:v>6.8120000000000003</c:v>
                </c:pt>
                <c:pt idx="13">
                  <c:v>7.3280000000000003</c:v>
                </c:pt>
                <c:pt idx="14">
                  <c:v>7.8440000000000003</c:v>
                </c:pt>
                <c:pt idx="15">
                  <c:v>8.36</c:v>
                </c:pt>
                <c:pt idx="16">
                  <c:v>8.8759999999999994</c:v>
                </c:pt>
                <c:pt idx="17">
                  <c:v>9.3919999999999995</c:v>
                </c:pt>
                <c:pt idx="18">
                  <c:v>9.9079999999999995</c:v>
                </c:pt>
                <c:pt idx="19">
                  <c:v>10.423999999999999</c:v>
                </c:pt>
                <c:pt idx="20">
                  <c:v>10.94</c:v>
                </c:pt>
                <c:pt idx="21">
                  <c:v>11.456</c:v>
                </c:pt>
                <c:pt idx="22">
                  <c:v>11.972</c:v>
                </c:pt>
                <c:pt idx="23">
                  <c:v>12.488</c:v>
                </c:pt>
                <c:pt idx="24">
                  <c:v>13</c:v>
                </c:pt>
                <c:pt idx="25">
                  <c:v>16</c:v>
                </c:pt>
                <c:pt idx="26">
                  <c:v>17.399999999999999</c:v>
                </c:pt>
              </c:numCache>
            </c:numRef>
          </c:xVal>
          <c:yVal>
            <c:numRef>
              <c:f>'2021-10-12'!$B$5:$B$34</c:f>
              <c:numCache>
                <c:formatCode>0.000</c:formatCode>
                <c:ptCount val="30"/>
                <c:pt idx="0">
                  <c:v>480.02</c:v>
                </c:pt>
                <c:pt idx="1">
                  <c:v>480.56399999999996</c:v>
                </c:pt>
                <c:pt idx="2">
                  <c:v>478.78499999999997</c:v>
                </c:pt>
                <c:pt idx="3">
                  <c:v>479.30599999999998</c:v>
                </c:pt>
                <c:pt idx="4">
                  <c:v>478.90099999999995</c:v>
                </c:pt>
                <c:pt idx="5">
                  <c:v>478.51099999999997</c:v>
                </c:pt>
                <c:pt idx="6">
                  <c:v>478.51099999999997</c:v>
                </c:pt>
                <c:pt idx="7">
                  <c:v>478.47099999999995</c:v>
                </c:pt>
                <c:pt idx="8">
                  <c:v>478.43099999999993</c:v>
                </c:pt>
                <c:pt idx="9">
                  <c:v>478.19099999999997</c:v>
                </c:pt>
                <c:pt idx="10">
                  <c:v>478.26099999999997</c:v>
                </c:pt>
                <c:pt idx="11">
                  <c:v>478.32099999999997</c:v>
                </c:pt>
                <c:pt idx="12">
                  <c:v>478.41099999999994</c:v>
                </c:pt>
                <c:pt idx="13">
                  <c:v>478.38099999999997</c:v>
                </c:pt>
                <c:pt idx="14">
                  <c:v>478.36099999999993</c:v>
                </c:pt>
                <c:pt idx="15">
                  <c:v>478.27099999999996</c:v>
                </c:pt>
                <c:pt idx="16">
                  <c:v>478.17099999999994</c:v>
                </c:pt>
                <c:pt idx="17">
                  <c:v>478.11099999999993</c:v>
                </c:pt>
                <c:pt idx="18">
                  <c:v>478.05099999999993</c:v>
                </c:pt>
                <c:pt idx="19">
                  <c:v>478.04099999999994</c:v>
                </c:pt>
                <c:pt idx="20">
                  <c:v>478.04099999999994</c:v>
                </c:pt>
                <c:pt idx="21">
                  <c:v>478.06099999999998</c:v>
                </c:pt>
                <c:pt idx="22">
                  <c:v>478.14099999999996</c:v>
                </c:pt>
                <c:pt idx="23">
                  <c:v>478.10099999999994</c:v>
                </c:pt>
                <c:pt idx="24">
                  <c:v>478.89899999999994</c:v>
                </c:pt>
                <c:pt idx="25">
                  <c:v>479.74999999999994</c:v>
                </c:pt>
                <c:pt idx="26">
                  <c:v>480.51399999999995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6B-4C35-B69C-C1CDC77D82CD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'2021-10-12'!$A$57:$A$58</c:f>
              <c:numCache>
                <c:formatCode>0.00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xVal>
          <c:yVal>
            <c:numRef>
              <c:f>'2021-10-12'!$B$57:$B$58</c:f>
              <c:numCache>
                <c:formatCode>0.000</c:formatCode>
                <c:ptCount val="2"/>
                <c:pt idx="0">
                  <c:v>479.33600000000001</c:v>
                </c:pt>
                <c:pt idx="1">
                  <c:v>480.83600000000001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6B-4C35-B69C-C1CDC77D82CD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'2021-10-12'!$A$55:$A$56</c:f>
              <c:numCache>
                <c:formatCode>0.00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xVal>
          <c:yVal>
            <c:numRef>
              <c:f>'2021-10-12'!$B$55:$B$56</c:f>
              <c:numCache>
                <c:formatCode>0.000</c:formatCode>
                <c:ptCount val="2"/>
                <c:pt idx="0">
                  <c:v>478.346</c:v>
                </c:pt>
                <c:pt idx="1">
                  <c:v>480.346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6B-4C35-B69C-C1CDC77D82CD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'2021-10-12'!$A$53:$A$54</c:f>
              <c:numCache>
                <c:formatCode>0.00</c:formatCode>
                <c:ptCount val="2"/>
                <c:pt idx="0">
                  <c:v>3.2</c:v>
                </c:pt>
                <c:pt idx="1">
                  <c:v>13</c:v>
                </c:pt>
              </c:numCache>
            </c:numRef>
          </c:xVal>
          <c:yVal>
            <c:numRef>
              <c:f>'2021-10-12'!$B$53:$B$54</c:f>
              <c:numCache>
                <c:formatCode>0.000</c:formatCode>
                <c:ptCount val="2"/>
                <c:pt idx="0">
                  <c:v>478.90100000000001</c:v>
                </c:pt>
                <c:pt idx="1">
                  <c:v>478.899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6B-4C35-B69C-C1CDC77D82CD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'2021-10-12'!$A$59:$A$60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'2021-10-12'!$B$59:$B$60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06B-4C35-B69C-C1CDC77D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51120"/>
        <c:axId val="152451512"/>
      </c:scatterChart>
      <c:valAx>
        <c:axId val="152451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2451512"/>
        <c:crosses val="autoZero"/>
        <c:crossBetween val="midCat"/>
      </c:valAx>
      <c:valAx>
        <c:axId val="152451512"/>
        <c:scaling>
          <c:orientation val="minMax"/>
          <c:max val="484"/>
          <c:min val="47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524511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52</xdr:row>
      <xdr:rowOff>152400</xdr:rowOff>
    </xdr:to>
    <xdr:graphicFrame macro="">
      <xdr:nvGraphicFramePr>
        <xdr:cNvPr id="7887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0.72543</cdr:y>
    </cdr:from>
    <cdr:to>
      <cdr:x>0.42711</cdr:x>
      <cdr:y>0.72543</cdr:y>
    </cdr:to>
    <cdr:sp macro="" textlink="">
      <cdr:nvSpPr>
        <cdr:cNvPr id="7987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5697" y="676542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0.72543</cdr:y>
    </cdr:from>
    <cdr:to>
      <cdr:x>0.45761</cdr:x>
      <cdr:y>0.72543</cdr:y>
    </cdr:to>
    <cdr:sp macro="" textlink="">
      <cdr:nvSpPr>
        <cdr:cNvPr id="7987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7229" y="676542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0.17996</cdr:x>
      <cdr:y>0.34633</cdr:y>
    </cdr:from>
    <cdr:to>
      <cdr:x>0.26722</cdr:x>
      <cdr:y>0.46189</cdr:y>
    </cdr:to>
    <cdr:pic>
      <cdr:nvPicPr>
        <cdr:cNvPr id="7987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044690" y="3231412"/>
          <a:ext cx="989914" cy="10763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0</xdr:row>
      <xdr:rowOff>295275</xdr:rowOff>
    </xdr:from>
    <xdr:to>
      <xdr:col>19</xdr:col>
      <xdr:colOff>247650</xdr:colOff>
      <xdr:row>52</xdr:row>
      <xdr:rowOff>19050</xdr:rowOff>
    </xdr:to>
    <xdr:graphicFrame macro="">
      <xdr:nvGraphicFramePr>
        <xdr:cNvPr id="8092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0.72419</cdr:y>
    </cdr:from>
    <cdr:to>
      <cdr:x>0.42711</cdr:x>
      <cdr:y>0.72419</cdr:y>
    </cdr:to>
    <cdr:sp macro="" textlink="">
      <cdr:nvSpPr>
        <cdr:cNvPr id="81921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5697" y="677465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0.72419</cdr:y>
    </cdr:from>
    <cdr:to>
      <cdr:x>0.45761</cdr:x>
      <cdr:y>0.72419</cdr:y>
    </cdr:to>
    <cdr:sp macro="" textlink="">
      <cdr:nvSpPr>
        <cdr:cNvPr id="81922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7229" y="677465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0.17996</cdr:x>
      <cdr:y>0.34622</cdr:y>
    </cdr:from>
    <cdr:to>
      <cdr:x>0.26722</cdr:x>
      <cdr:y>0.46099</cdr:y>
    </cdr:to>
    <cdr:pic>
      <cdr:nvPicPr>
        <cdr:cNvPr id="81923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044690" y="3237003"/>
          <a:ext cx="989914" cy="10751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0</xdr:row>
      <xdr:rowOff>295275</xdr:rowOff>
    </xdr:from>
    <xdr:to>
      <xdr:col>19</xdr:col>
      <xdr:colOff>247650</xdr:colOff>
      <xdr:row>52</xdr:row>
      <xdr:rowOff>19050</xdr:rowOff>
    </xdr:to>
    <xdr:graphicFrame macro="">
      <xdr:nvGraphicFramePr>
        <xdr:cNvPr id="8399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0.72419</cdr:y>
    </cdr:from>
    <cdr:to>
      <cdr:x>0.42711</cdr:x>
      <cdr:y>0.72419</cdr:y>
    </cdr:to>
    <cdr:sp macro="" textlink="">
      <cdr:nvSpPr>
        <cdr:cNvPr id="849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5697" y="677465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0.72419</cdr:y>
    </cdr:from>
    <cdr:to>
      <cdr:x>0.45761</cdr:x>
      <cdr:y>0.72419</cdr:y>
    </cdr:to>
    <cdr:sp macro="" textlink="">
      <cdr:nvSpPr>
        <cdr:cNvPr id="849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7229" y="677465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0.17996</cdr:x>
      <cdr:y>0.34622</cdr:y>
    </cdr:from>
    <cdr:to>
      <cdr:x>0.26722</cdr:x>
      <cdr:y>0.46099</cdr:y>
    </cdr:to>
    <cdr:pic>
      <cdr:nvPicPr>
        <cdr:cNvPr id="849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044690" y="3237003"/>
          <a:ext cx="989914" cy="10751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1</xdr:row>
      <xdr:rowOff>28575</xdr:rowOff>
    </xdr:from>
    <xdr:to>
      <xdr:col>19</xdr:col>
      <xdr:colOff>114300</xdr:colOff>
      <xdr:row>52</xdr:row>
      <xdr:rowOff>104775</xdr:rowOff>
    </xdr:to>
    <xdr:graphicFrame macro="">
      <xdr:nvGraphicFramePr>
        <xdr:cNvPr id="860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0.42687</cdr:x>
      <cdr:y>0.7232</cdr:y>
    </cdr:from>
    <cdr:to>
      <cdr:x>0.42687</cdr:x>
      <cdr:y>0.7232</cdr:y>
    </cdr:to>
    <cdr:sp macro="" textlink="">
      <cdr:nvSpPr>
        <cdr:cNvPr id="87041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2885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0.7232</cdr:y>
    </cdr:from>
    <cdr:to>
      <cdr:x>0.45761</cdr:x>
      <cdr:y>0.7232</cdr:y>
    </cdr:to>
    <cdr:sp macro="" textlink="">
      <cdr:nvSpPr>
        <cdr:cNvPr id="87042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4417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0.17971</cdr:x>
      <cdr:y>0.3451</cdr:y>
    </cdr:from>
    <cdr:to>
      <cdr:x>0.26697</cdr:x>
      <cdr:y>0.46017</cdr:y>
    </cdr:to>
    <cdr:pic>
      <cdr:nvPicPr>
        <cdr:cNvPr id="87043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041877" y="3224482"/>
          <a:ext cx="989915" cy="10763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1</xdr:row>
      <xdr:rowOff>28575</xdr:rowOff>
    </xdr:from>
    <xdr:to>
      <xdr:col>19</xdr:col>
      <xdr:colOff>114300</xdr:colOff>
      <xdr:row>52</xdr:row>
      <xdr:rowOff>104775</xdr:rowOff>
    </xdr:to>
    <xdr:graphicFrame macro="">
      <xdr:nvGraphicFramePr>
        <xdr:cNvPr id="8809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0.42687</cdr:x>
      <cdr:y>0.7232</cdr:y>
    </cdr:from>
    <cdr:to>
      <cdr:x>0.42687</cdr:x>
      <cdr:y>0.7232</cdr:y>
    </cdr:to>
    <cdr:sp macro="" textlink="">
      <cdr:nvSpPr>
        <cdr:cNvPr id="89089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2885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0.7232</cdr:y>
    </cdr:from>
    <cdr:to>
      <cdr:x>0.45761</cdr:x>
      <cdr:y>0.7232</cdr:y>
    </cdr:to>
    <cdr:sp macro="" textlink="">
      <cdr:nvSpPr>
        <cdr:cNvPr id="89090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4417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0.17971</cdr:x>
      <cdr:y>0.3451</cdr:y>
    </cdr:from>
    <cdr:to>
      <cdr:x>0.26697</cdr:x>
      <cdr:y>0.46017</cdr:y>
    </cdr:to>
    <cdr:pic>
      <cdr:nvPicPr>
        <cdr:cNvPr id="89091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041877" y="3224482"/>
          <a:ext cx="989915" cy="10763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219075</xdr:colOff>
      <xdr:row>1</xdr:row>
      <xdr:rowOff>28575</xdr:rowOff>
    </xdr:from>
    <xdr:to>
      <xdr:col>19</xdr:col>
      <xdr:colOff>114300</xdr:colOff>
      <xdr:row>52</xdr:row>
      <xdr:rowOff>104775</xdr:rowOff>
    </xdr:to>
    <xdr:graphicFrame macro="">
      <xdr:nvGraphicFramePr>
        <xdr:cNvPr id="901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0.42687</cdr:x>
      <cdr:y>0.7232</cdr:y>
    </cdr:from>
    <cdr:to>
      <cdr:x>0.42687</cdr:x>
      <cdr:y>0.7232</cdr:y>
    </cdr:to>
    <cdr:sp macro="" textlink="">
      <cdr:nvSpPr>
        <cdr:cNvPr id="91137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2885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0.7232</cdr:y>
    </cdr:from>
    <cdr:to>
      <cdr:x>0.45761</cdr:x>
      <cdr:y>0.7232</cdr:y>
    </cdr:to>
    <cdr:sp macro="" textlink="">
      <cdr:nvSpPr>
        <cdr:cNvPr id="91138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4417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0.12641</cdr:x>
      <cdr:y>0.21048</cdr:y>
    </cdr:from>
    <cdr:to>
      <cdr:x>0.21392</cdr:x>
      <cdr:y>0.32605</cdr:y>
    </cdr:to>
    <cdr:pic>
      <cdr:nvPicPr>
        <cdr:cNvPr id="91139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437242" y="1967944"/>
          <a:ext cx="989915" cy="10763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371475</xdr:colOff>
      <xdr:row>0</xdr:row>
      <xdr:rowOff>257175</xdr:rowOff>
    </xdr:from>
    <xdr:to>
      <xdr:col>19</xdr:col>
      <xdr:colOff>266700</xdr:colOff>
      <xdr:row>51</xdr:row>
      <xdr:rowOff>142875</xdr:rowOff>
    </xdr:to>
    <xdr:graphicFrame macro="">
      <xdr:nvGraphicFramePr>
        <xdr:cNvPr id="921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0.42687</cdr:x>
      <cdr:y>0.72345</cdr:y>
    </cdr:from>
    <cdr:to>
      <cdr:x>0.42687</cdr:x>
      <cdr:y>0.72345</cdr:y>
    </cdr:to>
    <cdr:sp macro="" textlink="">
      <cdr:nvSpPr>
        <cdr:cNvPr id="9318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2885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0.72345</cdr:y>
    </cdr:from>
    <cdr:to>
      <cdr:x>0.45761</cdr:x>
      <cdr:y>0.72345</cdr:y>
    </cdr:to>
    <cdr:sp macro="" textlink="">
      <cdr:nvSpPr>
        <cdr:cNvPr id="9318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4417" y="675618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0.12641</cdr:x>
      <cdr:y>0.21073</cdr:y>
    </cdr:from>
    <cdr:to>
      <cdr:x>0.21392</cdr:x>
      <cdr:y>0.32605</cdr:y>
    </cdr:to>
    <cdr:pic>
      <cdr:nvPicPr>
        <cdr:cNvPr id="93187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437242" y="1967944"/>
          <a:ext cx="989915" cy="10763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696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0.72943</cdr:y>
    </cdr:from>
    <cdr:to>
      <cdr:x>0.42711</cdr:x>
      <cdr:y>0.72943</cdr:y>
    </cdr:to>
    <cdr:sp macro="" textlink="">
      <cdr:nvSpPr>
        <cdr:cNvPr id="70657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5697" y="777779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0.72943</cdr:y>
    </cdr:from>
    <cdr:to>
      <cdr:x>0.45761</cdr:x>
      <cdr:y>0.72943</cdr:y>
    </cdr:to>
    <cdr:sp macro="" textlink="">
      <cdr:nvSpPr>
        <cdr:cNvPr id="70658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7229" y="777779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0.20822</cdr:x>
      <cdr:y>0.05576</cdr:y>
    </cdr:from>
    <cdr:to>
      <cdr:x>0.29573</cdr:x>
      <cdr:y>0.15784</cdr:y>
    </cdr:to>
    <cdr:pic>
      <cdr:nvPicPr>
        <cdr:cNvPr id="70659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5287" y="608010"/>
          <a:ext cx="989914" cy="10774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7170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0.72963</cdr:y>
    </cdr:from>
    <cdr:to>
      <cdr:x>0.42661</cdr:x>
      <cdr:y>0.72963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0.45686</cdr:x>
      <cdr:y>0.72963</cdr:y>
    </cdr:from>
    <cdr:to>
      <cdr:x>0.45686</cdr:x>
      <cdr:y>0.72963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0.05584</cdr:y>
    </cdr:from>
    <cdr:to>
      <cdr:x>0.29524</cdr:x>
      <cdr:y>0.15741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6351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0.42712</cdr:x>
      <cdr:y>0.72869</cdr:y>
    </cdr:from>
    <cdr:to>
      <cdr:x>0.42712</cdr:x>
      <cdr:y>0.72869</cdr:y>
    </cdr:to>
    <cdr:sp macro="" textlink="">
      <cdr:nvSpPr>
        <cdr:cNvPr id="6451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51321" y="7772517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0.4586</cdr:x>
      <cdr:y>0.72869</cdr:y>
    </cdr:from>
    <cdr:to>
      <cdr:x>0.4586</cdr:x>
      <cdr:y>0.72869</cdr:y>
    </cdr:to>
    <cdr:sp macro="" textlink="">
      <cdr:nvSpPr>
        <cdr:cNvPr id="6451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02853" y="7772517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0.20797</cdr:x>
      <cdr:y>0.05625</cdr:y>
    </cdr:from>
    <cdr:to>
      <cdr:x>0.29498</cdr:x>
      <cdr:y>0.15709</cdr:y>
    </cdr:to>
    <cdr:pic>
      <cdr:nvPicPr>
        <cdr:cNvPr id="6451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2475" y="602729"/>
          <a:ext cx="989914" cy="10774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583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0.72963</cdr:y>
    </cdr:from>
    <cdr:to>
      <cdr:x>0.42661</cdr:x>
      <cdr:y>0.72963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0.45686</cdr:x>
      <cdr:y>0.72963</cdr:y>
    </cdr:from>
    <cdr:to>
      <cdr:x>0.45686</cdr:x>
      <cdr:y>0.72963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0.05584</cdr:y>
    </cdr:from>
    <cdr:to>
      <cdr:x>0.29524</cdr:x>
      <cdr:y>0.15741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737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0.72963</cdr:y>
    </cdr:from>
    <cdr:to>
      <cdr:x>0.42661</cdr:x>
      <cdr:y>0.72963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0.45686</cdr:x>
      <cdr:y>0.72963</cdr:y>
    </cdr:from>
    <cdr:to>
      <cdr:x>0.45686</cdr:x>
      <cdr:y>0.72963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0.05584</cdr:y>
    </cdr:from>
    <cdr:to>
      <cdr:x>0.29524</cdr:x>
      <cdr:y>0.15741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7580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0.72098</cdr:y>
    </cdr:from>
    <cdr:to>
      <cdr:x>0.42711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0.72098</cdr:y>
    </cdr:from>
    <cdr:to>
      <cdr:x>0.4576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0.20823</cdr:x>
      <cdr:y>0.05931</cdr:y>
    </cdr:from>
    <cdr:to>
      <cdr:x>0.29524</cdr:x>
      <cdr:y>0.18532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962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0.72098</cdr:y>
    </cdr:from>
    <cdr:to>
      <cdr:x>0.42711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0.72098</cdr:y>
    </cdr:from>
    <cdr:to>
      <cdr:x>0.4576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0.20823</cdr:x>
      <cdr:y>0.05931</cdr:y>
    </cdr:from>
    <cdr:to>
      <cdr:x>0.29524</cdr:x>
      <cdr:y>0.18532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9935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0.72098</cdr:y>
    </cdr:from>
    <cdr:to>
      <cdr:x>0.42711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0.72098</cdr:y>
    </cdr:from>
    <cdr:to>
      <cdr:x>0.4576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0.20823</cdr:x>
      <cdr:y>0.05931</cdr:y>
    </cdr:from>
    <cdr:to>
      <cdr:x>0.29524</cdr:x>
      <cdr:y>0.18532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0140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0.72098</cdr:y>
    </cdr:from>
    <cdr:to>
      <cdr:x>0.42711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0.72098</cdr:y>
    </cdr:from>
    <cdr:to>
      <cdr:x>0.4576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0.20823</cdr:x>
      <cdr:y>0.05931</cdr:y>
    </cdr:from>
    <cdr:to>
      <cdr:x>0.29524</cdr:x>
      <cdr:y>0.18532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0345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0.72098</cdr:y>
    </cdr:from>
    <cdr:to>
      <cdr:x>0.42711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0.72098</cdr:y>
    </cdr:from>
    <cdr:to>
      <cdr:x>0.4576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0.20823</cdr:x>
      <cdr:y>0.05931</cdr:y>
    </cdr:from>
    <cdr:to>
      <cdr:x>0.29524</cdr:x>
      <cdr:y>0.18532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0549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0.42786</cdr:x>
      <cdr:y>0.72271</cdr:y>
    </cdr:from>
    <cdr:to>
      <cdr:x>0.42786</cdr:x>
      <cdr:y>0.72271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0.45835</cdr:x>
      <cdr:y>0.72271</cdr:y>
    </cdr:from>
    <cdr:to>
      <cdr:x>0.45835</cdr:x>
      <cdr:y>0.72271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0.17231</cdr:x>
      <cdr:y>0.28261</cdr:y>
    </cdr:from>
    <cdr:to>
      <cdr:x>0.25907</cdr:x>
      <cdr:y>0.4069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1369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0.4276</cdr:x>
      <cdr:y>0.72098</cdr:y>
    </cdr:from>
    <cdr:to>
      <cdr:x>0.4276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0.45785</cdr:x>
      <cdr:y>0.72098</cdr:y>
    </cdr:from>
    <cdr:to>
      <cdr:x>0.45785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0.07716</cdr:x>
      <cdr:y>0.03757</cdr:y>
    </cdr:from>
    <cdr:to>
      <cdr:x>0.17036</cdr:x>
      <cdr:y>0.16383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1573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0.4276</cdr:x>
      <cdr:y>0.72172</cdr:y>
    </cdr:from>
    <cdr:to>
      <cdr:x>0.4276</cdr:x>
      <cdr:y>0.72172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0.4581</cdr:x>
      <cdr:y>0.72172</cdr:y>
    </cdr:from>
    <cdr:to>
      <cdr:x>0.4581</cdr:x>
      <cdr:y>0.72172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0.07716</cdr:x>
      <cdr:y>0.03856</cdr:y>
    </cdr:from>
    <cdr:to>
      <cdr:x>0.17037</cdr:x>
      <cdr:y>0.16458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3724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0.42736</cdr:x>
      <cdr:y>0.72172</cdr:y>
    </cdr:from>
    <cdr:to>
      <cdr:x>0.42736</cdr:x>
      <cdr:y>0.72172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0.45786</cdr:x>
      <cdr:y>0.72172</cdr:y>
    </cdr:from>
    <cdr:to>
      <cdr:x>0.45786</cdr:x>
      <cdr:y>0.72172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0.07716</cdr:x>
      <cdr:y>0.03856</cdr:y>
    </cdr:from>
    <cdr:to>
      <cdr:x>0.17037</cdr:x>
      <cdr:y>0.16458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3929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0.42736</cdr:x>
      <cdr:y>0.72172</cdr:y>
    </cdr:from>
    <cdr:to>
      <cdr:x>0.42736</cdr:x>
      <cdr:y>0.72172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0.45786</cdr:x>
      <cdr:y>0.72172</cdr:y>
    </cdr:from>
    <cdr:to>
      <cdr:x>0.45786</cdr:x>
      <cdr:y>0.72172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0.07716</cdr:x>
      <cdr:y>0.03856</cdr:y>
    </cdr:from>
    <cdr:to>
      <cdr:x>0.17037</cdr:x>
      <cdr:y>0.16458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47</xdr:row>
      <xdr:rowOff>152400</xdr:rowOff>
    </xdr:to>
    <xdr:graphicFrame macro="">
      <xdr:nvGraphicFramePr>
        <xdr:cNvPr id="1413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0.4276</cdr:x>
      <cdr:y>0.72197</cdr:y>
    </cdr:from>
    <cdr:to>
      <cdr:x>0.4276</cdr:x>
      <cdr:y>0.72197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0.4581</cdr:x>
      <cdr:y>0.72197</cdr:y>
    </cdr:from>
    <cdr:to>
      <cdr:x>0.4581</cdr:x>
      <cdr:y>0.72197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0.07716</cdr:x>
      <cdr:y>0.03856</cdr:y>
    </cdr:from>
    <cdr:to>
      <cdr:x>0.17037</cdr:x>
      <cdr:y>0.16557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28575</xdr:rowOff>
    </xdr:from>
    <xdr:to>
      <xdr:col>18</xdr:col>
      <xdr:colOff>733425</xdr:colOff>
      <xdr:row>47</xdr:row>
      <xdr:rowOff>104775</xdr:rowOff>
    </xdr:to>
    <xdr:graphicFrame macro="">
      <xdr:nvGraphicFramePr>
        <xdr:cNvPr id="1659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0.4276</cdr:x>
      <cdr:y>0.72098</cdr:y>
    </cdr:from>
    <cdr:to>
      <cdr:x>0.4276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0.4581</cdr:x>
      <cdr:y>0.72098</cdr:y>
    </cdr:from>
    <cdr:to>
      <cdr:x>0.4581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0.05075</cdr:x>
      <cdr:y>0.0375</cdr:y>
    </cdr:from>
    <cdr:to>
      <cdr:x>0.00025</cdr:x>
      <cdr:y>0.02959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28575</xdr:rowOff>
    </xdr:from>
    <xdr:to>
      <xdr:col>18</xdr:col>
      <xdr:colOff>733425</xdr:colOff>
      <xdr:row>47</xdr:row>
      <xdr:rowOff>104775</xdr:rowOff>
    </xdr:to>
    <xdr:graphicFrame macro="">
      <xdr:nvGraphicFramePr>
        <xdr:cNvPr id="3461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0.42761</cdr:x>
      <cdr:y>0.72098</cdr:y>
    </cdr:from>
    <cdr:to>
      <cdr:x>0.42761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0.45835</cdr:x>
      <cdr:y>0.72098</cdr:y>
    </cdr:from>
    <cdr:to>
      <cdr:x>0.45835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0.05744</cdr:x>
      <cdr:y>0.03601</cdr:y>
    </cdr:from>
    <cdr:to>
      <cdr:x>0.14666</cdr:x>
      <cdr:y>0.14742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28575</xdr:rowOff>
    </xdr:from>
    <xdr:to>
      <xdr:col>18</xdr:col>
      <xdr:colOff>733425</xdr:colOff>
      <xdr:row>47</xdr:row>
      <xdr:rowOff>104775</xdr:rowOff>
    </xdr:to>
    <xdr:graphicFrame macro="">
      <xdr:nvGraphicFramePr>
        <xdr:cNvPr id="2171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0.42712</cdr:x>
      <cdr:y>0.72196</cdr:y>
    </cdr:from>
    <cdr:to>
      <cdr:x>0.42712</cdr:x>
      <cdr:y>0.72196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0.72196</cdr:y>
    </cdr:from>
    <cdr:to>
      <cdr:x>0.45761</cdr:x>
      <cdr:y>0.72196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0.05075</cdr:x>
      <cdr:y>0.0375</cdr:y>
    </cdr:from>
    <cdr:to>
      <cdr:x>0.00025</cdr:x>
      <cdr:y>0.03082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28575</xdr:rowOff>
    </xdr:from>
    <xdr:to>
      <xdr:col>18</xdr:col>
      <xdr:colOff>733425</xdr:colOff>
      <xdr:row>39</xdr:row>
      <xdr:rowOff>104775</xdr:rowOff>
    </xdr:to>
    <xdr:graphicFrame macro="">
      <xdr:nvGraphicFramePr>
        <xdr:cNvPr id="59700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0.42687</cdr:x>
      <cdr:y>0.72049</cdr:y>
    </cdr:from>
    <cdr:to>
      <cdr:x>0.42687</cdr:x>
      <cdr:y>0.72049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0.45736</cdr:x>
      <cdr:y>0.72049</cdr:y>
    </cdr:from>
    <cdr:to>
      <cdr:x>0.45736</cdr:x>
      <cdr:y>0.72049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0.0505</cdr:x>
      <cdr:y>0.03676</cdr:y>
    </cdr:from>
    <cdr:to>
      <cdr:x>0.00025</cdr:x>
      <cdr:y>0.03009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28575</xdr:rowOff>
    </xdr:from>
    <xdr:to>
      <xdr:col>18</xdr:col>
      <xdr:colOff>733425</xdr:colOff>
      <xdr:row>47</xdr:row>
      <xdr:rowOff>104775</xdr:rowOff>
    </xdr:to>
    <xdr:graphicFrame macro="">
      <xdr:nvGraphicFramePr>
        <xdr:cNvPr id="37480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0.42712</cdr:x>
      <cdr:y>0.72172</cdr:y>
    </cdr:from>
    <cdr:to>
      <cdr:x>0.42712</cdr:x>
      <cdr:y>0.72172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0.72172</cdr:y>
    </cdr:from>
    <cdr:to>
      <cdr:x>0.45761</cdr:x>
      <cdr:y>0.72172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0.05075</cdr:x>
      <cdr:y>0.0375</cdr:y>
    </cdr:from>
    <cdr:to>
      <cdr:x>0.00025</cdr:x>
      <cdr:y>0.03058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28575</xdr:rowOff>
    </xdr:from>
    <xdr:to>
      <xdr:col>18</xdr:col>
      <xdr:colOff>733425</xdr:colOff>
      <xdr:row>47</xdr:row>
      <xdr:rowOff>104775</xdr:rowOff>
    </xdr:to>
    <xdr:graphicFrame macro="">
      <xdr:nvGraphicFramePr>
        <xdr:cNvPr id="71475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0.42712</cdr:x>
      <cdr:y>0.72196</cdr:y>
    </cdr:from>
    <cdr:to>
      <cdr:x>0.42712</cdr:x>
      <cdr:y>0.72196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0.72196</cdr:y>
    </cdr:from>
    <cdr:to>
      <cdr:x>0.45761</cdr:x>
      <cdr:y>0.72196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0.05075</cdr:x>
      <cdr:y>0.0375</cdr:y>
    </cdr:from>
    <cdr:to>
      <cdr:x>0.00025</cdr:x>
      <cdr:y>0.03082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3259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3462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830800" y="79819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376680" y="14825980"/>
          <a:ext cx="635000" cy="23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3259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3462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61172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63195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61172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63195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61172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63195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61172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63195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61172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63195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54427</xdr:rowOff>
    </xdr:from>
    <xdr:to>
      <xdr:col>22</xdr:col>
      <xdr:colOff>13607</xdr:colOff>
      <xdr:row>59</xdr:row>
      <xdr:rowOff>47624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61172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1]!Makro" textlink="">
      <xdr:nvSpPr>
        <xdr:cNvPr id="4" name="Rectángulo 3"/>
        <xdr:cNvSpPr/>
      </xdr:nvSpPr>
      <xdr:spPr>
        <a:xfrm>
          <a:off x="163195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wnloads\21017020_SAN%20AGUSTIN_NARANJ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cha 2007-06-16"/>
      <sheetName val="FECHA20007-07-12"/>
      <sheetName val="fecha 2008-03-07"/>
      <sheetName val="Fecha 2008-05-16"/>
      <sheetName val="Fecha 2008-09-10"/>
      <sheetName val="Fecha 2009-02-24"/>
      <sheetName val="Fecha 2009-06-05"/>
      <sheetName val="Fecha 2010-04-24"/>
      <sheetName val="Fecha 2010-09-26"/>
      <sheetName val="Fecha 2010-09-11"/>
      <sheetName val="Fecha 2010-11-26"/>
      <sheetName val="Fecha 2011-03-08"/>
      <sheetName val="Fecha 2011-09-15"/>
      <sheetName val="Fecha 2011-11-27"/>
      <sheetName val="Fecha 2012-04-13"/>
      <sheetName val="Fecha 2013-06-05"/>
      <sheetName val="Fecha 2013-08-06)"/>
      <sheetName val="Fecha 2013-11-18"/>
      <sheetName val="Fecha 2014-05-17"/>
      <sheetName val="Fecha 2014-10-28"/>
      <sheetName val="Fecha 2015-06-21"/>
      <sheetName val="Fecha 2015-10-19"/>
      <sheetName val="Fecha 2016-04-27"/>
      <sheetName val="Fecha 2016-08-10"/>
      <sheetName val="PLANTILLA NAOD-NAOI"/>
      <sheetName val="2017-1-27"/>
      <sheetName val="2017-08-08"/>
      <sheetName val="2018-3-13"/>
      <sheetName val="2018-09-10"/>
      <sheetName val="2018-11-14"/>
      <sheetName val="2019-6-13"/>
      <sheetName val="2019-10-14"/>
      <sheetName val="2020-9-21"/>
      <sheetName val="21017020_SAN AGUSTIN_NARANJOS"/>
    </sheetNames>
    <definedNames>
      <definedName name="Makr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56"/>
  <sheetViews>
    <sheetView showGridLines="0" topLeftCell="A4" zoomScale="75" workbookViewId="0">
      <selection activeCell="C48" sqref="C4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99.998000000000005</v>
      </c>
      <c r="C3" s="39" t="s">
        <v>20</v>
      </c>
      <c r="D3" s="173"/>
    </row>
    <row r="4" spans="1:20" x14ac:dyDescent="0.2">
      <c r="A4" s="40">
        <v>1</v>
      </c>
      <c r="B4" s="41">
        <v>99.668000000000006</v>
      </c>
      <c r="C4" s="42"/>
      <c r="D4" s="173"/>
    </row>
    <row r="5" spans="1:20" x14ac:dyDescent="0.2">
      <c r="A5" s="43">
        <v>1.5</v>
      </c>
      <c r="B5" s="44">
        <v>99.438000000000002</v>
      </c>
      <c r="C5" s="50"/>
      <c r="D5" s="173"/>
    </row>
    <row r="6" spans="1:20" x14ac:dyDescent="0.2">
      <c r="A6" s="43">
        <v>3.5</v>
      </c>
      <c r="B6" s="44">
        <v>99.087999999999994</v>
      </c>
      <c r="C6" s="50"/>
      <c r="D6" s="173"/>
    </row>
    <row r="7" spans="1:20" x14ac:dyDescent="0.2">
      <c r="A7" s="16">
        <v>6</v>
      </c>
      <c r="B7" s="46">
        <v>98.66</v>
      </c>
      <c r="C7" s="42" t="s">
        <v>21</v>
      </c>
      <c r="D7" s="173"/>
    </row>
    <row r="8" spans="1:20" x14ac:dyDescent="0.2">
      <c r="A8" s="43">
        <v>6</v>
      </c>
      <c r="B8" s="44">
        <v>98.57</v>
      </c>
      <c r="C8" s="45"/>
      <c r="D8" s="173"/>
    </row>
    <row r="9" spans="1:20" x14ac:dyDescent="0.2">
      <c r="A9" s="43">
        <v>6.4</v>
      </c>
      <c r="B9" s="44">
        <v>98.49</v>
      </c>
      <c r="C9" s="50"/>
      <c r="D9" s="173"/>
    </row>
    <row r="10" spans="1:20" x14ac:dyDescent="0.2">
      <c r="A10" s="43">
        <v>6.9</v>
      </c>
      <c r="B10" s="44">
        <v>98.49</v>
      </c>
      <c r="C10" s="42"/>
      <c r="D10" s="173"/>
    </row>
    <row r="11" spans="1:20" x14ac:dyDescent="0.2">
      <c r="A11" s="43">
        <v>7.4</v>
      </c>
      <c r="B11" s="44">
        <v>98.49</v>
      </c>
      <c r="C11" s="45"/>
      <c r="D11" s="173"/>
    </row>
    <row r="12" spans="1:20" x14ac:dyDescent="0.2">
      <c r="A12" s="43">
        <v>7.9</v>
      </c>
      <c r="B12" s="44">
        <v>98.46</v>
      </c>
      <c r="C12" s="42"/>
      <c r="D12" s="173"/>
    </row>
    <row r="13" spans="1:20" x14ac:dyDescent="0.2">
      <c r="A13" s="43">
        <v>8.4</v>
      </c>
      <c r="B13" s="44">
        <v>98.536000000000001</v>
      </c>
      <c r="C13" s="42"/>
      <c r="D13" s="173"/>
    </row>
    <row r="14" spans="1:20" x14ac:dyDescent="0.2">
      <c r="A14" s="43">
        <v>8.9</v>
      </c>
      <c r="B14" s="44">
        <v>98.506</v>
      </c>
      <c r="C14" s="42"/>
      <c r="D14" s="173"/>
    </row>
    <row r="15" spans="1:20" x14ac:dyDescent="0.2">
      <c r="A15" s="43">
        <v>9.4</v>
      </c>
      <c r="B15" s="44">
        <v>98.536000000000001</v>
      </c>
      <c r="C15" s="42"/>
      <c r="D15" s="173"/>
    </row>
    <row r="16" spans="1:20" x14ac:dyDescent="0.2">
      <c r="A16" s="43">
        <v>9.9</v>
      </c>
      <c r="B16" s="44">
        <v>98.445999999999998</v>
      </c>
      <c r="C16" s="42"/>
      <c r="D16" s="173"/>
    </row>
    <row r="17" spans="1:4" x14ac:dyDescent="0.2">
      <c r="A17" s="43">
        <v>10.4</v>
      </c>
      <c r="B17" s="44">
        <v>98.305999999999997</v>
      </c>
      <c r="C17" s="42"/>
      <c r="D17" s="173"/>
    </row>
    <row r="18" spans="1:4" x14ac:dyDescent="0.2">
      <c r="A18" s="43">
        <v>10.9</v>
      </c>
      <c r="B18" s="44">
        <v>98.245999999999995</v>
      </c>
      <c r="C18" s="42"/>
      <c r="D18" s="173"/>
    </row>
    <row r="19" spans="1:4" x14ac:dyDescent="0.2">
      <c r="A19" s="43">
        <v>11.4</v>
      </c>
      <c r="B19" s="44">
        <v>98.256</v>
      </c>
      <c r="C19" s="42"/>
      <c r="D19" s="173"/>
    </row>
    <row r="20" spans="1:4" x14ac:dyDescent="0.2">
      <c r="A20" s="43">
        <v>11.9</v>
      </c>
      <c r="B20" s="44">
        <v>98.195999999999998</v>
      </c>
      <c r="C20" s="42"/>
      <c r="D20" s="173"/>
    </row>
    <row r="21" spans="1:4" x14ac:dyDescent="0.2">
      <c r="A21" s="43">
        <v>12.4</v>
      </c>
      <c r="B21" s="44">
        <v>98.186000000000007</v>
      </c>
      <c r="C21" s="50"/>
      <c r="D21" s="173"/>
    </row>
    <row r="22" spans="1:4" x14ac:dyDescent="0.2">
      <c r="A22" s="43">
        <v>12.9</v>
      </c>
      <c r="B22" s="44">
        <v>98.415999999999997</v>
      </c>
      <c r="C22" s="50"/>
      <c r="D22" s="173"/>
    </row>
    <row r="23" spans="1:4" x14ac:dyDescent="0.2">
      <c r="A23" s="43">
        <v>13.4</v>
      </c>
      <c r="B23" s="44">
        <v>98.406000000000006</v>
      </c>
      <c r="C23" s="42"/>
      <c r="D23" s="173"/>
    </row>
    <row r="24" spans="1:4" x14ac:dyDescent="0.2">
      <c r="A24" s="43">
        <v>13.5</v>
      </c>
      <c r="B24" s="44">
        <v>98.406000000000006</v>
      </c>
      <c r="C24" s="45"/>
      <c r="D24" s="173"/>
    </row>
    <row r="25" spans="1:4" x14ac:dyDescent="0.2">
      <c r="A25" s="16">
        <v>13.5</v>
      </c>
      <c r="B25" s="46">
        <v>98.66</v>
      </c>
      <c r="C25" s="42" t="s">
        <v>22</v>
      </c>
      <c r="D25" s="173"/>
    </row>
    <row r="26" spans="1:4" s="7" customFormat="1" x14ac:dyDescent="0.2">
      <c r="A26" s="43">
        <v>13.5</v>
      </c>
      <c r="B26" s="44">
        <v>98.587999999999994</v>
      </c>
      <c r="C26" s="45"/>
      <c r="D26" s="173"/>
    </row>
    <row r="27" spans="1:4" x14ac:dyDescent="0.2">
      <c r="A27" s="43">
        <v>14</v>
      </c>
      <c r="B27" s="44">
        <v>98.878</v>
      </c>
      <c r="C27" s="45"/>
      <c r="D27" s="173"/>
    </row>
    <row r="28" spans="1:4" x14ac:dyDescent="0.2">
      <c r="A28" s="43">
        <v>15</v>
      </c>
      <c r="B28" s="44">
        <v>99.518000000000001</v>
      </c>
      <c r="C28" s="42"/>
      <c r="D28" s="173"/>
    </row>
    <row r="29" spans="1:4" x14ac:dyDescent="0.2">
      <c r="A29" s="16">
        <v>17</v>
      </c>
      <c r="B29" s="46">
        <v>100.258</v>
      </c>
      <c r="C29" s="50"/>
      <c r="D29" s="173"/>
    </row>
    <row r="30" spans="1:4" x14ac:dyDescent="0.2">
      <c r="A30" s="16"/>
      <c r="B30" s="46"/>
      <c r="C30" s="42"/>
      <c r="D30" s="173"/>
    </row>
    <row r="31" spans="1:4" x14ac:dyDescent="0.2">
      <c r="A31" s="16"/>
      <c r="B31" s="46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ht="13.5" thickBot="1" x14ac:dyDescent="0.25">
      <c r="A39" s="43"/>
      <c r="B39" s="44"/>
      <c r="C39" s="42"/>
      <c r="D39" s="173"/>
    </row>
    <row r="40" spans="1:4" ht="20.100000000000001" customHeight="1" x14ac:dyDescent="0.2">
      <c r="A40" s="15">
        <v>6</v>
      </c>
      <c r="B40" s="19">
        <v>98.66</v>
      </c>
      <c r="C40" s="14" t="s">
        <v>9</v>
      </c>
      <c r="D40" s="174" t="s">
        <v>6</v>
      </c>
    </row>
    <row r="41" spans="1:4" ht="20.100000000000001" customHeight="1" thickBot="1" x14ac:dyDescent="0.25">
      <c r="A41" s="28">
        <v>13.5</v>
      </c>
      <c r="B41" s="33">
        <v>98.66</v>
      </c>
      <c r="C41" s="17" t="s">
        <v>10</v>
      </c>
      <c r="D41" s="174"/>
    </row>
    <row r="42" spans="1:4" ht="20.100000000000001" customHeight="1" thickBot="1" x14ac:dyDescent="0.25">
      <c r="A42" s="34">
        <v>13.3</v>
      </c>
      <c r="B42" s="35">
        <v>98.328999999999994</v>
      </c>
      <c r="C42" s="21" t="s">
        <v>8</v>
      </c>
      <c r="D42" s="174"/>
    </row>
    <row r="43" spans="1:4" ht="20.100000000000001" customHeight="1" thickBot="1" x14ac:dyDescent="0.25">
      <c r="A43" s="20">
        <v>13.3</v>
      </c>
      <c r="B43" s="36">
        <v>99.352999999999994</v>
      </c>
      <c r="C43" s="22" t="s">
        <v>8</v>
      </c>
      <c r="D43" s="174"/>
    </row>
    <row r="44" spans="1:4" ht="20.100000000000001" customHeight="1" x14ac:dyDescent="0.2">
      <c r="A44" s="15">
        <v>14</v>
      </c>
      <c r="B44" s="19">
        <v>99.32</v>
      </c>
      <c r="C44" s="23" t="s">
        <v>2</v>
      </c>
      <c r="D44" s="174"/>
    </row>
    <row r="45" spans="1:4" ht="20.100000000000001" customHeight="1" thickBot="1" x14ac:dyDescent="0.25">
      <c r="A45" s="28">
        <v>14</v>
      </c>
      <c r="B45" s="33">
        <v>100.24299999999999</v>
      </c>
      <c r="C45" s="8" t="s">
        <v>2</v>
      </c>
      <c r="D45" s="174"/>
    </row>
    <row r="46" spans="1:4" ht="13.5" thickBot="1" x14ac:dyDescent="0.25">
      <c r="A46" s="15"/>
      <c r="B46" s="27"/>
      <c r="C46" s="9" t="s">
        <v>7</v>
      </c>
      <c r="D46" s="1"/>
    </row>
    <row r="47" spans="1:4" ht="13.5" thickBot="1" x14ac:dyDescent="0.25">
      <c r="A47" s="28"/>
      <c r="B47" s="29"/>
      <c r="C47" s="9" t="s">
        <v>7</v>
      </c>
      <c r="D47" s="1"/>
    </row>
    <row r="48" spans="1:4" ht="16.5" thickBot="1" x14ac:dyDescent="0.3">
      <c r="A48" s="24" t="s">
        <v>12</v>
      </c>
      <c r="B48" s="4"/>
      <c r="C48" s="30">
        <v>0.34</v>
      </c>
      <c r="D48" s="1"/>
    </row>
    <row r="49" spans="1:5" ht="16.5" thickBot="1" x14ac:dyDescent="0.3">
      <c r="A49" s="10" t="s">
        <v>11</v>
      </c>
      <c r="B49" s="4"/>
      <c r="C49" s="18">
        <f>B42</f>
        <v>98.328999999999994</v>
      </c>
      <c r="D49" s="1"/>
    </row>
    <row r="50" spans="1:5" ht="20.25" customHeight="1" thickBot="1" x14ac:dyDescent="0.3">
      <c r="A50" s="10" t="s">
        <v>14</v>
      </c>
      <c r="C50" s="31">
        <f>B3</f>
        <v>99.998000000000005</v>
      </c>
      <c r="D50" s="1"/>
    </row>
    <row r="51" spans="1:5" ht="15.75" thickBot="1" x14ac:dyDescent="0.3">
      <c r="A51" s="24" t="s">
        <v>13</v>
      </c>
      <c r="C51" s="32"/>
      <c r="D51" s="1"/>
    </row>
    <row r="52" spans="1:5" x14ac:dyDescent="0.2">
      <c r="A52" s="3"/>
      <c r="B52" s="4"/>
      <c r="C52" s="5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ht="18" x14ac:dyDescent="0.25">
      <c r="C56" s="49" t="s">
        <v>16</v>
      </c>
      <c r="D56" s="48"/>
      <c r="E56" s="48"/>
    </row>
  </sheetData>
  <mergeCells count="3">
    <mergeCell ref="A1:Q1"/>
    <mergeCell ref="D2:D39"/>
    <mergeCell ref="D40:D45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56"/>
  <sheetViews>
    <sheetView showGridLines="0" topLeftCell="E1" zoomScale="75" workbookViewId="0">
      <selection activeCell="C10" sqref="C1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100.523</v>
      </c>
      <c r="C3" s="39" t="s">
        <v>20</v>
      </c>
      <c r="D3" s="173"/>
    </row>
    <row r="4" spans="1:20" x14ac:dyDescent="0.2">
      <c r="A4" s="40">
        <v>2</v>
      </c>
      <c r="B4" s="41">
        <v>99.78</v>
      </c>
      <c r="C4" s="42"/>
      <c r="D4" s="173"/>
    </row>
    <row r="5" spans="1:20" x14ac:dyDescent="0.2">
      <c r="A5" s="43">
        <v>2.5</v>
      </c>
      <c r="B5" s="44">
        <v>99.32</v>
      </c>
      <c r="C5" s="50"/>
      <c r="D5" s="173"/>
    </row>
    <row r="6" spans="1:20" x14ac:dyDescent="0.2">
      <c r="A6" s="43">
        <v>5</v>
      </c>
      <c r="B6" s="44">
        <v>98.53</v>
      </c>
      <c r="C6" s="50"/>
      <c r="D6" s="173"/>
    </row>
    <row r="7" spans="1:20" x14ac:dyDescent="0.2">
      <c r="A7" s="43">
        <v>8</v>
      </c>
      <c r="B7" s="44">
        <v>99.72</v>
      </c>
      <c r="C7" s="42"/>
      <c r="D7" s="173"/>
    </row>
    <row r="8" spans="1:20" x14ac:dyDescent="0.2">
      <c r="A8" s="43">
        <v>9.5</v>
      </c>
      <c r="B8" s="44">
        <v>99.3</v>
      </c>
      <c r="C8" s="45"/>
      <c r="D8" s="173"/>
    </row>
    <row r="9" spans="1:20" x14ac:dyDescent="0.2">
      <c r="A9" s="43">
        <v>11.5</v>
      </c>
      <c r="B9" s="44">
        <v>99.04</v>
      </c>
      <c r="C9" s="50"/>
      <c r="D9" s="173"/>
    </row>
    <row r="10" spans="1:20" x14ac:dyDescent="0.2">
      <c r="A10" s="16">
        <v>13</v>
      </c>
      <c r="B10" s="46">
        <v>98.57</v>
      </c>
      <c r="C10" s="42" t="s">
        <v>21</v>
      </c>
      <c r="D10" s="173"/>
    </row>
    <row r="11" spans="1:20" x14ac:dyDescent="0.2">
      <c r="A11" s="43">
        <v>13</v>
      </c>
      <c r="B11" s="44">
        <v>98.51</v>
      </c>
      <c r="C11" s="45"/>
      <c r="D11" s="173"/>
    </row>
    <row r="12" spans="1:20" x14ac:dyDescent="0.2">
      <c r="A12" s="43">
        <v>13.5</v>
      </c>
      <c r="B12" s="44">
        <v>98.48</v>
      </c>
      <c r="C12" s="42"/>
      <c r="D12" s="173"/>
    </row>
    <row r="13" spans="1:20" x14ac:dyDescent="0.2">
      <c r="A13" s="43">
        <v>14.5</v>
      </c>
      <c r="B13" s="44">
        <v>98.48</v>
      </c>
      <c r="C13" s="42"/>
      <c r="D13" s="173"/>
    </row>
    <row r="14" spans="1:20" x14ac:dyDescent="0.2">
      <c r="A14" s="43">
        <v>15</v>
      </c>
      <c r="B14" s="44">
        <v>98.47</v>
      </c>
      <c r="C14" s="42"/>
      <c r="D14" s="173"/>
    </row>
    <row r="15" spans="1:20" x14ac:dyDescent="0.2">
      <c r="A15" s="43">
        <v>15.5</v>
      </c>
      <c r="B15" s="44">
        <v>98.49</v>
      </c>
      <c r="C15" s="42"/>
      <c r="D15" s="173"/>
    </row>
    <row r="16" spans="1:20" x14ac:dyDescent="0.2">
      <c r="A16" s="43">
        <v>16</v>
      </c>
      <c r="B16" s="44">
        <v>98.45</v>
      </c>
      <c r="C16" s="42"/>
      <c r="D16" s="173"/>
    </row>
    <row r="17" spans="1:4" x14ac:dyDescent="0.2">
      <c r="A17" s="43">
        <v>16.5</v>
      </c>
      <c r="B17" s="44">
        <v>98.37</v>
      </c>
      <c r="C17" s="42"/>
      <c r="D17" s="173"/>
    </row>
    <row r="18" spans="1:4" x14ac:dyDescent="0.2">
      <c r="A18" s="43">
        <v>17</v>
      </c>
      <c r="B18" s="44">
        <v>98.29</v>
      </c>
      <c r="C18" s="42"/>
      <c r="D18" s="173"/>
    </row>
    <row r="19" spans="1:4" x14ac:dyDescent="0.2">
      <c r="A19" s="43">
        <v>17.5</v>
      </c>
      <c r="B19" s="44">
        <v>98.27</v>
      </c>
      <c r="C19" s="42"/>
      <c r="D19" s="173"/>
    </row>
    <row r="20" spans="1:4" x14ac:dyDescent="0.2">
      <c r="A20" s="43">
        <v>18</v>
      </c>
      <c r="B20" s="44">
        <v>98.13</v>
      </c>
      <c r="C20" s="42"/>
      <c r="D20" s="173"/>
    </row>
    <row r="21" spans="1:4" x14ac:dyDescent="0.2">
      <c r="A21" s="43">
        <v>18.5</v>
      </c>
      <c r="B21" s="44">
        <v>98.12</v>
      </c>
      <c r="C21" s="50"/>
      <c r="D21" s="173"/>
    </row>
    <row r="22" spans="1:4" x14ac:dyDescent="0.2">
      <c r="A22" s="43">
        <v>19</v>
      </c>
      <c r="B22" s="44">
        <v>98.15</v>
      </c>
      <c r="C22" s="50"/>
      <c r="D22" s="173"/>
    </row>
    <row r="23" spans="1:4" x14ac:dyDescent="0.2">
      <c r="A23" s="43">
        <v>19.5</v>
      </c>
      <c r="B23" s="44">
        <v>98.35</v>
      </c>
      <c r="C23" s="42"/>
      <c r="D23" s="173"/>
    </row>
    <row r="24" spans="1:4" x14ac:dyDescent="0.2">
      <c r="A24" s="43">
        <v>20</v>
      </c>
      <c r="B24" s="44">
        <v>98.34</v>
      </c>
      <c r="C24" s="45"/>
      <c r="D24" s="173"/>
    </row>
    <row r="25" spans="1:4" x14ac:dyDescent="0.2">
      <c r="A25" s="43">
        <v>20.5</v>
      </c>
      <c r="B25" s="44">
        <v>98.31</v>
      </c>
      <c r="C25" s="42"/>
      <c r="D25" s="173"/>
    </row>
    <row r="26" spans="1:4" s="7" customFormat="1" x14ac:dyDescent="0.2">
      <c r="A26" s="43">
        <v>20.7</v>
      </c>
      <c r="B26" s="44">
        <v>98.52</v>
      </c>
      <c r="C26" s="45"/>
      <c r="D26" s="173"/>
    </row>
    <row r="27" spans="1:4" x14ac:dyDescent="0.2">
      <c r="A27" s="16">
        <v>20.7</v>
      </c>
      <c r="B27" s="46">
        <v>98.57</v>
      </c>
      <c r="C27" s="45" t="s">
        <v>22</v>
      </c>
      <c r="D27" s="173"/>
    </row>
    <row r="28" spans="1:4" x14ac:dyDescent="0.2">
      <c r="A28" s="43">
        <v>21.6</v>
      </c>
      <c r="B28" s="44">
        <v>99.48</v>
      </c>
      <c r="C28" s="42"/>
      <c r="D28" s="173"/>
    </row>
    <row r="29" spans="1:4" x14ac:dyDescent="0.2">
      <c r="A29" s="16">
        <v>22.6</v>
      </c>
      <c r="B29" s="46">
        <v>100.47</v>
      </c>
      <c r="C29" s="50"/>
      <c r="D29" s="173"/>
    </row>
    <row r="30" spans="1:4" x14ac:dyDescent="0.2">
      <c r="A30" s="16"/>
      <c r="B30" s="46"/>
      <c r="C30" s="42"/>
      <c r="D30" s="173"/>
    </row>
    <row r="31" spans="1:4" x14ac:dyDescent="0.2">
      <c r="A31" s="16"/>
      <c r="B31" s="46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ht="13.5" thickBot="1" x14ac:dyDescent="0.25">
      <c r="A39" s="43"/>
      <c r="B39" s="44"/>
      <c r="C39" s="42"/>
      <c r="D39" s="173"/>
    </row>
    <row r="40" spans="1:4" ht="20.100000000000001" customHeight="1" x14ac:dyDescent="0.2">
      <c r="A40" s="15">
        <v>13</v>
      </c>
      <c r="B40" s="19">
        <v>98.57</v>
      </c>
      <c r="C40" s="14" t="s">
        <v>9</v>
      </c>
      <c r="D40" s="174" t="s">
        <v>6</v>
      </c>
    </row>
    <row r="41" spans="1:4" ht="20.100000000000001" customHeight="1" thickBot="1" x14ac:dyDescent="0.25">
      <c r="A41" s="28">
        <v>20.7</v>
      </c>
      <c r="B41" s="33">
        <v>98.57</v>
      </c>
      <c r="C41" s="17" t="s">
        <v>10</v>
      </c>
      <c r="D41" s="174"/>
    </row>
    <row r="42" spans="1:4" ht="20.100000000000001" customHeight="1" thickBot="1" x14ac:dyDescent="0.25">
      <c r="A42" s="34">
        <v>20.3</v>
      </c>
      <c r="B42" s="35">
        <v>98.320999999999998</v>
      </c>
      <c r="C42" s="21" t="s">
        <v>8</v>
      </c>
      <c r="D42" s="174"/>
    </row>
    <row r="43" spans="1:4" ht="20.100000000000001" customHeight="1" thickBot="1" x14ac:dyDescent="0.25">
      <c r="A43" s="20">
        <v>21.22</v>
      </c>
      <c r="B43" s="36">
        <v>99.352999999999994</v>
      </c>
      <c r="C43" s="22" t="s">
        <v>8</v>
      </c>
      <c r="D43" s="174"/>
    </row>
    <row r="44" spans="1:4" ht="20.100000000000001" customHeight="1" x14ac:dyDescent="0.2">
      <c r="A44" s="15">
        <v>21</v>
      </c>
      <c r="B44" s="19">
        <v>99.32</v>
      </c>
      <c r="C44" s="23" t="s">
        <v>2</v>
      </c>
      <c r="D44" s="174"/>
    </row>
    <row r="45" spans="1:4" ht="20.100000000000001" customHeight="1" thickBot="1" x14ac:dyDescent="0.25">
      <c r="A45" s="28">
        <v>21</v>
      </c>
      <c r="B45" s="33">
        <v>100.24299999999999</v>
      </c>
      <c r="C45" s="8" t="s">
        <v>2</v>
      </c>
      <c r="D45" s="174"/>
    </row>
    <row r="46" spans="1:4" ht="13.5" thickBot="1" x14ac:dyDescent="0.25">
      <c r="A46" s="15"/>
      <c r="B46" s="27"/>
      <c r="C46" s="9" t="s">
        <v>7</v>
      </c>
      <c r="D46" s="1"/>
    </row>
    <row r="47" spans="1:4" ht="13.5" thickBot="1" x14ac:dyDescent="0.25">
      <c r="A47" s="28"/>
      <c r="B47" s="29"/>
      <c r="C47" s="9" t="s">
        <v>7</v>
      </c>
      <c r="D47" s="1"/>
    </row>
    <row r="48" spans="1:4" ht="16.5" thickBot="1" x14ac:dyDescent="0.3">
      <c r="A48" s="24" t="s">
        <v>12</v>
      </c>
      <c r="B48" s="4"/>
      <c r="C48" s="30">
        <v>0.26</v>
      </c>
      <c r="D48" s="1"/>
    </row>
    <row r="49" spans="1:5" ht="16.5" thickBot="1" x14ac:dyDescent="0.3">
      <c r="A49" s="10" t="s">
        <v>11</v>
      </c>
      <c r="B49" s="4"/>
      <c r="C49" s="18">
        <f>B42</f>
        <v>98.320999999999998</v>
      </c>
      <c r="D49" s="1"/>
    </row>
    <row r="50" spans="1:5" ht="20.25" customHeight="1" thickBot="1" x14ac:dyDescent="0.3">
      <c r="A50" s="10" t="s">
        <v>14</v>
      </c>
      <c r="C50" s="31">
        <f>B3</f>
        <v>100.523</v>
      </c>
      <c r="D50" s="1"/>
    </row>
    <row r="51" spans="1:5" ht="15.75" thickBot="1" x14ac:dyDescent="0.3">
      <c r="A51" s="24" t="s">
        <v>13</v>
      </c>
      <c r="C51" s="32"/>
      <c r="D51" s="1"/>
    </row>
    <row r="52" spans="1:5" x14ac:dyDescent="0.2">
      <c r="A52" s="3"/>
      <c r="B52" s="4"/>
      <c r="C52" s="5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ht="18" x14ac:dyDescent="0.25">
      <c r="C56" s="49" t="s">
        <v>16</v>
      </c>
      <c r="D56" s="48"/>
      <c r="E56" s="48"/>
    </row>
  </sheetData>
  <mergeCells count="3">
    <mergeCell ref="A1:Q1"/>
    <mergeCell ref="D2:D39"/>
    <mergeCell ref="D40:D45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56"/>
  <sheetViews>
    <sheetView showGridLines="0" topLeftCell="E7" zoomScale="75" workbookViewId="0">
      <selection activeCell="C48" sqref="C4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100.559</v>
      </c>
      <c r="C3" s="39" t="s">
        <v>20</v>
      </c>
      <c r="D3" s="173"/>
    </row>
    <row r="4" spans="1:20" x14ac:dyDescent="0.2">
      <c r="A4" s="40">
        <v>3</v>
      </c>
      <c r="B4" s="41">
        <v>99.061000000000007</v>
      </c>
      <c r="C4" s="42"/>
      <c r="D4" s="173"/>
    </row>
    <row r="5" spans="1:20" x14ac:dyDescent="0.2">
      <c r="A5" s="43">
        <v>4.2</v>
      </c>
      <c r="B5" s="44">
        <v>98.575999999999993</v>
      </c>
      <c r="C5" s="50"/>
      <c r="D5" s="173"/>
    </row>
    <row r="6" spans="1:20" x14ac:dyDescent="0.2">
      <c r="A6" s="43">
        <v>7.3</v>
      </c>
      <c r="B6" s="44">
        <v>99.695999999999998</v>
      </c>
      <c r="C6" s="50"/>
      <c r="D6" s="173"/>
    </row>
    <row r="7" spans="1:20" x14ac:dyDescent="0.2">
      <c r="A7" s="16">
        <v>11.5</v>
      </c>
      <c r="B7" s="46">
        <v>98.674000000000007</v>
      </c>
      <c r="C7" s="42" t="s">
        <v>21</v>
      </c>
      <c r="D7" s="173"/>
    </row>
    <row r="8" spans="1:20" x14ac:dyDescent="0.2">
      <c r="A8" s="43">
        <v>11.8</v>
      </c>
      <c r="B8" s="44">
        <v>98.513999999999996</v>
      </c>
      <c r="C8" s="45"/>
      <c r="D8" s="173"/>
    </row>
    <row r="9" spans="1:20" x14ac:dyDescent="0.2">
      <c r="A9" s="43">
        <v>12.3</v>
      </c>
      <c r="B9" s="44">
        <v>98.444000000000003</v>
      </c>
      <c r="C9" s="50"/>
      <c r="D9" s="173"/>
    </row>
    <row r="10" spans="1:20" x14ac:dyDescent="0.2">
      <c r="A10" s="43">
        <v>12.9</v>
      </c>
      <c r="B10" s="44">
        <v>98.614000000000004</v>
      </c>
      <c r="C10" s="42"/>
      <c r="D10" s="173"/>
    </row>
    <row r="11" spans="1:20" x14ac:dyDescent="0.2">
      <c r="A11" s="43">
        <v>13.4</v>
      </c>
      <c r="B11" s="44">
        <v>98.453999999999994</v>
      </c>
      <c r="C11" s="45"/>
      <c r="D11" s="173"/>
    </row>
    <row r="12" spans="1:20" x14ac:dyDescent="0.2">
      <c r="A12" s="43">
        <v>13.9</v>
      </c>
      <c r="B12" s="44">
        <v>98.444000000000003</v>
      </c>
      <c r="C12" s="42"/>
      <c r="D12" s="173"/>
    </row>
    <row r="13" spans="1:20" x14ac:dyDescent="0.2">
      <c r="A13" s="43">
        <v>14.4</v>
      </c>
      <c r="B13" s="44">
        <v>98.313999999999993</v>
      </c>
      <c r="C13" s="42"/>
      <c r="D13" s="173"/>
    </row>
    <row r="14" spans="1:20" x14ac:dyDescent="0.2">
      <c r="A14" s="43">
        <v>14.9</v>
      </c>
      <c r="B14" s="44">
        <v>98.103999999999999</v>
      </c>
      <c r="C14" s="42"/>
      <c r="D14" s="173"/>
    </row>
    <row r="15" spans="1:20" x14ac:dyDescent="0.2">
      <c r="A15" s="43">
        <v>15.4</v>
      </c>
      <c r="B15" s="44">
        <v>98.203999999999994</v>
      </c>
      <c r="C15" s="42"/>
      <c r="D15" s="173"/>
    </row>
    <row r="16" spans="1:20" x14ac:dyDescent="0.2">
      <c r="A16" s="43">
        <v>15.9</v>
      </c>
      <c r="B16" s="44">
        <v>98.224000000000004</v>
      </c>
      <c r="C16" s="42"/>
      <c r="D16" s="173"/>
    </row>
    <row r="17" spans="1:4" x14ac:dyDescent="0.2">
      <c r="A17" s="43">
        <v>16.399999999999999</v>
      </c>
      <c r="B17" s="44">
        <v>98.153999999999996</v>
      </c>
      <c r="C17" s="42"/>
      <c r="D17" s="173"/>
    </row>
    <row r="18" spans="1:4" x14ac:dyDescent="0.2">
      <c r="A18" s="43">
        <v>16.899999999999999</v>
      </c>
      <c r="B18" s="44">
        <v>98.123999999999995</v>
      </c>
      <c r="C18" s="42"/>
      <c r="D18" s="173"/>
    </row>
    <row r="19" spans="1:4" x14ac:dyDescent="0.2">
      <c r="A19" s="43">
        <v>17.399999999999999</v>
      </c>
      <c r="B19" s="44">
        <v>98.114000000000004</v>
      </c>
      <c r="C19" s="42"/>
      <c r="D19" s="173"/>
    </row>
    <row r="20" spans="1:4" x14ac:dyDescent="0.2">
      <c r="A20" s="43">
        <v>17.899999999999999</v>
      </c>
      <c r="B20" s="44">
        <v>98.153999999999996</v>
      </c>
      <c r="C20" s="42"/>
      <c r="D20" s="173"/>
    </row>
    <row r="21" spans="1:4" x14ac:dyDescent="0.2">
      <c r="A21" s="43">
        <v>18.399999999999999</v>
      </c>
      <c r="B21" s="44">
        <v>98.174000000000007</v>
      </c>
      <c r="C21" s="50"/>
      <c r="D21" s="173"/>
    </row>
    <row r="22" spans="1:4" x14ac:dyDescent="0.2">
      <c r="A22" s="43">
        <v>18.899999999999999</v>
      </c>
      <c r="B22" s="44">
        <v>98.274000000000001</v>
      </c>
      <c r="C22" s="50"/>
      <c r="D22" s="173"/>
    </row>
    <row r="23" spans="1:4" x14ac:dyDescent="0.2">
      <c r="A23" s="43">
        <v>19</v>
      </c>
      <c r="B23" s="44">
        <v>98.254000000000005</v>
      </c>
      <c r="C23" s="42"/>
      <c r="D23" s="173"/>
    </row>
    <row r="24" spans="1:4" x14ac:dyDescent="0.2">
      <c r="A24" s="16">
        <v>19</v>
      </c>
      <c r="B24" s="46">
        <v>98.674000000000007</v>
      </c>
      <c r="C24" s="45" t="s">
        <v>22</v>
      </c>
      <c r="D24" s="173"/>
    </row>
    <row r="25" spans="1:4" x14ac:dyDescent="0.2">
      <c r="A25" s="43">
        <v>19</v>
      </c>
      <c r="B25" s="44">
        <v>98.888999999999996</v>
      </c>
      <c r="C25" s="42"/>
      <c r="D25" s="173"/>
    </row>
    <row r="26" spans="1:4" s="7" customFormat="1" x14ac:dyDescent="0.2">
      <c r="A26" s="43">
        <v>21.3</v>
      </c>
      <c r="B26" s="44">
        <v>99.908000000000001</v>
      </c>
      <c r="C26" s="45"/>
      <c r="D26" s="173"/>
    </row>
    <row r="27" spans="1:4" x14ac:dyDescent="0.2">
      <c r="A27" s="43">
        <v>22.2</v>
      </c>
      <c r="B27" s="44">
        <v>100.608</v>
      </c>
      <c r="C27" s="45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16"/>
      <c r="B29" s="46"/>
      <c r="C29" s="50"/>
      <c r="D29" s="173"/>
    </row>
    <row r="30" spans="1:4" x14ac:dyDescent="0.2">
      <c r="A30" s="16"/>
      <c r="B30" s="46"/>
      <c r="C30" s="42"/>
      <c r="D30" s="173"/>
    </row>
    <row r="31" spans="1:4" x14ac:dyDescent="0.2">
      <c r="A31" s="16"/>
      <c r="B31" s="46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ht="13.5" thickBot="1" x14ac:dyDescent="0.25">
      <c r="A39" s="43"/>
      <c r="B39" s="44"/>
      <c r="C39" s="42"/>
      <c r="D39" s="173"/>
    </row>
    <row r="40" spans="1:4" ht="20.100000000000001" customHeight="1" x14ac:dyDescent="0.2">
      <c r="A40" s="15">
        <v>11.5</v>
      </c>
      <c r="B40" s="19">
        <v>98.674000000000007</v>
      </c>
      <c r="C40" s="14" t="s">
        <v>9</v>
      </c>
      <c r="D40" s="174" t="s">
        <v>6</v>
      </c>
    </row>
    <row r="41" spans="1:4" ht="20.100000000000001" customHeight="1" thickBot="1" x14ac:dyDescent="0.25">
      <c r="A41" s="28">
        <v>19</v>
      </c>
      <c r="B41" s="33">
        <v>98.674000000000007</v>
      </c>
      <c r="C41" s="17" t="s">
        <v>10</v>
      </c>
      <c r="D41" s="174"/>
    </row>
    <row r="42" spans="1:4" ht="20.100000000000001" customHeight="1" thickBot="1" x14ac:dyDescent="0.25">
      <c r="A42" s="34">
        <v>18.899999999999999</v>
      </c>
      <c r="B42" s="35">
        <v>98.320999999999998</v>
      </c>
      <c r="C42" s="21" t="s">
        <v>8</v>
      </c>
      <c r="D42" s="174"/>
    </row>
    <row r="43" spans="1:4" ht="20.100000000000001" customHeight="1" thickBot="1" x14ac:dyDescent="0.25">
      <c r="A43" s="20">
        <v>18.899999999999999</v>
      </c>
      <c r="B43" s="36">
        <v>99.352999999999994</v>
      </c>
      <c r="C43" s="22" t="s">
        <v>8</v>
      </c>
      <c r="D43" s="174"/>
    </row>
    <row r="44" spans="1:4" ht="20.100000000000001" customHeight="1" x14ac:dyDescent="0.2">
      <c r="A44" s="15">
        <v>19.5</v>
      </c>
      <c r="B44" s="19">
        <v>99.32</v>
      </c>
      <c r="C44" s="23" t="s">
        <v>2</v>
      </c>
      <c r="D44" s="174"/>
    </row>
    <row r="45" spans="1:4" ht="20.100000000000001" customHeight="1" thickBot="1" x14ac:dyDescent="0.25">
      <c r="A45" s="28">
        <v>19.5</v>
      </c>
      <c r="B45" s="33">
        <v>100.24299999999999</v>
      </c>
      <c r="C45" s="8" t="s">
        <v>2</v>
      </c>
      <c r="D45" s="174"/>
    </row>
    <row r="46" spans="1:4" ht="13.5" thickBot="1" x14ac:dyDescent="0.25">
      <c r="A46" s="15"/>
      <c r="B46" s="27"/>
      <c r="C46" s="9" t="s">
        <v>7</v>
      </c>
      <c r="D46" s="1"/>
    </row>
    <row r="47" spans="1:4" ht="13.5" thickBot="1" x14ac:dyDescent="0.25">
      <c r="A47" s="28"/>
      <c r="B47" s="29"/>
      <c r="C47" s="9" t="s">
        <v>7</v>
      </c>
      <c r="D47" s="1"/>
    </row>
    <row r="48" spans="1:4" ht="16.5" thickBot="1" x14ac:dyDescent="0.3">
      <c r="A48" s="24" t="s">
        <v>12</v>
      </c>
      <c r="B48" s="4"/>
      <c r="C48" s="30">
        <v>0.35</v>
      </c>
      <c r="D48" s="1"/>
    </row>
    <row r="49" spans="1:5" ht="16.5" thickBot="1" x14ac:dyDescent="0.3">
      <c r="A49" s="10" t="s">
        <v>11</v>
      </c>
      <c r="B49" s="4"/>
      <c r="C49" s="18">
        <f>B42</f>
        <v>98.320999999999998</v>
      </c>
      <c r="D49" s="1"/>
    </row>
    <row r="50" spans="1:5" ht="20.25" customHeight="1" thickBot="1" x14ac:dyDescent="0.3">
      <c r="A50" s="10" t="s">
        <v>14</v>
      </c>
      <c r="C50" s="31">
        <f>B3</f>
        <v>100.559</v>
      </c>
      <c r="D50" s="1"/>
    </row>
    <row r="51" spans="1:5" ht="15.75" thickBot="1" x14ac:dyDescent="0.3">
      <c r="A51" s="24" t="s">
        <v>13</v>
      </c>
      <c r="C51" s="32"/>
      <c r="D51" s="1"/>
    </row>
    <row r="52" spans="1:5" x14ac:dyDescent="0.2">
      <c r="A52" s="3"/>
      <c r="B52" s="4"/>
      <c r="C52" s="5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ht="18" x14ac:dyDescent="0.25">
      <c r="C56" s="49" t="s">
        <v>16</v>
      </c>
      <c r="D56" s="48"/>
      <c r="E56" s="48"/>
    </row>
  </sheetData>
  <mergeCells count="3">
    <mergeCell ref="A1:Q1"/>
    <mergeCell ref="D2:D39"/>
    <mergeCell ref="D40:D45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56"/>
  <sheetViews>
    <sheetView showGridLines="0" topLeftCell="A13" zoomScale="75" workbookViewId="0">
      <selection activeCell="B28" sqref="B2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100.45</v>
      </c>
      <c r="C3" s="39" t="s">
        <v>20</v>
      </c>
      <c r="D3" s="173"/>
    </row>
    <row r="4" spans="1:20" x14ac:dyDescent="0.2">
      <c r="A4" s="40">
        <v>1.5</v>
      </c>
      <c r="B4" s="41">
        <v>99.93</v>
      </c>
      <c r="C4" s="42"/>
      <c r="D4" s="173"/>
    </row>
    <row r="5" spans="1:20" x14ac:dyDescent="0.2">
      <c r="A5" s="43">
        <v>3.5</v>
      </c>
      <c r="B5" s="44">
        <v>99.22</v>
      </c>
      <c r="C5" s="50"/>
      <c r="D5" s="173"/>
    </row>
    <row r="6" spans="1:20" x14ac:dyDescent="0.2">
      <c r="A6" s="43">
        <v>4</v>
      </c>
      <c r="B6" s="44">
        <v>99.01</v>
      </c>
      <c r="C6" s="50"/>
      <c r="D6" s="173"/>
    </row>
    <row r="7" spans="1:20" x14ac:dyDescent="0.2">
      <c r="A7" s="43">
        <v>4.5</v>
      </c>
      <c r="B7" s="44">
        <v>98.62</v>
      </c>
      <c r="C7" s="42"/>
      <c r="D7" s="173"/>
    </row>
    <row r="8" spans="1:20" x14ac:dyDescent="0.2">
      <c r="A8" s="43">
        <v>5</v>
      </c>
      <c r="B8" s="44">
        <v>98.71</v>
      </c>
      <c r="C8" s="45"/>
      <c r="D8" s="173"/>
    </row>
    <row r="9" spans="1:20" x14ac:dyDescent="0.2">
      <c r="A9" s="43">
        <v>7</v>
      </c>
      <c r="B9" s="44">
        <v>99.34</v>
      </c>
      <c r="C9" s="50"/>
      <c r="D9" s="173"/>
    </row>
    <row r="10" spans="1:20" x14ac:dyDescent="0.2">
      <c r="A10" s="43">
        <v>7.5</v>
      </c>
      <c r="B10" s="44">
        <v>99.65</v>
      </c>
      <c r="C10" s="42"/>
      <c r="D10" s="173"/>
    </row>
    <row r="11" spans="1:20" x14ac:dyDescent="0.2">
      <c r="A11" s="43">
        <v>9.5</v>
      </c>
      <c r="B11" s="44">
        <v>99.4</v>
      </c>
      <c r="C11" s="45"/>
      <c r="D11" s="173"/>
    </row>
    <row r="12" spans="1:20" x14ac:dyDescent="0.2">
      <c r="A12" s="16">
        <v>14</v>
      </c>
      <c r="B12" s="46">
        <v>98.61</v>
      </c>
      <c r="C12" s="42" t="s">
        <v>21</v>
      </c>
      <c r="D12" s="173"/>
    </row>
    <row r="13" spans="1:20" x14ac:dyDescent="0.2">
      <c r="A13" s="43">
        <v>14.5</v>
      </c>
      <c r="B13" s="44">
        <v>98.41</v>
      </c>
      <c r="C13" s="42"/>
      <c r="D13" s="173"/>
    </row>
    <row r="14" spans="1:20" x14ac:dyDescent="0.2">
      <c r="A14" s="43">
        <v>15</v>
      </c>
      <c r="B14" s="44">
        <v>98.51</v>
      </c>
      <c r="C14" s="42"/>
      <c r="D14" s="173"/>
    </row>
    <row r="15" spans="1:20" x14ac:dyDescent="0.2">
      <c r="A15" s="43">
        <v>15.5</v>
      </c>
      <c r="B15" s="44">
        <v>98.51</v>
      </c>
      <c r="C15" s="42"/>
      <c r="D15" s="173"/>
    </row>
    <row r="16" spans="1:20" x14ac:dyDescent="0.2">
      <c r="A16" s="43">
        <v>16</v>
      </c>
      <c r="B16" s="44">
        <v>98.51</v>
      </c>
      <c r="C16" s="42"/>
      <c r="D16" s="173"/>
    </row>
    <row r="17" spans="1:4" x14ac:dyDescent="0.2">
      <c r="A17" s="43">
        <v>16.5</v>
      </c>
      <c r="B17" s="44">
        <v>98.49</v>
      </c>
      <c r="C17" s="42"/>
      <c r="D17" s="173"/>
    </row>
    <row r="18" spans="1:4" x14ac:dyDescent="0.2">
      <c r="A18" s="43">
        <v>17</v>
      </c>
      <c r="B18" s="44">
        <v>98.31</v>
      </c>
      <c r="C18" s="42"/>
      <c r="D18" s="173"/>
    </row>
    <row r="19" spans="1:4" x14ac:dyDescent="0.2">
      <c r="A19" s="43">
        <v>17.5</v>
      </c>
      <c r="B19" s="44">
        <v>98.22</v>
      </c>
      <c r="C19" s="42"/>
      <c r="D19" s="173"/>
    </row>
    <row r="20" spans="1:4" x14ac:dyDescent="0.2">
      <c r="A20" s="43">
        <v>18</v>
      </c>
      <c r="B20" s="44">
        <v>98.26</v>
      </c>
      <c r="C20" s="42"/>
      <c r="D20" s="173"/>
    </row>
    <row r="21" spans="1:4" x14ac:dyDescent="0.2">
      <c r="A21" s="43">
        <v>18.5</v>
      </c>
      <c r="B21" s="44">
        <v>98.27</v>
      </c>
      <c r="C21" s="50"/>
      <c r="D21" s="173"/>
    </row>
    <row r="22" spans="1:4" x14ac:dyDescent="0.2">
      <c r="A22" s="43">
        <v>19</v>
      </c>
      <c r="B22" s="44">
        <v>98.2</v>
      </c>
      <c r="C22" s="50"/>
      <c r="D22" s="173"/>
    </row>
    <row r="23" spans="1:4" x14ac:dyDescent="0.2">
      <c r="A23" s="43">
        <v>19.5</v>
      </c>
      <c r="B23" s="44">
        <v>98.14</v>
      </c>
      <c r="C23" s="42"/>
      <c r="D23" s="173"/>
    </row>
    <row r="24" spans="1:4" x14ac:dyDescent="0.2">
      <c r="A24" s="43">
        <v>20</v>
      </c>
      <c r="B24" s="44">
        <v>98.26</v>
      </c>
      <c r="C24" s="45"/>
      <c r="D24" s="173"/>
    </row>
    <row r="25" spans="1:4" x14ac:dyDescent="0.2">
      <c r="A25" s="43">
        <v>20.5</v>
      </c>
      <c r="B25" s="44">
        <v>98.23</v>
      </c>
      <c r="C25" s="42"/>
      <c r="D25" s="173"/>
    </row>
    <row r="26" spans="1:4" s="7" customFormat="1" x14ac:dyDescent="0.2">
      <c r="A26" s="43">
        <v>21</v>
      </c>
      <c r="B26" s="44">
        <v>98.32</v>
      </c>
      <c r="C26" s="45"/>
      <c r="D26" s="173"/>
    </row>
    <row r="27" spans="1:4" x14ac:dyDescent="0.2">
      <c r="A27" s="43">
        <v>21.5</v>
      </c>
      <c r="B27" s="44">
        <v>98.27</v>
      </c>
      <c r="C27" s="45"/>
      <c r="D27" s="173"/>
    </row>
    <row r="28" spans="1:4" x14ac:dyDescent="0.2">
      <c r="A28" s="16">
        <v>21.5</v>
      </c>
      <c r="B28" s="46">
        <v>98.61</v>
      </c>
      <c r="C28" s="42" t="s">
        <v>22</v>
      </c>
      <c r="D28" s="173"/>
    </row>
    <row r="29" spans="1:4" x14ac:dyDescent="0.2">
      <c r="A29" s="43">
        <v>21.5</v>
      </c>
      <c r="B29" s="44">
        <v>98.9</v>
      </c>
      <c r="C29" s="53"/>
      <c r="D29" s="173"/>
    </row>
    <row r="30" spans="1:4" x14ac:dyDescent="0.2">
      <c r="A30" s="43">
        <v>22</v>
      </c>
      <c r="B30" s="44">
        <v>98.89</v>
      </c>
      <c r="C30" s="54"/>
      <c r="D30" s="173"/>
    </row>
    <row r="31" spans="1:4" x14ac:dyDescent="0.2">
      <c r="A31" s="43">
        <v>22</v>
      </c>
      <c r="B31" s="44">
        <v>99.09</v>
      </c>
      <c r="C31" s="53"/>
      <c r="D31" s="173"/>
    </row>
    <row r="32" spans="1:4" x14ac:dyDescent="0.2">
      <c r="A32" s="43">
        <v>24</v>
      </c>
      <c r="B32" s="44">
        <v>99.69</v>
      </c>
      <c r="C32" s="42"/>
      <c r="D32" s="173"/>
    </row>
    <row r="33" spans="1:4" x14ac:dyDescent="0.2">
      <c r="A33" s="43">
        <v>26</v>
      </c>
      <c r="B33" s="44">
        <v>100.21</v>
      </c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ht="13.5" thickBot="1" x14ac:dyDescent="0.25">
      <c r="A39" s="43"/>
      <c r="B39" s="44"/>
      <c r="C39" s="42"/>
      <c r="D39" s="173"/>
    </row>
    <row r="40" spans="1:4" ht="20.100000000000001" customHeight="1" x14ac:dyDescent="0.2">
      <c r="A40" s="15">
        <v>14</v>
      </c>
      <c r="B40" s="19">
        <v>98.61</v>
      </c>
      <c r="C40" s="14" t="s">
        <v>9</v>
      </c>
      <c r="D40" s="174" t="s">
        <v>6</v>
      </c>
    </row>
    <row r="41" spans="1:4" ht="20.100000000000001" customHeight="1" thickBot="1" x14ac:dyDescent="0.25">
      <c r="A41" s="28">
        <v>21.5</v>
      </c>
      <c r="B41" s="33">
        <v>98.61</v>
      </c>
      <c r="C41" s="17" t="s">
        <v>10</v>
      </c>
      <c r="D41" s="174"/>
    </row>
    <row r="42" spans="1:4" ht="20.100000000000001" customHeight="1" thickBot="1" x14ac:dyDescent="0.25">
      <c r="A42" s="34">
        <v>21</v>
      </c>
      <c r="B42" s="35">
        <v>98.320999999999998</v>
      </c>
      <c r="C42" s="21" t="s">
        <v>8</v>
      </c>
      <c r="D42" s="174"/>
    </row>
    <row r="43" spans="1:4" ht="20.100000000000001" customHeight="1" thickBot="1" x14ac:dyDescent="0.25">
      <c r="A43" s="20">
        <v>21</v>
      </c>
      <c r="B43" s="36">
        <v>99.352999999999994</v>
      </c>
      <c r="C43" s="22" t="s">
        <v>8</v>
      </c>
      <c r="D43" s="174"/>
    </row>
    <row r="44" spans="1:4" ht="20.100000000000001" customHeight="1" x14ac:dyDescent="0.2">
      <c r="A44" s="15">
        <v>22</v>
      </c>
      <c r="B44" s="19">
        <v>99.32</v>
      </c>
      <c r="C44" s="23" t="s">
        <v>2</v>
      </c>
      <c r="D44" s="174"/>
    </row>
    <row r="45" spans="1:4" ht="20.100000000000001" customHeight="1" thickBot="1" x14ac:dyDescent="0.25">
      <c r="A45" s="28">
        <v>22</v>
      </c>
      <c r="B45" s="33">
        <v>100.24299999999999</v>
      </c>
      <c r="C45" s="8" t="s">
        <v>2</v>
      </c>
      <c r="D45" s="174"/>
    </row>
    <row r="46" spans="1:4" ht="13.5" thickBot="1" x14ac:dyDescent="0.25">
      <c r="A46" s="15"/>
      <c r="B46" s="27"/>
      <c r="C46" s="9" t="s">
        <v>7</v>
      </c>
      <c r="D46" s="1"/>
    </row>
    <row r="47" spans="1:4" ht="13.5" thickBot="1" x14ac:dyDescent="0.25">
      <c r="A47" s="28"/>
      <c r="B47" s="29"/>
      <c r="C47" s="9" t="s">
        <v>7</v>
      </c>
      <c r="D47" s="1"/>
    </row>
    <row r="48" spans="1:4" ht="16.5" thickBot="1" x14ac:dyDescent="0.3">
      <c r="A48" s="24" t="s">
        <v>12</v>
      </c>
      <c r="B48" s="4"/>
      <c r="C48" s="30">
        <v>0.3</v>
      </c>
      <c r="D48" s="1"/>
    </row>
    <row r="49" spans="1:5" ht="16.5" thickBot="1" x14ac:dyDescent="0.3">
      <c r="A49" s="10" t="s">
        <v>11</v>
      </c>
      <c r="B49" s="4"/>
      <c r="C49" s="18">
        <f>B42</f>
        <v>98.320999999999998</v>
      </c>
      <c r="D49" s="1"/>
    </row>
    <row r="50" spans="1:5" ht="20.25" customHeight="1" thickBot="1" x14ac:dyDescent="0.3">
      <c r="A50" s="10" t="s">
        <v>14</v>
      </c>
      <c r="C50" s="31">
        <f>B3</f>
        <v>100.45</v>
      </c>
      <c r="D50" s="1"/>
    </row>
    <row r="51" spans="1:5" ht="15.75" thickBot="1" x14ac:dyDescent="0.3">
      <c r="A51" s="24" t="s">
        <v>13</v>
      </c>
      <c r="C51" s="32"/>
      <c r="D51" s="1"/>
    </row>
    <row r="52" spans="1:5" x14ac:dyDescent="0.2">
      <c r="A52" s="3"/>
      <c r="B52" s="4"/>
      <c r="C52" s="5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ht="18" x14ac:dyDescent="0.25">
      <c r="C56" s="49" t="s">
        <v>16</v>
      </c>
      <c r="D56" s="48"/>
      <c r="E56" s="48"/>
    </row>
  </sheetData>
  <mergeCells count="3">
    <mergeCell ref="A1:Q1"/>
    <mergeCell ref="D2:D39"/>
    <mergeCell ref="D40:D45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56"/>
  <sheetViews>
    <sheetView showGridLines="0" zoomScale="75" workbookViewId="0">
      <selection activeCell="B42" sqref="B42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103.319</v>
      </c>
      <c r="C3" s="39" t="s">
        <v>20</v>
      </c>
      <c r="D3" s="173"/>
    </row>
    <row r="4" spans="1:20" x14ac:dyDescent="0.2">
      <c r="A4" s="40">
        <v>0</v>
      </c>
      <c r="B4" s="41">
        <v>100.319</v>
      </c>
      <c r="C4" s="42"/>
      <c r="D4" s="173"/>
    </row>
    <row r="5" spans="1:20" x14ac:dyDescent="0.2">
      <c r="A5" s="43">
        <v>2</v>
      </c>
      <c r="B5" s="44">
        <v>99.668999999999997</v>
      </c>
      <c r="C5" s="50"/>
      <c r="D5" s="173"/>
    </row>
    <row r="6" spans="1:20" x14ac:dyDescent="0.2">
      <c r="A6" s="43">
        <v>2.5</v>
      </c>
      <c r="B6" s="44">
        <v>99.319000000000003</v>
      </c>
      <c r="C6" s="50"/>
      <c r="D6" s="173"/>
    </row>
    <row r="7" spans="1:20" x14ac:dyDescent="0.2">
      <c r="A7" s="43">
        <v>4.2</v>
      </c>
      <c r="B7" s="44">
        <v>98.959000000000003</v>
      </c>
      <c r="C7" s="42"/>
      <c r="D7" s="173"/>
    </row>
    <row r="8" spans="1:20" x14ac:dyDescent="0.2">
      <c r="A8" s="43">
        <v>4.8</v>
      </c>
      <c r="B8" s="44">
        <v>98.578999999999994</v>
      </c>
      <c r="C8" s="45"/>
      <c r="D8" s="173"/>
    </row>
    <row r="9" spans="1:20" x14ac:dyDescent="0.2">
      <c r="A9" s="43">
        <v>7</v>
      </c>
      <c r="B9" s="44">
        <v>99.369</v>
      </c>
      <c r="C9" s="50"/>
      <c r="D9" s="173"/>
    </row>
    <row r="10" spans="1:20" x14ac:dyDescent="0.2">
      <c r="A10" s="43">
        <v>8.5</v>
      </c>
      <c r="B10" s="44">
        <v>99.799000000000007</v>
      </c>
      <c r="C10" s="42"/>
      <c r="D10" s="173"/>
    </row>
    <row r="11" spans="1:20" x14ac:dyDescent="0.2">
      <c r="A11" s="43">
        <v>10</v>
      </c>
      <c r="B11" s="44">
        <v>99.549000000000007</v>
      </c>
      <c r="C11" s="45"/>
      <c r="D11" s="173"/>
    </row>
    <row r="12" spans="1:20" x14ac:dyDescent="0.2">
      <c r="A12" s="16">
        <v>12.6</v>
      </c>
      <c r="B12" s="46">
        <v>98.572999999999993</v>
      </c>
      <c r="C12" s="42" t="s">
        <v>21</v>
      </c>
      <c r="D12" s="173"/>
    </row>
    <row r="13" spans="1:20" x14ac:dyDescent="0.2">
      <c r="A13" s="43">
        <v>13.1</v>
      </c>
      <c r="B13" s="44">
        <v>98.442999999999998</v>
      </c>
      <c r="C13" s="42"/>
      <c r="D13" s="173"/>
    </row>
    <row r="14" spans="1:20" x14ac:dyDescent="0.2">
      <c r="A14" s="43">
        <v>13.6</v>
      </c>
      <c r="B14" s="44">
        <v>98.442999999999998</v>
      </c>
      <c r="C14" s="42"/>
      <c r="D14" s="173"/>
    </row>
    <row r="15" spans="1:20" x14ac:dyDescent="0.2">
      <c r="A15" s="43">
        <v>14.1</v>
      </c>
      <c r="B15" s="44">
        <v>98.472999999999999</v>
      </c>
      <c r="C15" s="42"/>
      <c r="D15" s="173"/>
    </row>
    <row r="16" spans="1:20" x14ac:dyDescent="0.2">
      <c r="A16" s="43">
        <v>14.8</v>
      </c>
      <c r="B16" s="44">
        <v>98.472999999999999</v>
      </c>
      <c r="C16" s="42"/>
      <c r="D16" s="173"/>
    </row>
    <row r="17" spans="1:4" x14ac:dyDescent="0.2">
      <c r="A17" s="43">
        <v>15.3</v>
      </c>
      <c r="B17" s="44">
        <v>98.564999999999998</v>
      </c>
      <c r="C17" s="42"/>
      <c r="D17" s="173"/>
    </row>
    <row r="18" spans="1:4" x14ac:dyDescent="0.2">
      <c r="A18" s="43">
        <v>15.8</v>
      </c>
      <c r="B18" s="44">
        <v>98.472999999999999</v>
      </c>
      <c r="C18" s="42"/>
      <c r="D18" s="173"/>
    </row>
    <row r="19" spans="1:4" x14ac:dyDescent="0.2">
      <c r="A19" s="43">
        <v>16.3</v>
      </c>
      <c r="B19" s="44">
        <v>98.472999999999999</v>
      </c>
      <c r="C19" s="42"/>
      <c r="D19" s="173"/>
    </row>
    <row r="20" spans="1:4" x14ac:dyDescent="0.2">
      <c r="A20" s="43">
        <v>16.8</v>
      </c>
      <c r="B20" s="44">
        <v>98.564999999999998</v>
      </c>
      <c r="C20" s="42"/>
      <c r="D20" s="173"/>
    </row>
    <row r="21" spans="1:4" x14ac:dyDescent="0.2">
      <c r="A21" s="43">
        <v>17.3</v>
      </c>
      <c r="B21" s="44">
        <v>98.472999999999999</v>
      </c>
      <c r="C21" s="50"/>
      <c r="D21" s="173"/>
    </row>
    <row r="22" spans="1:4" x14ac:dyDescent="0.2">
      <c r="A22" s="43">
        <v>17.8</v>
      </c>
      <c r="B22" s="44">
        <v>98.472999999999999</v>
      </c>
      <c r="C22" s="50"/>
      <c r="D22" s="173"/>
    </row>
    <row r="23" spans="1:4" x14ac:dyDescent="0.2">
      <c r="A23" s="43">
        <v>18.3</v>
      </c>
      <c r="B23" s="44">
        <v>98.453000000000003</v>
      </c>
      <c r="C23" s="42"/>
      <c r="D23" s="173"/>
    </row>
    <row r="24" spans="1:4" x14ac:dyDescent="0.2">
      <c r="A24" s="43">
        <v>18.8</v>
      </c>
      <c r="B24" s="44">
        <v>98.433000000000007</v>
      </c>
      <c r="C24" s="45"/>
      <c r="D24" s="173"/>
    </row>
    <row r="25" spans="1:4" x14ac:dyDescent="0.2">
      <c r="A25" s="43">
        <v>19.3</v>
      </c>
      <c r="B25" s="44">
        <v>98.453000000000003</v>
      </c>
      <c r="C25" s="42"/>
      <c r="D25" s="173"/>
    </row>
    <row r="26" spans="1:4" s="7" customFormat="1" x14ac:dyDescent="0.2">
      <c r="A26" s="43">
        <v>19.8</v>
      </c>
      <c r="B26" s="44">
        <v>98.453000000000003</v>
      </c>
      <c r="C26" s="45"/>
      <c r="D26" s="173"/>
    </row>
    <row r="27" spans="1:4" x14ac:dyDescent="0.2">
      <c r="A27" s="43">
        <v>20.2</v>
      </c>
      <c r="B27" s="44">
        <v>98.472999999999999</v>
      </c>
      <c r="C27" s="45"/>
      <c r="D27" s="173"/>
    </row>
    <row r="28" spans="1:4" x14ac:dyDescent="0.2">
      <c r="A28" s="16">
        <v>20.6</v>
      </c>
      <c r="B28" s="46">
        <v>98.572999999999993</v>
      </c>
      <c r="C28" s="42" t="s">
        <v>22</v>
      </c>
      <c r="D28" s="173"/>
    </row>
    <row r="29" spans="1:4" x14ac:dyDescent="0.2">
      <c r="A29" s="43">
        <v>21.6</v>
      </c>
      <c r="B29" s="44">
        <v>99.259</v>
      </c>
      <c r="C29" s="53"/>
      <c r="D29" s="173"/>
    </row>
    <row r="30" spans="1:4" x14ac:dyDescent="0.2">
      <c r="A30" s="43">
        <v>24.2</v>
      </c>
      <c r="B30" s="44">
        <v>99.778999999999996</v>
      </c>
      <c r="C30" s="54"/>
      <c r="D30" s="173"/>
    </row>
    <row r="31" spans="1:4" x14ac:dyDescent="0.2">
      <c r="A31" s="43">
        <v>25.2</v>
      </c>
      <c r="B31" s="44">
        <v>100.739</v>
      </c>
      <c r="C31" s="53"/>
      <c r="D31" s="173"/>
    </row>
    <row r="32" spans="1:4" x14ac:dyDescent="0.2">
      <c r="A32" s="43">
        <v>25.2</v>
      </c>
      <c r="B32" s="44">
        <v>102.739</v>
      </c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ht="13.5" thickBot="1" x14ac:dyDescent="0.25">
      <c r="A39" s="43"/>
      <c r="B39" s="44"/>
      <c r="C39" s="42"/>
      <c r="D39" s="173"/>
    </row>
    <row r="40" spans="1:4" ht="20.100000000000001" customHeight="1" x14ac:dyDescent="0.2">
      <c r="A40" s="15">
        <v>12.6</v>
      </c>
      <c r="B40" s="19">
        <v>98.572999999999993</v>
      </c>
      <c r="C40" s="14" t="s">
        <v>9</v>
      </c>
      <c r="D40" s="174" t="s">
        <v>6</v>
      </c>
    </row>
    <row r="41" spans="1:4" ht="20.100000000000001" customHeight="1" thickBot="1" x14ac:dyDescent="0.25">
      <c r="A41" s="28">
        <v>20.6</v>
      </c>
      <c r="B41" s="33">
        <v>98.572999999999993</v>
      </c>
      <c r="C41" s="17" t="s">
        <v>10</v>
      </c>
      <c r="D41" s="174"/>
    </row>
    <row r="42" spans="1:4" ht="20.100000000000001" customHeight="1" thickBot="1" x14ac:dyDescent="0.25">
      <c r="A42" s="34">
        <v>21</v>
      </c>
      <c r="B42" s="35">
        <v>98.325000000000003</v>
      </c>
      <c r="C42" s="21" t="s">
        <v>8</v>
      </c>
      <c r="D42" s="174"/>
    </row>
    <row r="43" spans="1:4" ht="20.100000000000001" customHeight="1" thickBot="1" x14ac:dyDescent="0.25">
      <c r="A43" s="20">
        <v>21</v>
      </c>
      <c r="B43" s="36">
        <v>99.352999999999994</v>
      </c>
      <c r="C43" s="22" t="s">
        <v>8</v>
      </c>
      <c r="D43" s="174"/>
    </row>
    <row r="44" spans="1:4" ht="20.100000000000001" customHeight="1" x14ac:dyDescent="0.2">
      <c r="A44" s="15">
        <v>22</v>
      </c>
      <c r="B44" s="19">
        <v>99.32</v>
      </c>
      <c r="C44" s="23" t="s">
        <v>2</v>
      </c>
      <c r="D44" s="174"/>
    </row>
    <row r="45" spans="1:4" ht="20.100000000000001" customHeight="1" thickBot="1" x14ac:dyDescent="0.25">
      <c r="A45" s="28">
        <v>22</v>
      </c>
      <c r="B45" s="33">
        <v>100.24299999999999</v>
      </c>
      <c r="C45" s="8" t="s">
        <v>2</v>
      </c>
      <c r="D45" s="174"/>
    </row>
    <row r="46" spans="1:4" ht="13.5" thickBot="1" x14ac:dyDescent="0.25">
      <c r="A46" s="15"/>
      <c r="B46" s="27"/>
      <c r="C46" s="9" t="s">
        <v>7</v>
      </c>
      <c r="D46" s="1"/>
    </row>
    <row r="47" spans="1:4" ht="13.5" thickBot="1" x14ac:dyDescent="0.25">
      <c r="A47" s="28"/>
      <c r="B47" s="29"/>
      <c r="C47" s="9" t="s">
        <v>7</v>
      </c>
      <c r="D47" s="1"/>
    </row>
    <row r="48" spans="1:4" ht="16.5" thickBot="1" x14ac:dyDescent="0.3">
      <c r="A48" s="24" t="s">
        <v>12</v>
      </c>
      <c r="B48" s="4"/>
      <c r="C48" s="30">
        <v>0.28000000000000003</v>
      </c>
      <c r="D48" s="1"/>
    </row>
    <row r="49" spans="1:5" ht="16.5" thickBot="1" x14ac:dyDescent="0.3">
      <c r="A49" s="10" t="s">
        <v>11</v>
      </c>
      <c r="B49" s="4"/>
      <c r="C49" s="18">
        <f>B42</f>
        <v>98.325000000000003</v>
      </c>
      <c r="D49" s="1"/>
    </row>
    <row r="50" spans="1:5" ht="20.25" customHeight="1" thickBot="1" x14ac:dyDescent="0.3">
      <c r="A50" s="10" t="s">
        <v>14</v>
      </c>
      <c r="C50" s="31">
        <f>B3</f>
        <v>103.319</v>
      </c>
      <c r="D50" s="1"/>
    </row>
    <row r="51" spans="1:5" ht="15.75" thickBot="1" x14ac:dyDescent="0.3">
      <c r="A51" s="24" t="s">
        <v>13</v>
      </c>
      <c r="C51" s="32"/>
      <c r="D51" s="1"/>
    </row>
    <row r="52" spans="1:5" x14ac:dyDescent="0.2">
      <c r="A52" s="3"/>
      <c r="B52" s="4"/>
      <c r="C52" s="5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ht="18" x14ac:dyDescent="0.25">
      <c r="C56" s="49" t="s">
        <v>16</v>
      </c>
      <c r="D56" s="48"/>
      <c r="E56" s="48"/>
    </row>
  </sheetData>
  <mergeCells count="3">
    <mergeCell ref="A1:Q1"/>
    <mergeCell ref="D2:D39"/>
    <mergeCell ref="D40:D45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56"/>
  <sheetViews>
    <sheetView showGridLines="0" topLeftCell="A19" zoomScale="75" workbookViewId="0">
      <selection activeCell="C48" sqref="C4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100.248</v>
      </c>
      <c r="C3" s="39" t="s">
        <v>23</v>
      </c>
      <c r="D3" s="173"/>
    </row>
    <row r="4" spans="1:20" x14ac:dyDescent="0.2">
      <c r="A4" s="40">
        <v>1.5</v>
      </c>
      <c r="B4" s="41">
        <v>99.697999999999993</v>
      </c>
      <c r="C4" s="42"/>
      <c r="D4" s="173"/>
    </row>
    <row r="5" spans="1:20" x14ac:dyDescent="0.2">
      <c r="A5" s="43">
        <v>1.5</v>
      </c>
      <c r="B5" s="44">
        <v>99.582999999999998</v>
      </c>
      <c r="C5" s="50"/>
      <c r="D5" s="173"/>
    </row>
    <row r="6" spans="1:20" x14ac:dyDescent="0.2">
      <c r="A6" s="43">
        <v>3.5</v>
      </c>
      <c r="B6" s="44">
        <v>99.028000000000006</v>
      </c>
      <c r="C6" s="50"/>
      <c r="D6" s="173"/>
    </row>
    <row r="7" spans="1:20" x14ac:dyDescent="0.2">
      <c r="A7" s="43">
        <v>4.3</v>
      </c>
      <c r="B7" s="44">
        <v>98.772999999999996</v>
      </c>
      <c r="C7" s="42"/>
      <c r="D7" s="173"/>
    </row>
    <row r="8" spans="1:20" x14ac:dyDescent="0.2">
      <c r="A8" s="43">
        <v>7</v>
      </c>
      <c r="B8" s="44">
        <v>99.852000000000004</v>
      </c>
      <c r="C8" s="45"/>
      <c r="D8" s="173"/>
    </row>
    <row r="9" spans="1:20" x14ac:dyDescent="0.2">
      <c r="A9" s="43">
        <v>8</v>
      </c>
      <c r="B9" s="44">
        <v>99.798000000000002</v>
      </c>
      <c r="C9" s="50"/>
      <c r="D9" s="173"/>
    </row>
    <row r="10" spans="1:20" x14ac:dyDescent="0.2">
      <c r="A10" s="16">
        <v>11.7</v>
      </c>
      <c r="B10" s="46">
        <v>98.616</v>
      </c>
      <c r="C10" s="42" t="s">
        <v>21</v>
      </c>
      <c r="D10" s="173"/>
    </row>
    <row r="11" spans="1:20" x14ac:dyDescent="0.2">
      <c r="A11" s="43">
        <v>11.9</v>
      </c>
      <c r="B11" s="44">
        <v>98.475999999999999</v>
      </c>
      <c r="C11" s="45"/>
      <c r="D11" s="173"/>
    </row>
    <row r="12" spans="1:20" x14ac:dyDescent="0.2">
      <c r="A12" s="43">
        <v>12.5</v>
      </c>
      <c r="B12" s="44">
        <v>98.415999999999997</v>
      </c>
      <c r="C12" s="42"/>
      <c r="D12" s="173"/>
    </row>
    <row r="13" spans="1:20" x14ac:dyDescent="0.2">
      <c r="A13" s="43">
        <v>13.2</v>
      </c>
      <c r="B13" s="44">
        <v>98.406000000000006</v>
      </c>
      <c r="C13" s="42"/>
      <c r="D13" s="173"/>
    </row>
    <row r="14" spans="1:20" x14ac:dyDescent="0.2">
      <c r="A14" s="43">
        <v>13.8</v>
      </c>
      <c r="B14" s="44">
        <v>98.415999999999997</v>
      </c>
      <c r="C14" s="42"/>
      <c r="D14" s="173"/>
    </row>
    <row r="15" spans="1:20" x14ac:dyDescent="0.2">
      <c r="A15" s="43">
        <v>14.4</v>
      </c>
      <c r="B15" s="44">
        <v>98.506</v>
      </c>
      <c r="C15" s="42"/>
      <c r="D15" s="173"/>
    </row>
    <row r="16" spans="1:20" x14ac:dyDescent="0.2">
      <c r="A16" s="43">
        <v>15</v>
      </c>
      <c r="B16" s="44">
        <v>98.516000000000005</v>
      </c>
      <c r="C16" s="42"/>
      <c r="D16" s="173"/>
    </row>
    <row r="17" spans="1:4" x14ac:dyDescent="0.2">
      <c r="A17" s="43">
        <v>15.6</v>
      </c>
      <c r="B17" s="44">
        <v>98.555999999999997</v>
      </c>
      <c r="C17" s="42"/>
      <c r="D17" s="173"/>
    </row>
    <row r="18" spans="1:4" x14ac:dyDescent="0.2">
      <c r="A18" s="43">
        <v>16.2</v>
      </c>
      <c r="B18" s="44">
        <v>98.506</v>
      </c>
      <c r="C18" s="42"/>
      <c r="D18" s="173"/>
    </row>
    <row r="19" spans="1:4" x14ac:dyDescent="0.2">
      <c r="A19" s="43">
        <v>16.8</v>
      </c>
      <c r="B19" s="44">
        <v>98.475999999999999</v>
      </c>
      <c r="C19" s="42"/>
      <c r="D19" s="173"/>
    </row>
    <row r="20" spans="1:4" x14ac:dyDescent="0.2">
      <c r="A20" s="43">
        <v>17.399999999999999</v>
      </c>
      <c r="B20" s="44">
        <v>98.516000000000005</v>
      </c>
      <c r="C20" s="42"/>
      <c r="D20" s="173"/>
    </row>
    <row r="21" spans="1:4" x14ac:dyDescent="0.2">
      <c r="A21" s="43">
        <v>18</v>
      </c>
      <c r="B21" s="44">
        <v>98.445999999999998</v>
      </c>
      <c r="C21" s="50"/>
      <c r="D21" s="173"/>
    </row>
    <row r="22" spans="1:4" x14ac:dyDescent="0.2">
      <c r="A22" s="43">
        <v>18.600000000000001</v>
      </c>
      <c r="B22" s="44">
        <v>98.465999999999994</v>
      </c>
      <c r="C22" s="50"/>
      <c r="D22" s="173"/>
    </row>
    <row r="23" spans="1:4" x14ac:dyDescent="0.2">
      <c r="A23" s="43">
        <v>19.2</v>
      </c>
      <c r="B23" s="44">
        <v>98.575999999999993</v>
      </c>
      <c r="C23" s="42"/>
      <c r="D23" s="173"/>
    </row>
    <row r="24" spans="1:4" x14ac:dyDescent="0.2">
      <c r="A24" s="16">
        <v>19.2</v>
      </c>
      <c r="B24" s="46">
        <v>98.616</v>
      </c>
      <c r="C24" s="45" t="s">
        <v>22</v>
      </c>
      <c r="D24" s="173"/>
    </row>
    <row r="25" spans="1:4" x14ac:dyDescent="0.2">
      <c r="A25" s="43">
        <v>19.2</v>
      </c>
      <c r="B25" s="44">
        <v>98.783000000000001</v>
      </c>
      <c r="C25" s="42"/>
      <c r="D25" s="173"/>
    </row>
    <row r="26" spans="1:4" s="7" customFormat="1" x14ac:dyDescent="0.2">
      <c r="A26" s="43">
        <v>20.2</v>
      </c>
      <c r="B26" s="44">
        <v>99.045000000000002</v>
      </c>
      <c r="C26" s="45"/>
      <c r="D26" s="173"/>
    </row>
    <row r="27" spans="1:4" x14ac:dyDescent="0.2">
      <c r="A27" s="43">
        <v>20.2</v>
      </c>
      <c r="B27" s="44">
        <v>99.378</v>
      </c>
      <c r="C27" s="45"/>
      <c r="D27" s="173"/>
    </row>
    <row r="28" spans="1:4" x14ac:dyDescent="0.2">
      <c r="A28" s="16">
        <v>20.8</v>
      </c>
      <c r="B28" s="46">
        <v>99.688000000000002</v>
      </c>
      <c r="C28" s="42"/>
      <c r="D28" s="173"/>
    </row>
    <row r="29" spans="1:4" x14ac:dyDescent="0.2">
      <c r="A29" s="43">
        <v>22</v>
      </c>
      <c r="B29" s="44">
        <v>100.503</v>
      </c>
      <c r="C29" s="53"/>
      <c r="D29" s="173"/>
    </row>
    <row r="30" spans="1:4" x14ac:dyDescent="0.2">
      <c r="A30" s="43"/>
      <c r="B30" s="44"/>
      <c r="C30" s="54"/>
      <c r="D30" s="173"/>
    </row>
    <row r="31" spans="1:4" x14ac:dyDescent="0.2">
      <c r="A31" s="43"/>
      <c r="B31" s="44"/>
      <c r="C31" s="53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ht="13.5" thickBot="1" x14ac:dyDescent="0.25">
      <c r="A39" s="43"/>
      <c r="B39" s="44"/>
      <c r="C39" s="42"/>
      <c r="D39" s="173"/>
    </row>
    <row r="40" spans="1:4" ht="20.100000000000001" customHeight="1" x14ac:dyDescent="0.2">
      <c r="A40" s="15">
        <v>11.7</v>
      </c>
      <c r="B40" s="19">
        <v>98.616</v>
      </c>
      <c r="C40" s="14" t="s">
        <v>9</v>
      </c>
      <c r="D40" s="174" t="s">
        <v>6</v>
      </c>
    </row>
    <row r="41" spans="1:4" ht="20.100000000000001" customHeight="1" thickBot="1" x14ac:dyDescent="0.25">
      <c r="A41" s="28">
        <v>19.2</v>
      </c>
      <c r="B41" s="33">
        <v>98.616</v>
      </c>
      <c r="C41" s="17" t="s">
        <v>10</v>
      </c>
      <c r="D41" s="174"/>
    </row>
    <row r="42" spans="1:4" ht="20.100000000000001" customHeight="1" thickBot="1" x14ac:dyDescent="0.25">
      <c r="A42" s="34">
        <v>19</v>
      </c>
      <c r="B42" s="35">
        <v>98.325000000000003</v>
      </c>
      <c r="C42" s="21" t="s">
        <v>8</v>
      </c>
      <c r="D42" s="174"/>
    </row>
    <row r="43" spans="1:4" ht="20.100000000000001" customHeight="1" thickBot="1" x14ac:dyDescent="0.25">
      <c r="A43" s="20">
        <v>19</v>
      </c>
      <c r="B43" s="36">
        <v>99.352999999999994</v>
      </c>
      <c r="C43" s="22" t="s">
        <v>8</v>
      </c>
      <c r="D43" s="174"/>
    </row>
    <row r="44" spans="1:4" ht="20.100000000000001" customHeight="1" x14ac:dyDescent="0.2">
      <c r="A44" s="15">
        <v>20</v>
      </c>
      <c r="B44" s="19">
        <v>99.32</v>
      </c>
      <c r="C44" s="23" t="s">
        <v>2</v>
      </c>
      <c r="D44" s="174"/>
    </row>
    <row r="45" spans="1:4" ht="20.100000000000001" customHeight="1" thickBot="1" x14ac:dyDescent="0.25">
      <c r="A45" s="28">
        <v>20</v>
      </c>
      <c r="B45" s="33">
        <v>100.24299999999999</v>
      </c>
      <c r="C45" s="8" t="s">
        <v>2</v>
      </c>
      <c r="D45" s="174"/>
    </row>
    <row r="46" spans="1:4" ht="13.5" thickBot="1" x14ac:dyDescent="0.25">
      <c r="A46" s="15"/>
      <c r="B46" s="27"/>
      <c r="C46" s="9" t="s">
        <v>7</v>
      </c>
      <c r="D46" s="1"/>
    </row>
    <row r="47" spans="1:4" ht="13.5" thickBot="1" x14ac:dyDescent="0.25">
      <c r="A47" s="28"/>
      <c r="B47" s="29"/>
      <c r="C47" s="9" t="s">
        <v>7</v>
      </c>
      <c r="D47" s="1"/>
    </row>
    <row r="48" spans="1:4" ht="16.5" thickBot="1" x14ac:dyDescent="0.3">
      <c r="A48" s="24" t="s">
        <v>12</v>
      </c>
      <c r="B48" s="4"/>
      <c r="C48" s="30"/>
      <c r="D48" s="1"/>
    </row>
    <row r="49" spans="1:5" ht="16.5" thickBot="1" x14ac:dyDescent="0.3">
      <c r="A49" s="10" t="s">
        <v>11</v>
      </c>
      <c r="B49" s="4"/>
      <c r="C49" s="18">
        <f>B42</f>
        <v>98.325000000000003</v>
      </c>
      <c r="D49" s="1"/>
    </row>
    <row r="50" spans="1:5" ht="20.25" customHeight="1" thickBot="1" x14ac:dyDescent="0.3">
      <c r="A50" s="10" t="s">
        <v>14</v>
      </c>
      <c r="C50" s="31">
        <f>B3</f>
        <v>100.248</v>
      </c>
      <c r="D50" s="1"/>
    </row>
    <row r="51" spans="1:5" ht="15.75" thickBot="1" x14ac:dyDescent="0.3">
      <c r="A51" s="24" t="s">
        <v>13</v>
      </c>
      <c r="C51" s="32"/>
      <c r="D51" s="1"/>
    </row>
    <row r="52" spans="1:5" x14ac:dyDescent="0.2">
      <c r="A52" s="3"/>
      <c r="B52" s="4"/>
      <c r="C52" s="5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ht="18" x14ac:dyDescent="0.25">
      <c r="C56" s="49" t="s">
        <v>16</v>
      </c>
      <c r="D56" s="48"/>
      <c r="E56" s="48"/>
    </row>
  </sheetData>
  <mergeCells count="3">
    <mergeCell ref="A1:Q1"/>
    <mergeCell ref="D2:D39"/>
    <mergeCell ref="D40:D45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56"/>
  <sheetViews>
    <sheetView showGridLines="0" topLeftCell="A16" zoomScale="75" workbookViewId="0">
      <selection activeCell="A45" sqref="A4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99.65</v>
      </c>
      <c r="C3" s="39"/>
      <c r="D3" s="173"/>
    </row>
    <row r="4" spans="1:20" x14ac:dyDescent="0.2">
      <c r="A4" s="40">
        <v>2.6</v>
      </c>
      <c r="B4" s="41">
        <v>98.594999999999999</v>
      </c>
      <c r="C4" s="42"/>
      <c r="D4" s="173"/>
    </row>
    <row r="5" spans="1:20" x14ac:dyDescent="0.2">
      <c r="A5" s="43">
        <v>5.3</v>
      </c>
      <c r="B5" s="44">
        <v>99.7</v>
      </c>
      <c r="C5" s="50"/>
      <c r="D5" s="173"/>
    </row>
    <row r="6" spans="1:20" x14ac:dyDescent="0.2">
      <c r="A6" s="43">
        <v>6.7</v>
      </c>
      <c r="B6" s="44">
        <v>99.724999999999994</v>
      </c>
      <c r="C6" s="50"/>
      <c r="D6" s="173"/>
    </row>
    <row r="7" spans="1:20" x14ac:dyDescent="0.2">
      <c r="A7" s="16">
        <v>10.199999999999999</v>
      </c>
      <c r="B7" s="46">
        <v>98.594999999999999</v>
      </c>
      <c r="C7" s="42" t="s">
        <v>21</v>
      </c>
      <c r="D7" s="173"/>
    </row>
    <row r="8" spans="1:20" x14ac:dyDescent="0.2">
      <c r="A8" s="43">
        <v>10.7</v>
      </c>
      <c r="B8" s="44">
        <v>98.394999999999996</v>
      </c>
      <c r="C8" s="45"/>
      <c r="D8" s="173"/>
    </row>
    <row r="9" spans="1:20" x14ac:dyDescent="0.2">
      <c r="A9" s="43">
        <v>11.3</v>
      </c>
      <c r="B9" s="44">
        <v>98.454999999999998</v>
      </c>
      <c r="C9" s="50"/>
      <c r="D9" s="173"/>
    </row>
    <row r="10" spans="1:20" x14ac:dyDescent="0.2">
      <c r="A10" s="43">
        <v>11.9</v>
      </c>
      <c r="B10" s="44">
        <v>98.495000000000005</v>
      </c>
      <c r="C10" s="42"/>
      <c r="D10" s="173"/>
    </row>
    <row r="11" spans="1:20" x14ac:dyDescent="0.2">
      <c r="A11" s="43">
        <v>12.5</v>
      </c>
      <c r="B11" s="44">
        <v>98.515000000000001</v>
      </c>
      <c r="C11" s="45"/>
      <c r="D11" s="173"/>
    </row>
    <row r="12" spans="1:20" x14ac:dyDescent="0.2">
      <c r="A12" s="43">
        <v>13.1</v>
      </c>
      <c r="B12" s="44">
        <v>98.534999999999997</v>
      </c>
      <c r="C12" s="42"/>
      <c r="D12" s="173"/>
    </row>
    <row r="13" spans="1:20" x14ac:dyDescent="0.2">
      <c r="A13" s="43">
        <v>13.7</v>
      </c>
      <c r="B13" s="44">
        <v>98.534999999999997</v>
      </c>
      <c r="C13" s="42"/>
      <c r="D13" s="173"/>
    </row>
    <row r="14" spans="1:20" x14ac:dyDescent="0.2">
      <c r="A14" s="43">
        <v>14.3</v>
      </c>
      <c r="B14" s="44">
        <v>98.515000000000001</v>
      </c>
      <c r="C14" s="42"/>
      <c r="D14" s="173"/>
    </row>
    <row r="15" spans="1:20" x14ac:dyDescent="0.2">
      <c r="A15" s="43">
        <v>14.9</v>
      </c>
      <c r="B15" s="44">
        <v>98.465000000000003</v>
      </c>
      <c r="C15" s="42"/>
      <c r="D15" s="173"/>
    </row>
    <row r="16" spans="1:20" x14ac:dyDescent="0.2">
      <c r="A16" s="43">
        <v>15.5</v>
      </c>
      <c r="B16" s="44">
        <v>98.465000000000003</v>
      </c>
      <c r="C16" s="42"/>
      <c r="D16" s="173"/>
    </row>
    <row r="17" spans="1:4" x14ac:dyDescent="0.2">
      <c r="A17" s="43">
        <v>16.100000000000001</v>
      </c>
      <c r="B17" s="44">
        <v>98.495000000000005</v>
      </c>
      <c r="C17" s="42"/>
      <c r="D17" s="173"/>
    </row>
    <row r="18" spans="1:4" x14ac:dyDescent="0.2">
      <c r="A18" s="43">
        <v>16.7</v>
      </c>
      <c r="B18" s="44">
        <v>98.364999999999995</v>
      </c>
      <c r="C18" s="42"/>
      <c r="D18" s="173"/>
    </row>
    <row r="19" spans="1:4" x14ac:dyDescent="0.2">
      <c r="A19" s="16">
        <v>17.600000000000001</v>
      </c>
      <c r="B19" s="46">
        <v>98.594999999999999</v>
      </c>
      <c r="C19" s="42" t="s">
        <v>22</v>
      </c>
      <c r="D19" s="173"/>
    </row>
    <row r="20" spans="1:4" x14ac:dyDescent="0.2">
      <c r="A20" s="43">
        <v>19.3</v>
      </c>
      <c r="B20" s="44">
        <v>99.275000000000006</v>
      </c>
      <c r="C20" s="42"/>
      <c r="D20" s="173"/>
    </row>
    <row r="21" spans="1:4" x14ac:dyDescent="0.2">
      <c r="A21" s="43">
        <v>20.100000000000001</v>
      </c>
      <c r="B21" s="44">
        <v>100.38500000000001</v>
      </c>
      <c r="C21" s="50"/>
      <c r="D21" s="173"/>
    </row>
    <row r="22" spans="1:4" x14ac:dyDescent="0.2">
      <c r="A22" s="43">
        <v>20.8</v>
      </c>
      <c r="B22" s="44">
        <v>100.6</v>
      </c>
      <c r="C22" s="50"/>
      <c r="D22" s="173"/>
    </row>
    <row r="23" spans="1:4" x14ac:dyDescent="0.2">
      <c r="A23" s="43"/>
      <c r="B23" s="44"/>
      <c r="C23" s="42"/>
      <c r="D23" s="173"/>
    </row>
    <row r="24" spans="1:4" x14ac:dyDescent="0.2">
      <c r="A24" s="16"/>
      <c r="B24" s="46"/>
      <c r="C24" s="45"/>
      <c r="D24" s="173"/>
    </row>
    <row r="25" spans="1:4" x14ac:dyDescent="0.2">
      <c r="A25" s="43"/>
      <c r="B25" s="44"/>
      <c r="C25" s="42"/>
      <c r="D25" s="173"/>
    </row>
    <row r="26" spans="1:4" s="7" customFormat="1" x14ac:dyDescent="0.2">
      <c r="A26" s="43"/>
      <c r="B26" s="44"/>
      <c r="C26" s="45"/>
      <c r="D26" s="173"/>
    </row>
    <row r="27" spans="1:4" x14ac:dyDescent="0.2">
      <c r="A27" s="43"/>
      <c r="B27" s="44"/>
      <c r="C27" s="45"/>
      <c r="D27" s="173"/>
    </row>
    <row r="28" spans="1:4" x14ac:dyDescent="0.2">
      <c r="A28" s="16"/>
      <c r="B28" s="46"/>
      <c r="C28" s="42"/>
      <c r="D28" s="173"/>
    </row>
    <row r="29" spans="1:4" x14ac:dyDescent="0.2">
      <c r="A29" s="43"/>
      <c r="B29" s="44"/>
      <c r="C29" s="53"/>
      <c r="D29" s="173"/>
    </row>
    <row r="30" spans="1:4" x14ac:dyDescent="0.2">
      <c r="A30" s="43"/>
      <c r="B30" s="44"/>
      <c r="C30" s="54"/>
      <c r="D30" s="173"/>
    </row>
    <row r="31" spans="1:4" x14ac:dyDescent="0.2">
      <c r="A31" s="43"/>
      <c r="B31" s="44"/>
      <c r="C31" s="53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ht="13.5" thickBot="1" x14ac:dyDescent="0.25">
      <c r="A39" s="43"/>
      <c r="B39" s="44"/>
      <c r="C39" s="42"/>
      <c r="D39" s="173"/>
    </row>
    <row r="40" spans="1:4" ht="20.100000000000001" customHeight="1" x14ac:dyDescent="0.2">
      <c r="A40" s="15">
        <v>10.199999999999999</v>
      </c>
      <c r="B40" s="19">
        <v>98.616</v>
      </c>
      <c r="C40" s="14" t="s">
        <v>9</v>
      </c>
      <c r="D40" s="174" t="s">
        <v>6</v>
      </c>
    </row>
    <row r="41" spans="1:4" ht="20.100000000000001" customHeight="1" thickBot="1" x14ac:dyDescent="0.25">
      <c r="A41" s="28">
        <v>17.600000000000001</v>
      </c>
      <c r="B41" s="33">
        <v>98.616</v>
      </c>
      <c r="C41" s="17" t="s">
        <v>10</v>
      </c>
      <c r="D41" s="174"/>
    </row>
    <row r="42" spans="1:4" ht="20.100000000000001" customHeight="1" thickBot="1" x14ac:dyDescent="0.25">
      <c r="A42" s="34">
        <v>17</v>
      </c>
      <c r="B42" s="35">
        <v>98.325000000000003</v>
      </c>
      <c r="C42" s="21" t="s">
        <v>8</v>
      </c>
      <c r="D42" s="174"/>
    </row>
    <row r="43" spans="1:4" ht="20.100000000000001" customHeight="1" thickBot="1" x14ac:dyDescent="0.25">
      <c r="A43" s="20">
        <v>17</v>
      </c>
      <c r="B43" s="36">
        <v>99.352999999999994</v>
      </c>
      <c r="C43" s="22" t="s">
        <v>8</v>
      </c>
      <c r="D43" s="174"/>
    </row>
    <row r="44" spans="1:4" ht="20.100000000000001" customHeight="1" x14ac:dyDescent="0.2">
      <c r="A44" s="15">
        <v>18</v>
      </c>
      <c r="B44" s="19">
        <v>99.32</v>
      </c>
      <c r="C44" s="23" t="s">
        <v>2</v>
      </c>
      <c r="D44" s="174"/>
    </row>
    <row r="45" spans="1:4" ht="20.100000000000001" customHeight="1" thickBot="1" x14ac:dyDescent="0.25">
      <c r="A45" s="28">
        <v>18</v>
      </c>
      <c r="B45" s="33">
        <v>100.24299999999999</v>
      </c>
      <c r="C45" s="8" t="s">
        <v>2</v>
      </c>
      <c r="D45" s="174"/>
    </row>
    <row r="46" spans="1:4" ht="13.5" thickBot="1" x14ac:dyDescent="0.25">
      <c r="A46" s="15"/>
      <c r="B46" s="27"/>
      <c r="C46" s="9" t="s">
        <v>7</v>
      </c>
      <c r="D46" s="1"/>
    </row>
    <row r="47" spans="1:4" ht="13.5" thickBot="1" x14ac:dyDescent="0.25">
      <c r="A47" s="28"/>
      <c r="B47" s="29"/>
      <c r="C47" s="9" t="s">
        <v>7</v>
      </c>
      <c r="D47" s="1"/>
    </row>
    <row r="48" spans="1:4" ht="16.5" thickBot="1" x14ac:dyDescent="0.3">
      <c r="A48" s="24" t="s">
        <v>12</v>
      </c>
      <c r="B48" s="4"/>
      <c r="C48" s="30">
        <v>0.36</v>
      </c>
      <c r="D48" s="1"/>
    </row>
    <row r="49" spans="1:5" ht="16.5" thickBot="1" x14ac:dyDescent="0.3">
      <c r="A49" s="10" t="s">
        <v>11</v>
      </c>
      <c r="B49" s="4"/>
      <c r="C49" s="18">
        <f>B42</f>
        <v>98.325000000000003</v>
      </c>
      <c r="D49" s="1"/>
    </row>
    <row r="50" spans="1:5" ht="20.25" customHeight="1" thickBot="1" x14ac:dyDescent="0.3">
      <c r="A50" s="10" t="s">
        <v>14</v>
      </c>
      <c r="C50" s="31">
        <f>B3</f>
        <v>99.65</v>
      </c>
      <c r="D50" s="1"/>
    </row>
    <row r="51" spans="1:5" ht="15.75" thickBot="1" x14ac:dyDescent="0.3">
      <c r="A51" s="24" t="s">
        <v>13</v>
      </c>
      <c r="C51" s="32"/>
      <c r="D51" s="1"/>
    </row>
    <row r="52" spans="1:5" x14ac:dyDescent="0.2">
      <c r="A52" s="3"/>
      <c r="B52" s="4"/>
      <c r="C52" s="5"/>
      <c r="D52" s="1"/>
    </row>
    <row r="53" spans="1:5" x14ac:dyDescent="0.2">
      <c r="A53" s="3"/>
      <c r="B53" s="4"/>
      <c r="C53" s="5"/>
      <c r="D53" s="1"/>
    </row>
    <row r="54" spans="1:5" x14ac:dyDescent="0.2">
      <c r="A54" s="3"/>
      <c r="B54" s="4"/>
      <c r="C54" s="5"/>
      <c r="D54" s="1"/>
    </row>
    <row r="55" spans="1:5" x14ac:dyDescent="0.2">
      <c r="A55" s="3"/>
      <c r="B55" s="4"/>
      <c r="C55" s="5"/>
      <c r="D55" s="1"/>
    </row>
    <row r="56" spans="1:5" ht="18" x14ac:dyDescent="0.25">
      <c r="C56" s="49" t="s">
        <v>16</v>
      </c>
      <c r="D56" s="48"/>
      <c r="E56" s="48"/>
    </row>
  </sheetData>
  <mergeCells count="3">
    <mergeCell ref="A1:Q1"/>
    <mergeCell ref="D2:D39"/>
    <mergeCell ref="D40:D45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T64"/>
  <sheetViews>
    <sheetView showGridLines="0" topLeftCell="A31" zoomScale="75" workbookViewId="0">
      <selection activeCell="A3" sqref="A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</v>
      </c>
      <c r="C3" s="39" t="s">
        <v>17</v>
      </c>
      <c r="D3" s="173"/>
    </row>
    <row r="4" spans="1:20" x14ac:dyDescent="0.2">
      <c r="A4" s="51">
        <v>0</v>
      </c>
      <c r="B4" s="52">
        <v>480.75</v>
      </c>
      <c r="C4" s="42" t="s">
        <v>4</v>
      </c>
      <c r="D4" s="173"/>
    </row>
    <row r="5" spans="1:20" x14ac:dyDescent="0.2">
      <c r="A5" s="43">
        <v>2</v>
      </c>
      <c r="B5" s="44">
        <v>479.74</v>
      </c>
      <c r="C5" s="50"/>
      <c r="D5" s="173"/>
    </row>
    <row r="6" spans="1:20" x14ac:dyDescent="0.2">
      <c r="A6" s="43">
        <v>4</v>
      </c>
      <c r="B6" s="44">
        <v>479.3</v>
      </c>
      <c r="C6" s="50"/>
      <c r="D6" s="173"/>
    </row>
    <row r="7" spans="1:20" x14ac:dyDescent="0.2">
      <c r="A7" s="43">
        <v>5.5</v>
      </c>
      <c r="B7" s="44">
        <v>478.79</v>
      </c>
      <c r="C7" s="42"/>
      <c r="D7" s="173"/>
    </row>
    <row r="8" spans="1:20" x14ac:dyDescent="0.2">
      <c r="A8" s="43">
        <v>5.5</v>
      </c>
      <c r="B8" s="44">
        <v>478.92</v>
      </c>
      <c r="C8" s="45"/>
      <c r="D8" s="173"/>
    </row>
    <row r="9" spans="1:20" x14ac:dyDescent="0.2">
      <c r="A9" s="43">
        <v>7.5</v>
      </c>
      <c r="B9" s="44">
        <v>479.76</v>
      </c>
      <c r="C9" s="50"/>
      <c r="D9" s="173"/>
    </row>
    <row r="10" spans="1:20" x14ac:dyDescent="0.2">
      <c r="A10" s="43">
        <v>9.5</v>
      </c>
      <c r="B10" s="44">
        <v>479.53</v>
      </c>
      <c r="C10" s="42"/>
      <c r="D10" s="173"/>
    </row>
    <row r="11" spans="1:20" x14ac:dyDescent="0.2">
      <c r="A11" s="43">
        <v>11.5</v>
      </c>
      <c r="B11" s="44">
        <v>479</v>
      </c>
      <c r="C11" s="45"/>
      <c r="D11" s="173"/>
    </row>
    <row r="12" spans="1:20" x14ac:dyDescent="0.2">
      <c r="A12" s="16">
        <v>12.6</v>
      </c>
      <c r="B12" s="46">
        <v>478.63</v>
      </c>
      <c r="C12" s="42" t="s">
        <v>9</v>
      </c>
      <c r="D12" s="173"/>
    </row>
    <row r="13" spans="1:20" x14ac:dyDescent="0.2">
      <c r="A13" s="43">
        <v>13.1</v>
      </c>
      <c r="B13" s="44">
        <v>478.42</v>
      </c>
      <c r="C13" s="42"/>
      <c r="D13" s="173"/>
    </row>
    <row r="14" spans="1:20" x14ac:dyDescent="0.2">
      <c r="A14" s="43">
        <v>13.9</v>
      </c>
      <c r="B14" s="44">
        <v>478.42</v>
      </c>
      <c r="C14" s="42"/>
      <c r="D14" s="173"/>
    </row>
    <row r="15" spans="1:20" x14ac:dyDescent="0.2">
      <c r="A15" s="43">
        <v>14.7</v>
      </c>
      <c r="B15" s="44">
        <v>478.45</v>
      </c>
      <c r="C15" s="42"/>
      <c r="D15" s="173"/>
    </row>
    <row r="16" spans="1:20" x14ac:dyDescent="0.2">
      <c r="A16" s="43">
        <v>15.5</v>
      </c>
      <c r="B16" s="44">
        <v>478.48</v>
      </c>
      <c r="C16" s="42"/>
      <c r="D16" s="173"/>
    </row>
    <row r="17" spans="1:4" x14ac:dyDescent="0.2">
      <c r="A17" s="43">
        <v>16.3</v>
      </c>
      <c r="B17" s="44">
        <v>478.38</v>
      </c>
      <c r="C17" s="42"/>
      <c r="D17" s="173"/>
    </row>
    <row r="18" spans="1:4" x14ac:dyDescent="0.2">
      <c r="A18" s="43">
        <v>17.100000000000001</v>
      </c>
      <c r="B18" s="44">
        <v>478.35</v>
      </c>
      <c r="C18" s="42"/>
      <c r="D18" s="173"/>
    </row>
    <row r="19" spans="1:4" x14ac:dyDescent="0.2">
      <c r="A19" s="43">
        <v>17.899999999999999</v>
      </c>
      <c r="B19" s="44">
        <v>478.32</v>
      </c>
      <c r="C19" s="42"/>
      <c r="D19" s="173"/>
    </row>
    <row r="20" spans="1:4" x14ac:dyDescent="0.2">
      <c r="A20" s="43">
        <v>18.7</v>
      </c>
      <c r="B20" s="44">
        <v>478.34</v>
      </c>
      <c r="C20" s="42"/>
      <c r="D20" s="173"/>
    </row>
    <row r="21" spans="1:4" x14ac:dyDescent="0.2">
      <c r="A21" s="43">
        <v>19.5</v>
      </c>
      <c r="B21" s="44">
        <v>478.25</v>
      </c>
      <c r="C21" s="50"/>
      <c r="D21" s="173"/>
    </row>
    <row r="22" spans="1:4" x14ac:dyDescent="0.2">
      <c r="A22" s="43">
        <v>20.3</v>
      </c>
      <c r="B22" s="44">
        <v>478.46</v>
      </c>
      <c r="C22" s="50"/>
      <c r="D22" s="173"/>
    </row>
    <row r="23" spans="1:4" x14ac:dyDescent="0.2">
      <c r="A23" s="43">
        <v>21.1</v>
      </c>
      <c r="B23" s="44">
        <v>478.53</v>
      </c>
      <c r="C23" s="42"/>
      <c r="D23" s="173"/>
    </row>
    <row r="24" spans="1:4" x14ac:dyDescent="0.2">
      <c r="A24" s="16">
        <v>21.1</v>
      </c>
      <c r="B24" s="46">
        <v>478.63</v>
      </c>
      <c r="C24" s="45" t="s">
        <v>10</v>
      </c>
      <c r="D24" s="173"/>
    </row>
    <row r="25" spans="1:4" x14ac:dyDescent="0.2">
      <c r="A25" s="43">
        <v>21.1</v>
      </c>
      <c r="B25" s="44">
        <v>479.21</v>
      </c>
      <c r="C25" s="42"/>
      <c r="D25" s="173"/>
    </row>
    <row r="26" spans="1:4" s="7" customFormat="1" x14ac:dyDescent="0.2">
      <c r="A26" s="16">
        <v>21.9</v>
      </c>
      <c r="B26" s="46">
        <v>480.66</v>
      </c>
      <c r="C26" s="45" t="s">
        <v>5</v>
      </c>
      <c r="D26" s="173"/>
    </row>
    <row r="27" spans="1:4" x14ac:dyDescent="0.2">
      <c r="A27" s="43"/>
      <c r="B27" s="44"/>
      <c r="C27" s="45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16"/>
      <c r="B29" s="46"/>
      <c r="C29" s="50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x14ac:dyDescent="0.2">
      <c r="A39" s="43"/>
      <c r="B39" s="44"/>
      <c r="C39" s="42"/>
      <c r="D39" s="173"/>
    </row>
    <row r="40" spans="1:4" x14ac:dyDescent="0.2">
      <c r="A40" s="43"/>
      <c r="B40" s="44"/>
      <c r="C40" s="42"/>
      <c r="D40" s="173"/>
    </row>
    <row r="41" spans="1:4" x14ac:dyDescent="0.2">
      <c r="A41" s="43"/>
      <c r="B41" s="44"/>
      <c r="C41" s="42"/>
      <c r="D41" s="173"/>
    </row>
    <row r="42" spans="1:4" x14ac:dyDescent="0.2">
      <c r="A42" s="43"/>
      <c r="B42" s="44"/>
      <c r="C42" s="42"/>
      <c r="D42" s="173"/>
    </row>
    <row r="43" spans="1:4" x14ac:dyDescent="0.2">
      <c r="A43" s="43"/>
      <c r="B43" s="44"/>
      <c r="C43" s="42"/>
      <c r="D43" s="173"/>
    </row>
    <row r="44" spans="1:4" x14ac:dyDescent="0.2">
      <c r="A44" s="43"/>
      <c r="B44" s="44"/>
      <c r="C44" s="42"/>
      <c r="D44" s="173"/>
    </row>
    <row r="45" spans="1:4" x14ac:dyDescent="0.2">
      <c r="A45" s="43"/>
      <c r="B45" s="44"/>
      <c r="C45" s="42"/>
      <c r="D45" s="173"/>
    </row>
    <row r="46" spans="1:4" x14ac:dyDescent="0.2">
      <c r="A46" s="43"/>
      <c r="B46" s="44"/>
      <c r="C46" s="47"/>
      <c r="D46" s="173"/>
    </row>
    <row r="47" spans="1:4" ht="13.5" thickBot="1" x14ac:dyDescent="0.25">
      <c r="A47" s="6"/>
      <c r="B47" s="13"/>
      <c r="C47" s="26"/>
      <c r="D47" s="173"/>
    </row>
    <row r="48" spans="1:4" ht="20.100000000000001" customHeight="1" x14ac:dyDescent="0.2">
      <c r="A48" s="16">
        <v>12.6</v>
      </c>
      <c r="B48" s="46">
        <v>478.63</v>
      </c>
      <c r="C48" s="14" t="s">
        <v>9</v>
      </c>
      <c r="D48" s="174" t="s">
        <v>6</v>
      </c>
    </row>
    <row r="49" spans="1:5" ht="20.100000000000001" customHeight="1" thickBot="1" x14ac:dyDescent="0.25">
      <c r="A49" s="16">
        <v>21.1</v>
      </c>
      <c r="B49" s="46">
        <v>478.63</v>
      </c>
      <c r="C49" s="17" t="s">
        <v>10</v>
      </c>
      <c r="D49" s="174"/>
    </row>
    <row r="50" spans="1:5" ht="20.100000000000001" customHeight="1" thickBot="1" x14ac:dyDescent="0.25">
      <c r="A50" s="34">
        <v>20</v>
      </c>
      <c r="B50" s="35">
        <v>478.30799999999999</v>
      </c>
      <c r="C50" s="21" t="s">
        <v>8</v>
      </c>
      <c r="D50" s="174"/>
    </row>
    <row r="51" spans="1:5" ht="20.100000000000001" customHeight="1" thickBot="1" x14ac:dyDescent="0.25">
      <c r="A51" s="20">
        <v>20</v>
      </c>
      <c r="B51" s="36">
        <v>480.30799999999999</v>
      </c>
      <c r="C51" s="22" t="s">
        <v>8</v>
      </c>
      <c r="D51" s="174"/>
    </row>
    <row r="52" spans="1:5" ht="20.100000000000001" customHeight="1" x14ac:dyDescent="0.2">
      <c r="A52" s="15">
        <v>21</v>
      </c>
      <c r="B52" s="19">
        <v>479.3</v>
      </c>
      <c r="C52" s="23" t="s">
        <v>2</v>
      </c>
      <c r="D52" s="174"/>
    </row>
    <row r="53" spans="1:5" ht="20.100000000000001" customHeight="1" thickBot="1" x14ac:dyDescent="0.25">
      <c r="A53" s="28">
        <v>21</v>
      </c>
      <c r="B53" s="33">
        <v>480.82</v>
      </c>
      <c r="C53" s="8" t="s">
        <v>2</v>
      </c>
      <c r="D53" s="174"/>
    </row>
    <row r="54" spans="1:5" ht="13.5" thickBot="1" x14ac:dyDescent="0.25">
      <c r="A54" s="51">
        <v>0</v>
      </c>
      <c r="B54" s="52">
        <v>480.75</v>
      </c>
      <c r="C54" s="9" t="s">
        <v>7</v>
      </c>
      <c r="D54" s="1"/>
    </row>
    <row r="55" spans="1:5" ht="13.5" thickBot="1" x14ac:dyDescent="0.25">
      <c r="A55" s="16">
        <v>21.9</v>
      </c>
      <c r="B55" s="46">
        <v>480.66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0.41</v>
      </c>
      <c r="D56" s="1"/>
    </row>
    <row r="57" spans="1:5" ht="16.5" thickBot="1" x14ac:dyDescent="0.3">
      <c r="A57" s="10" t="s">
        <v>11</v>
      </c>
      <c r="B57" s="4"/>
      <c r="C57" s="18">
        <f>B50</f>
        <v>478.30799999999999</v>
      </c>
      <c r="D57" s="1"/>
    </row>
    <row r="58" spans="1:5" ht="20.25" customHeight="1" thickBot="1" x14ac:dyDescent="0.3">
      <c r="A58" s="10" t="s">
        <v>14</v>
      </c>
      <c r="C58" s="31">
        <f>B3</f>
        <v>480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T64"/>
  <sheetViews>
    <sheetView showGridLines="0" zoomScale="75" workbookViewId="0">
      <selection activeCell="A54" sqref="A5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</v>
      </c>
      <c r="C3" s="39" t="s">
        <v>17</v>
      </c>
      <c r="D3" s="173"/>
    </row>
    <row r="4" spans="1:20" x14ac:dyDescent="0.2">
      <c r="A4" s="51">
        <v>0</v>
      </c>
      <c r="B4" s="52">
        <v>480.31</v>
      </c>
      <c r="C4" s="42" t="s">
        <v>4</v>
      </c>
      <c r="D4" s="173"/>
    </row>
    <row r="5" spans="1:20" x14ac:dyDescent="0.2">
      <c r="A5" s="43">
        <v>0.4</v>
      </c>
      <c r="B5" s="44">
        <v>479.97</v>
      </c>
      <c r="C5" s="50"/>
      <c r="D5" s="173"/>
    </row>
    <row r="6" spans="1:20" x14ac:dyDescent="0.2">
      <c r="A6" s="43">
        <v>0.9</v>
      </c>
      <c r="B6" s="44">
        <v>479.33</v>
      </c>
      <c r="C6" s="50"/>
      <c r="D6" s="173"/>
    </row>
    <row r="7" spans="1:20" x14ac:dyDescent="0.2">
      <c r="A7" s="43">
        <v>1.3</v>
      </c>
      <c r="B7" s="44">
        <v>479.01</v>
      </c>
      <c r="C7" s="42"/>
      <c r="D7" s="173"/>
    </row>
    <row r="8" spans="1:20" x14ac:dyDescent="0.2">
      <c r="A8" s="16">
        <v>2.2999999999999998</v>
      </c>
      <c r="B8" s="46">
        <v>478.7</v>
      </c>
      <c r="C8" s="45" t="s">
        <v>9</v>
      </c>
      <c r="D8" s="173"/>
    </row>
    <row r="9" spans="1:20" x14ac:dyDescent="0.2">
      <c r="A9" s="43">
        <v>2.4</v>
      </c>
      <c r="B9" s="44">
        <v>478.63</v>
      </c>
      <c r="C9" s="50"/>
      <c r="D9" s="173"/>
    </row>
    <row r="10" spans="1:20" x14ac:dyDescent="0.2">
      <c r="A10" s="43">
        <v>2.8</v>
      </c>
      <c r="B10" s="44">
        <v>478.57</v>
      </c>
      <c r="C10" s="42"/>
      <c r="D10" s="173"/>
    </row>
    <row r="11" spans="1:20" x14ac:dyDescent="0.2">
      <c r="A11" s="43">
        <v>3.2</v>
      </c>
      <c r="B11" s="44">
        <v>478.6</v>
      </c>
      <c r="C11" s="45"/>
      <c r="D11" s="173"/>
    </row>
    <row r="12" spans="1:20" x14ac:dyDescent="0.2">
      <c r="A12" s="43">
        <v>3.6</v>
      </c>
      <c r="B12" s="44">
        <v>478.58</v>
      </c>
      <c r="C12" s="42"/>
      <c r="D12" s="173"/>
    </row>
    <row r="13" spans="1:20" x14ac:dyDescent="0.2">
      <c r="A13" s="43">
        <v>4</v>
      </c>
      <c r="B13" s="44">
        <v>478.58</v>
      </c>
      <c r="C13" s="42"/>
      <c r="D13" s="173"/>
    </row>
    <row r="14" spans="1:20" x14ac:dyDescent="0.2">
      <c r="A14" s="43">
        <v>4.4000000000000004</v>
      </c>
      <c r="B14" s="44">
        <v>478.58</v>
      </c>
      <c r="C14" s="42"/>
      <c r="D14" s="173"/>
    </row>
    <row r="15" spans="1:20" x14ac:dyDescent="0.2">
      <c r="A15" s="43">
        <v>5</v>
      </c>
      <c r="B15" s="44">
        <v>478.53</v>
      </c>
      <c r="C15" s="42"/>
      <c r="D15" s="173"/>
    </row>
    <row r="16" spans="1:20" x14ac:dyDescent="0.2">
      <c r="A16" s="43">
        <v>5.4</v>
      </c>
      <c r="B16" s="44">
        <v>478.5</v>
      </c>
      <c r="C16" s="42"/>
      <c r="D16" s="173"/>
    </row>
    <row r="17" spans="1:4" x14ac:dyDescent="0.2">
      <c r="A17" s="43">
        <v>5.8</v>
      </c>
      <c r="B17" s="44">
        <v>478.5</v>
      </c>
      <c r="C17" s="42"/>
      <c r="D17" s="173"/>
    </row>
    <row r="18" spans="1:4" x14ac:dyDescent="0.2">
      <c r="A18" s="43">
        <v>6.2</v>
      </c>
      <c r="B18" s="44">
        <v>478.54</v>
      </c>
      <c r="C18" s="42"/>
      <c r="D18" s="173"/>
    </row>
    <row r="19" spans="1:4" x14ac:dyDescent="0.2">
      <c r="A19" s="43">
        <v>6.6</v>
      </c>
      <c r="B19" s="44">
        <v>478.59</v>
      </c>
      <c r="C19" s="42"/>
      <c r="D19" s="173"/>
    </row>
    <row r="20" spans="1:4" x14ac:dyDescent="0.2">
      <c r="A20" s="43">
        <v>7</v>
      </c>
      <c r="B20" s="44">
        <v>478.63</v>
      </c>
      <c r="C20" s="42"/>
      <c r="D20" s="173"/>
    </row>
    <row r="21" spans="1:4" x14ac:dyDescent="0.2">
      <c r="A21" s="43">
        <v>7.4</v>
      </c>
      <c r="B21" s="44">
        <v>478.6</v>
      </c>
      <c r="C21" s="42"/>
      <c r="D21" s="173"/>
    </row>
    <row r="22" spans="1:4" x14ac:dyDescent="0.2">
      <c r="A22" s="43">
        <v>7.8</v>
      </c>
      <c r="B22" s="44">
        <v>478.58</v>
      </c>
      <c r="C22" s="50"/>
      <c r="D22" s="173"/>
    </row>
    <row r="23" spans="1:4" x14ac:dyDescent="0.2">
      <c r="A23" s="43">
        <v>8.1999999999999993</v>
      </c>
      <c r="B23" s="44">
        <v>478.6</v>
      </c>
      <c r="C23" s="42"/>
      <c r="D23" s="173"/>
    </row>
    <row r="24" spans="1:4" x14ac:dyDescent="0.2">
      <c r="A24" s="43">
        <v>8.4</v>
      </c>
      <c r="B24" s="44">
        <v>478.64</v>
      </c>
      <c r="C24" s="45"/>
      <c r="D24" s="173"/>
    </row>
    <row r="25" spans="1:4" x14ac:dyDescent="0.2">
      <c r="A25" s="16">
        <v>9.6</v>
      </c>
      <c r="B25" s="46">
        <v>478.7</v>
      </c>
      <c r="C25" s="42" t="s">
        <v>10</v>
      </c>
      <c r="D25" s="173"/>
    </row>
    <row r="26" spans="1:4" s="7" customFormat="1" x14ac:dyDescent="0.2">
      <c r="A26" s="43">
        <v>11.1</v>
      </c>
      <c r="B26" s="44">
        <v>478.9</v>
      </c>
      <c r="C26" s="45"/>
      <c r="D26" s="173"/>
    </row>
    <row r="27" spans="1:4" x14ac:dyDescent="0.2">
      <c r="A27" s="16">
        <v>11.1</v>
      </c>
      <c r="B27" s="46">
        <v>480.02</v>
      </c>
      <c r="C27" s="45" t="s">
        <v>5</v>
      </c>
      <c r="D27" s="173"/>
    </row>
    <row r="28" spans="1:4" x14ac:dyDescent="0.2">
      <c r="A28" s="43">
        <v>11.1</v>
      </c>
      <c r="B28" s="44">
        <v>480.37</v>
      </c>
      <c r="C28" s="42"/>
      <c r="D28" s="173"/>
    </row>
    <row r="29" spans="1:4" x14ac:dyDescent="0.2">
      <c r="A29" s="16">
        <v>11.1</v>
      </c>
      <c r="B29" s="46">
        <v>479.99</v>
      </c>
      <c r="C29" s="50" t="s">
        <v>19</v>
      </c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x14ac:dyDescent="0.2">
      <c r="A39" s="43"/>
      <c r="B39" s="44"/>
      <c r="C39" s="42"/>
      <c r="D39" s="173"/>
    </row>
    <row r="40" spans="1:4" x14ac:dyDescent="0.2">
      <c r="A40" s="43"/>
      <c r="B40" s="44"/>
      <c r="C40" s="42"/>
      <c r="D40" s="173"/>
    </row>
    <row r="41" spans="1:4" x14ac:dyDescent="0.2">
      <c r="A41" s="43"/>
      <c r="B41" s="44"/>
      <c r="C41" s="42"/>
      <c r="D41" s="173"/>
    </row>
    <row r="42" spans="1:4" x14ac:dyDescent="0.2">
      <c r="A42" s="43"/>
      <c r="B42" s="44"/>
      <c r="C42" s="42"/>
      <c r="D42" s="173"/>
    </row>
    <row r="43" spans="1:4" x14ac:dyDescent="0.2">
      <c r="A43" s="43"/>
      <c r="B43" s="44"/>
      <c r="C43" s="42"/>
      <c r="D43" s="173"/>
    </row>
    <row r="44" spans="1:4" x14ac:dyDescent="0.2">
      <c r="A44" s="43"/>
      <c r="B44" s="44"/>
      <c r="C44" s="42"/>
      <c r="D44" s="173"/>
    </row>
    <row r="45" spans="1:4" x14ac:dyDescent="0.2">
      <c r="A45" s="43"/>
      <c r="B45" s="44"/>
      <c r="C45" s="42"/>
      <c r="D45" s="173"/>
    </row>
    <row r="46" spans="1:4" x14ac:dyDescent="0.2">
      <c r="A46" s="43"/>
      <c r="B46" s="44"/>
      <c r="C46" s="47"/>
      <c r="D46" s="173"/>
    </row>
    <row r="47" spans="1:4" ht="13.5" thickBot="1" x14ac:dyDescent="0.25">
      <c r="A47" s="6"/>
      <c r="B47" s="13"/>
      <c r="C47" s="26"/>
      <c r="D47" s="173"/>
    </row>
    <row r="48" spans="1:4" ht="20.100000000000001" customHeight="1" x14ac:dyDescent="0.2">
      <c r="A48" s="16">
        <v>2.2999999999999998</v>
      </c>
      <c r="B48" s="46">
        <v>478.7</v>
      </c>
      <c r="C48" s="14" t="s">
        <v>10</v>
      </c>
      <c r="D48" s="174" t="s">
        <v>6</v>
      </c>
    </row>
    <row r="49" spans="1:5" ht="20.100000000000001" customHeight="1" thickBot="1" x14ac:dyDescent="0.25">
      <c r="A49" s="16">
        <v>9.6</v>
      </c>
      <c r="B49" s="46">
        <v>478.7</v>
      </c>
      <c r="C49" s="17" t="s">
        <v>9</v>
      </c>
      <c r="D49" s="174"/>
    </row>
    <row r="50" spans="1:5" ht="20.100000000000001" customHeight="1" thickBot="1" x14ac:dyDescent="0.25">
      <c r="A50" s="34">
        <v>4</v>
      </c>
      <c r="B50" s="35">
        <v>478.70299999999997</v>
      </c>
      <c r="C50" s="21" t="s">
        <v>8</v>
      </c>
      <c r="D50" s="174"/>
    </row>
    <row r="51" spans="1:5" ht="20.100000000000001" customHeight="1" thickBot="1" x14ac:dyDescent="0.25">
      <c r="A51" s="20">
        <v>4</v>
      </c>
      <c r="B51" s="36">
        <v>480.70299999999997</v>
      </c>
      <c r="C51" s="22" t="s">
        <v>8</v>
      </c>
      <c r="D51" s="174"/>
    </row>
    <row r="52" spans="1:5" ht="20.100000000000001" customHeight="1" x14ac:dyDescent="0.2">
      <c r="A52" s="15">
        <v>3</v>
      </c>
      <c r="B52" s="19">
        <v>479.30799999999999</v>
      </c>
      <c r="C52" s="23" t="s">
        <v>2</v>
      </c>
      <c r="D52" s="174"/>
    </row>
    <row r="53" spans="1:5" ht="20.100000000000001" customHeight="1" thickBot="1" x14ac:dyDescent="0.25">
      <c r="A53" s="28">
        <v>3</v>
      </c>
      <c r="B53" s="33">
        <v>480.85599999999999</v>
      </c>
      <c r="C53" s="8" t="s">
        <v>2</v>
      </c>
      <c r="D53" s="174"/>
    </row>
    <row r="54" spans="1:5" ht="13.5" thickBot="1" x14ac:dyDescent="0.25">
      <c r="A54" s="51">
        <v>0</v>
      </c>
      <c r="B54" s="52">
        <v>480.31</v>
      </c>
      <c r="C54" s="9" t="s">
        <v>7</v>
      </c>
      <c r="D54" s="1"/>
    </row>
    <row r="55" spans="1:5" ht="13.5" thickBot="1" x14ac:dyDescent="0.25">
      <c r="A55" s="16">
        <v>11.1</v>
      </c>
      <c r="B55" s="46">
        <v>480.02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0.56000000000000005</v>
      </c>
      <c r="D56" s="1"/>
    </row>
    <row r="57" spans="1:5" ht="16.5" thickBot="1" x14ac:dyDescent="0.3">
      <c r="A57" s="10" t="s">
        <v>11</v>
      </c>
      <c r="B57" s="4"/>
      <c r="C57" s="18">
        <f>B50</f>
        <v>478.70299999999997</v>
      </c>
      <c r="D57" s="1"/>
    </row>
    <row r="58" spans="1:5" ht="20.25" customHeight="1" thickBot="1" x14ac:dyDescent="0.3">
      <c r="A58" s="10" t="s">
        <v>14</v>
      </c>
      <c r="C58" s="31">
        <f>B3</f>
        <v>480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64"/>
  <sheetViews>
    <sheetView showGridLines="0" topLeftCell="A22" zoomScale="75" workbookViewId="0">
      <selection activeCell="B55" sqref="B5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38">
        <v>480</v>
      </c>
      <c r="C3" s="39" t="s">
        <v>17</v>
      </c>
      <c r="D3" s="173"/>
    </row>
    <row r="4" spans="1:20" x14ac:dyDescent="0.2">
      <c r="A4" s="40">
        <v>0</v>
      </c>
      <c r="B4" s="41">
        <v>480.09</v>
      </c>
      <c r="C4" s="42" t="s">
        <v>4</v>
      </c>
      <c r="D4" s="173"/>
    </row>
    <row r="5" spans="1:20" x14ac:dyDescent="0.2">
      <c r="A5" s="43">
        <v>4.2</v>
      </c>
      <c r="B5" s="44">
        <v>479.88</v>
      </c>
      <c r="C5" s="50"/>
      <c r="D5" s="173"/>
    </row>
    <row r="6" spans="1:20" x14ac:dyDescent="0.2">
      <c r="A6" s="43">
        <v>6.2</v>
      </c>
      <c r="B6" s="44">
        <v>480.93</v>
      </c>
      <c r="C6" s="50"/>
      <c r="D6" s="173"/>
    </row>
    <row r="7" spans="1:20" x14ac:dyDescent="0.2">
      <c r="A7" s="43">
        <v>9.1999999999999993</v>
      </c>
      <c r="B7" s="44">
        <v>479.59</v>
      </c>
      <c r="C7" s="42"/>
      <c r="D7" s="173"/>
    </row>
    <row r="8" spans="1:20" x14ac:dyDescent="0.2">
      <c r="A8" s="16">
        <v>14.5</v>
      </c>
      <c r="B8" s="46">
        <v>478.71</v>
      </c>
      <c r="C8" s="45" t="s">
        <v>9</v>
      </c>
      <c r="D8" s="173"/>
    </row>
    <row r="9" spans="1:20" x14ac:dyDescent="0.2">
      <c r="A9" s="43">
        <v>15.1</v>
      </c>
      <c r="B9" s="44">
        <v>478.58</v>
      </c>
      <c r="C9" s="50"/>
      <c r="D9" s="173"/>
    </row>
    <row r="10" spans="1:20" x14ac:dyDescent="0.2">
      <c r="A10" s="43">
        <v>15.7</v>
      </c>
      <c r="B10" s="44">
        <v>478.61</v>
      </c>
      <c r="C10" s="42"/>
      <c r="D10" s="173"/>
    </row>
    <row r="11" spans="1:20" x14ac:dyDescent="0.2">
      <c r="A11" s="43">
        <v>16.3</v>
      </c>
      <c r="B11" s="44">
        <v>478.49</v>
      </c>
      <c r="C11" s="45"/>
      <c r="D11" s="173"/>
    </row>
    <row r="12" spans="1:20" x14ac:dyDescent="0.2">
      <c r="A12" s="43">
        <v>16.899999999999999</v>
      </c>
      <c r="B12" s="44">
        <v>478.51</v>
      </c>
      <c r="C12" s="42"/>
      <c r="D12" s="173"/>
    </row>
    <row r="13" spans="1:20" x14ac:dyDescent="0.2">
      <c r="A13" s="43">
        <v>17.5</v>
      </c>
      <c r="B13" s="44">
        <v>478.45</v>
      </c>
      <c r="C13" s="42"/>
      <c r="D13" s="173"/>
    </row>
    <row r="14" spans="1:20" x14ac:dyDescent="0.2">
      <c r="A14" s="43">
        <v>18.100000000000001</v>
      </c>
      <c r="B14" s="44">
        <v>478.48</v>
      </c>
      <c r="C14" s="42"/>
      <c r="D14" s="173"/>
    </row>
    <row r="15" spans="1:20" x14ac:dyDescent="0.2">
      <c r="A15" s="43">
        <v>18.7</v>
      </c>
      <c r="B15" s="44">
        <v>478.44</v>
      </c>
      <c r="C15" s="42"/>
      <c r="D15" s="173"/>
    </row>
    <row r="16" spans="1:20" x14ac:dyDescent="0.2">
      <c r="A16" s="43">
        <v>19.3</v>
      </c>
      <c r="B16" s="44">
        <v>478.45</v>
      </c>
      <c r="C16" s="42"/>
      <c r="D16" s="173"/>
    </row>
    <row r="17" spans="1:4" x14ac:dyDescent="0.2">
      <c r="A17" s="43">
        <v>19.899999999999999</v>
      </c>
      <c r="B17" s="44">
        <v>478.45</v>
      </c>
      <c r="C17" s="42"/>
      <c r="D17" s="173"/>
    </row>
    <row r="18" spans="1:4" x14ac:dyDescent="0.2">
      <c r="A18" s="43">
        <v>20.5</v>
      </c>
      <c r="B18" s="44">
        <v>478.47</v>
      </c>
      <c r="C18" s="42"/>
      <c r="D18" s="173"/>
    </row>
    <row r="19" spans="1:4" x14ac:dyDescent="0.2">
      <c r="A19" s="43">
        <v>21.1</v>
      </c>
      <c r="B19" s="44">
        <v>478.49</v>
      </c>
      <c r="C19" s="42"/>
      <c r="D19" s="173"/>
    </row>
    <row r="20" spans="1:4" x14ac:dyDescent="0.2">
      <c r="A20" s="43">
        <v>21.7</v>
      </c>
      <c r="B20" s="44">
        <v>478.55</v>
      </c>
      <c r="C20" s="42"/>
      <c r="D20" s="173"/>
    </row>
    <row r="21" spans="1:4" x14ac:dyDescent="0.2">
      <c r="A21" s="16">
        <v>22.6</v>
      </c>
      <c r="B21" s="46">
        <v>478.71</v>
      </c>
      <c r="C21" s="50" t="s">
        <v>10</v>
      </c>
      <c r="D21" s="173"/>
    </row>
    <row r="22" spans="1:4" x14ac:dyDescent="0.2">
      <c r="A22" s="43">
        <v>23.7</v>
      </c>
      <c r="B22" s="44">
        <v>478.84</v>
      </c>
      <c r="C22" s="50"/>
      <c r="D22" s="173"/>
    </row>
    <row r="23" spans="1:4" x14ac:dyDescent="0.2">
      <c r="A23" s="43">
        <v>23.7</v>
      </c>
      <c r="B23" s="44">
        <v>479.54</v>
      </c>
      <c r="C23" s="42"/>
      <c r="D23" s="173"/>
    </row>
    <row r="24" spans="1:4" x14ac:dyDescent="0.2">
      <c r="A24" s="43">
        <v>26.1</v>
      </c>
      <c r="B24" s="44">
        <v>480.08</v>
      </c>
      <c r="C24" s="45"/>
      <c r="D24" s="173"/>
    </row>
    <row r="25" spans="1:4" x14ac:dyDescent="0.2">
      <c r="A25" s="43">
        <v>29.7</v>
      </c>
      <c r="B25" s="44">
        <v>481.02</v>
      </c>
      <c r="C25" s="42" t="s">
        <v>5</v>
      </c>
      <c r="D25" s="173"/>
    </row>
    <row r="26" spans="1:4" s="7" customFormat="1" x14ac:dyDescent="0.2">
      <c r="A26" s="43"/>
      <c r="B26" s="44"/>
      <c r="C26" s="45"/>
      <c r="D26" s="173"/>
    </row>
    <row r="27" spans="1:4" x14ac:dyDescent="0.2">
      <c r="A27" s="43"/>
      <c r="B27" s="44"/>
      <c r="C27" s="45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16"/>
      <c r="B29" s="46"/>
      <c r="C29" s="50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x14ac:dyDescent="0.2">
      <c r="A39" s="43"/>
      <c r="B39" s="44"/>
      <c r="C39" s="42"/>
      <c r="D39" s="173"/>
    </row>
    <row r="40" spans="1:4" x14ac:dyDescent="0.2">
      <c r="A40" s="43"/>
      <c r="B40" s="44"/>
      <c r="C40" s="42"/>
      <c r="D40" s="173"/>
    </row>
    <row r="41" spans="1:4" x14ac:dyDescent="0.2">
      <c r="A41" s="43"/>
      <c r="B41" s="44"/>
      <c r="C41" s="42"/>
      <c r="D41" s="173"/>
    </row>
    <row r="42" spans="1:4" x14ac:dyDescent="0.2">
      <c r="A42" s="43"/>
      <c r="B42" s="44"/>
      <c r="C42" s="42"/>
      <c r="D42" s="173"/>
    </row>
    <row r="43" spans="1:4" x14ac:dyDescent="0.2">
      <c r="A43" s="43"/>
      <c r="B43" s="44"/>
      <c r="C43" s="42"/>
      <c r="D43" s="173"/>
    </row>
    <row r="44" spans="1:4" x14ac:dyDescent="0.2">
      <c r="A44" s="43"/>
      <c r="B44" s="44"/>
      <c r="C44" s="42"/>
      <c r="D44" s="173"/>
    </row>
    <row r="45" spans="1:4" x14ac:dyDescent="0.2">
      <c r="A45" s="43"/>
      <c r="B45" s="44"/>
      <c r="C45" s="42"/>
      <c r="D45" s="173"/>
    </row>
    <row r="46" spans="1:4" x14ac:dyDescent="0.2">
      <c r="A46" s="43"/>
      <c r="B46" s="44"/>
      <c r="C46" s="47"/>
      <c r="D46" s="173"/>
    </row>
    <row r="47" spans="1:4" ht="13.5" thickBot="1" x14ac:dyDescent="0.25">
      <c r="A47" s="6"/>
      <c r="B47" s="13"/>
      <c r="C47" s="26"/>
      <c r="D47" s="173"/>
    </row>
    <row r="48" spans="1:4" ht="20.100000000000001" customHeight="1" x14ac:dyDescent="0.2">
      <c r="A48" s="15">
        <v>14.5</v>
      </c>
      <c r="B48" s="19">
        <v>478.71</v>
      </c>
      <c r="C48" s="14" t="s">
        <v>9</v>
      </c>
      <c r="D48" s="174" t="s">
        <v>6</v>
      </c>
    </row>
    <row r="49" spans="1:5" ht="20.100000000000001" customHeight="1" thickBot="1" x14ac:dyDescent="0.25">
      <c r="A49" s="28">
        <v>22.6</v>
      </c>
      <c r="B49" s="33">
        <v>478.71</v>
      </c>
      <c r="C49" s="17" t="s">
        <v>10</v>
      </c>
      <c r="D49" s="174"/>
    </row>
    <row r="50" spans="1:5" ht="20.100000000000001" customHeight="1" thickBot="1" x14ac:dyDescent="0.25">
      <c r="A50" s="34">
        <v>23.5</v>
      </c>
      <c r="B50" s="35">
        <v>478.30799999999999</v>
      </c>
      <c r="C50" s="21" t="s">
        <v>8</v>
      </c>
      <c r="D50" s="174"/>
    </row>
    <row r="51" spans="1:5" ht="20.100000000000001" customHeight="1" thickBot="1" x14ac:dyDescent="0.25">
      <c r="A51" s="20">
        <v>23.5</v>
      </c>
      <c r="B51" s="36">
        <v>480.30799999999999</v>
      </c>
      <c r="C51" s="22" t="s">
        <v>8</v>
      </c>
      <c r="D51" s="174"/>
    </row>
    <row r="52" spans="1:5" ht="20.100000000000001" customHeight="1" x14ac:dyDescent="0.2">
      <c r="A52" s="15">
        <v>24</v>
      </c>
      <c r="B52" s="19">
        <v>479.3</v>
      </c>
      <c r="C52" s="23" t="s">
        <v>2</v>
      </c>
      <c r="D52" s="174"/>
    </row>
    <row r="53" spans="1:5" ht="20.100000000000001" customHeight="1" thickBot="1" x14ac:dyDescent="0.25">
      <c r="A53" s="28">
        <v>24</v>
      </c>
      <c r="B53" s="33">
        <v>480.82</v>
      </c>
      <c r="C53" s="8" t="s">
        <v>2</v>
      </c>
      <c r="D53" s="174"/>
    </row>
    <row r="54" spans="1:5" ht="13.5" thickBot="1" x14ac:dyDescent="0.25">
      <c r="A54" s="15">
        <v>0</v>
      </c>
      <c r="B54" s="27">
        <v>481.02</v>
      </c>
      <c r="C54" s="9" t="s">
        <v>7</v>
      </c>
      <c r="D54" s="1"/>
    </row>
    <row r="55" spans="1:5" ht="13.5" thickBot="1" x14ac:dyDescent="0.25">
      <c r="A55" s="28">
        <v>29.7</v>
      </c>
      <c r="B55" s="29">
        <v>481.02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0.41</v>
      </c>
      <c r="D56" s="1"/>
    </row>
    <row r="57" spans="1:5" ht="16.5" thickBot="1" x14ac:dyDescent="0.3">
      <c r="A57" s="10" t="s">
        <v>11</v>
      </c>
      <c r="B57" s="4"/>
      <c r="C57" s="18">
        <f>B50</f>
        <v>478.30799999999999</v>
      </c>
      <c r="D57" s="1"/>
    </row>
    <row r="58" spans="1:5" ht="20.25" customHeight="1" thickBot="1" x14ac:dyDescent="0.3">
      <c r="A58" s="10" t="s">
        <v>14</v>
      </c>
      <c r="C58" s="31">
        <f>B3</f>
        <v>480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T64"/>
  <sheetViews>
    <sheetView showGridLines="0" zoomScale="75" workbookViewId="0">
      <selection activeCell="B25" sqref="B2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38">
        <v>480</v>
      </c>
      <c r="C3" s="39" t="s">
        <v>17</v>
      </c>
      <c r="D3" s="173"/>
    </row>
    <row r="4" spans="1:20" x14ac:dyDescent="0.2">
      <c r="A4" s="40">
        <v>0</v>
      </c>
      <c r="B4" s="41">
        <v>480.13</v>
      </c>
      <c r="C4" s="42" t="s">
        <v>5</v>
      </c>
      <c r="D4" s="173"/>
    </row>
    <row r="5" spans="1:20" x14ac:dyDescent="0.2">
      <c r="A5" s="43">
        <v>3.8</v>
      </c>
      <c r="B5" s="44">
        <v>478.86</v>
      </c>
      <c r="C5" s="50"/>
      <c r="D5" s="173"/>
    </row>
    <row r="6" spans="1:20" x14ac:dyDescent="0.2">
      <c r="A6" s="16">
        <v>5.35</v>
      </c>
      <c r="B6" s="46">
        <v>478.75</v>
      </c>
      <c r="C6" s="50" t="s">
        <v>10</v>
      </c>
      <c r="D6" s="173"/>
    </row>
    <row r="7" spans="1:20" x14ac:dyDescent="0.2">
      <c r="A7" s="43">
        <v>5.95</v>
      </c>
      <c r="B7" s="44">
        <v>478.64</v>
      </c>
      <c r="C7" s="42"/>
      <c r="D7" s="173"/>
    </row>
    <row r="8" spans="1:20" x14ac:dyDescent="0.2">
      <c r="A8" s="43">
        <v>6.45</v>
      </c>
      <c r="B8" s="44">
        <v>478.54</v>
      </c>
      <c r="C8" s="45"/>
      <c r="D8" s="173"/>
    </row>
    <row r="9" spans="1:20" x14ac:dyDescent="0.2">
      <c r="A9" s="43">
        <v>6.95</v>
      </c>
      <c r="B9" s="44">
        <v>478.37</v>
      </c>
      <c r="C9" s="50"/>
      <c r="D9" s="173"/>
    </row>
    <row r="10" spans="1:20" x14ac:dyDescent="0.2">
      <c r="A10" s="43">
        <v>7.45</v>
      </c>
      <c r="B10" s="44">
        <v>478.38</v>
      </c>
      <c r="C10" s="42"/>
      <c r="D10" s="173"/>
    </row>
    <row r="11" spans="1:20" x14ac:dyDescent="0.2">
      <c r="A11" s="43">
        <v>7.95</v>
      </c>
      <c r="B11" s="44">
        <v>478.38</v>
      </c>
      <c r="C11" s="45"/>
      <c r="D11" s="173"/>
    </row>
    <row r="12" spans="1:20" x14ac:dyDescent="0.2">
      <c r="A12" s="43">
        <v>8.4499999999999993</v>
      </c>
      <c r="B12" s="44">
        <v>478.43</v>
      </c>
      <c r="C12" s="42"/>
      <c r="D12" s="173"/>
    </row>
    <row r="13" spans="1:20" x14ac:dyDescent="0.2">
      <c r="A13" s="43">
        <v>8.9499999999999993</v>
      </c>
      <c r="B13" s="44">
        <v>478.5</v>
      </c>
      <c r="C13" s="42"/>
      <c r="D13" s="173"/>
    </row>
    <row r="14" spans="1:20" x14ac:dyDescent="0.2">
      <c r="A14" s="43">
        <v>9.4499999999999993</v>
      </c>
      <c r="B14" s="44">
        <v>478.56</v>
      </c>
      <c r="C14" s="42"/>
      <c r="D14" s="173"/>
    </row>
    <row r="15" spans="1:20" x14ac:dyDescent="0.2">
      <c r="A15" s="43">
        <v>9.9499999999999993</v>
      </c>
      <c r="B15" s="44">
        <v>478.64</v>
      </c>
      <c r="C15" s="42"/>
      <c r="D15" s="173"/>
    </row>
    <row r="16" spans="1:20" x14ac:dyDescent="0.2">
      <c r="A16" s="43">
        <v>10.45</v>
      </c>
      <c r="B16" s="44">
        <v>478.65</v>
      </c>
      <c r="C16" s="42"/>
      <c r="D16" s="173"/>
    </row>
    <row r="17" spans="1:4" x14ac:dyDescent="0.2">
      <c r="A17" s="43">
        <v>10.95</v>
      </c>
      <c r="B17" s="44">
        <v>478.65</v>
      </c>
      <c r="C17" s="42"/>
      <c r="D17" s="173"/>
    </row>
    <row r="18" spans="1:4" x14ac:dyDescent="0.2">
      <c r="A18" s="43">
        <v>11.45</v>
      </c>
      <c r="B18" s="44">
        <v>478.66</v>
      </c>
      <c r="C18" s="42"/>
      <c r="D18" s="173"/>
    </row>
    <row r="19" spans="1:4" x14ac:dyDescent="0.2">
      <c r="A19" s="43">
        <v>11.95</v>
      </c>
      <c r="B19" s="44">
        <v>478.66</v>
      </c>
      <c r="C19" s="42"/>
      <c r="D19" s="173"/>
    </row>
    <row r="20" spans="1:4" x14ac:dyDescent="0.2">
      <c r="A20" s="43">
        <v>12.45</v>
      </c>
      <c r="B20" s="44">
        <v>478.65</v>
      </c>
      <c r="C20" s="42"/>
      <c r="D20" s="173"/>
    </row>
    <row r="21" spans="1:4" x14ac:dyDescent="0.2">
      <c r="A21" s="43">
        <v>12.95</v>
      </c>
      <c r="B21" s="44">
        <v>478.62</v>
      </c>
      <c r="C21" s="42"/>
      <c r="D21" s="173"/>
    </row>
    <row r="22" spans="1:4" x14ac:dyDescent="0.2">
      <c r="A22" s="16">
        <v>13.4</v>
      </c>
      <c r="B22" s="46">
        <v>478.75</v>
      </c>
      <c r="C22" s="50" t="s">
        <v>9</v>
      </c>
      <c r="D22" s="173"/>
    </row>
    <row r="23" spans="1:4" x14ac:dyDescent="0.2">
      <c r="A23" s="43">
        <v>14.4</v>
      </c>
      <c r="B23" s="44">
        <v>479.3</v>
      </c>
      <c r="C23" s="42"/>
      <c r="D23" s="173"/>
    </row>
    <row r="24" spans="1:4" x14ac:dyDescent="0.2">
      <c r="A24" s="43">
        <v>15.4</v>
      </c>
      <c r="B24" s="44">
        <v>479.67</v>
      </c>
      <c r="C24" s="45"/>
      <c r="D24" s="173"/>
    </row>
    <row r="25" spans="1:4" x14ac:dyDescent="0.2">
      <c r="A25" s="43">
        <v>16.899999999999999</v>
      </c>
      <c r="B25" s="44">
        <v>479.97</v>
      </c>
      <c r="C25" s="42" t="s">
        <v>4</v>
      </c>
      <c r="D25" s="173"/>
    </row>
    <row r="26" spans="1:4" s="7" customFormat="1" x14ac:dyDescent="0.2">
      <c r="A26" s="43"/>
      <c r="B26" s="44"/>
      <c r="C26" s="45"/>
      <c r="D26" s="173"/>
    </row>
    <row r="27" spans="1:4" x14ac:dyDescent="0.2">
      <c r="A27" s="43"/>
      <c r="B27" s="44"/>
      <c r="C27" s="45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16"/>
      <c r="B29" s="46"/>
      <c r="C29" s="50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x14ac:dyDescent="0.2">
      <c r="A39" s="43"/>
      <c r="B39" s="44"/>
      <c r="C39" s="42"/>
      <c r="D39" s="173"/>
    </row>
    <row r="40" spans="1:4" x14ac:dyDescent="0.2">
      <c r="A40" s="43"/>
      <c r="B40" s="44"/>
      <c r="C40" s="42"/>
      <c r="D40" s="173"/>
    </row>
    <row r="41" spans="1:4" x14ac:dyDescent="0.2">
      <c r="A41" s="43"/>
      <c r="B41" s="44"/>
      <c r="C41" s="42"/>
      <c r="D41" s="173"/>
    </row>
    <row r="42" spans="1:4" x14ac:dyDescent="0.2">
      <c r="A42" s="43"/>
      <c r="B42" s="44"/>
      <c r="C42" s="42"/>
      <c r="D42" s="173"/>
    </row>
    <row r="43" spans="1:4" x14ac:dyDescent="0.2">
      <c r="A43" s="43"/>
      <c r="B43" s="44"/>
      <c r="C43" s="42"/>
      <c r="D43" s="173"/>
    </row>
    <row r="44" spans="1:4" x14ac:dyDescent="0.2">
      <c r="A44" s="43"/>
      <c r="B44" s="44"/>
      <c r="C44" s="42"/>
      <c r="D44" s="173"/>
    </row>
    <row r="45" spans="1:4" x14ac:dyDescent="0.2">
      <c r="A45" s="43"/>
      <c r="B45" s="44"/>
      <c r="C45" s="42"/>
      <c r="D45" s="173"/>
    </row>
    <row r="46" spans="1:4" x14ac:dyDescent="0.2">
      <c r="A46" s="43"/>
      <c r="B46" s="44"/>
      <c r="C46" s="47"/>
      <c r="D46" s="173"/>
    </row>
    <row r="47" spans="1:4" ht="13.5" thickBot="1" x14ac:dyDescent="0.25">
      <c r="A47" s="6"/>
      <c r="B47" s="13"/>
      <c r="C47" s="26"/>
      <c r="D47" s="173"/>
    </row>
    <row r="48" spans="1:4" ht="20.100000000000001" customHeight="1" x14ac:dyDescent="0.2">
      <c r="A48" s="15">
        <v>5.35</v>
      </c>
      <c r="B48" s="19">
        <v>478.75</v>
      </c>
      <c r="C48" s="14" t="s">
        <v>10</v>
      </c>
      <c r="D48" s="174" t="s">
        <v>6</v>
      </c>
    </row>
    <row r="49" spans="1:5" ht="20.100000000000001" customHeight="1" thickBot="1" x14ac:dyDescent="0.25">
      <c r="A49" s="28">
        <v>13.4</v>
      </c>
      <c r="B49" s="33">
        <v>478.75</v>
      </c>
      <c r="C49" s="17" t="s">
        <v>9</v>
      </c>
      <c r="D49" s="174"/>
    </row>
    <row r="50" spans="1:5" ht="20.100000000000001" customHeight="1" thickBot="1" x14ac:dyDescent="0.25">
      <c r="A50" s="34">
        <v>5.95</v>
      </c>
      <c r="B50" s="35">
        <v>478.33600000000001</v>
      </c>
      <c r="C50" s="21" t="s">
        <v>8</v>
      </c>
      <c r="D50" s="174"/>
    </row>
    <row r="51" spans="1:5" ht="20.100000000000001" customHeight="1" thickBot="1" x14ac:dyDescent="0.25">
      <c r="A51" s="20">
        <v>5.95</v>
      </c>
      <c r="B51" s="36">
        <v>479.33600000000001</v>
      </c>
      <c r="C51" s="22" t="s">
        <v>8</v>
      </c>
      <c r="D51" s="174"/>
    </row>
    <row r="52" spans="1:5" ht="20.100000000000001" customHeight="1" x14ac:dyDescent="0.2">
      <c r="A52" s="15">
        <v>5.75</v>
      </c>
      <c r="B52" s="19">
        <v>479.33600000000001</v>
      </c>
      <c r="C52" s="23" t="s">
        <v>2</v>
      </c>
      <c r="D52" s="174"/>
    </row>
    <row r="53" spans="1:5" ht="20.100000000000001" customHeight="1" thickBot="1" x14ac:dyDescent="0.25">
      <c r="A53" s="28">
        <v>5.75</v>
      </c>
      <c r="B53" s="33">
        <v>480.85599999999999</v>
      </c>
      <c r="C53" s="8" t="s">
        <v>2</v>
      </c>
      <c r="D53" s="174"/>
    </row>
    <row r="54" spans="1:5" ht="13.5" thickBot="1" x14ac:dyDescent="0.25">
      <c r="A54" s="15">
        <v>0</v>
      </c>
      <c r="B54" s="27">
        <v>480.13</v>
      </c>
      <c r="C54" s="9" t="s">
        <v>7</v>
      </c>
      <c r="D54" s="1"/>
    </row>
    <row r="55" spans="1:5" ht="13.5" thickBot="1" x14ac:dyDescent="0.25">
      <c r="A55" s="28">
        <v>17</v>
      </c>
      <c r="B55" s="29">
        <v>479.97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0.44</v>
      </c>
      <c r="D56" s="1"/>
    </row>
    <row r="57" spans="1:5" ht="16.5" thickBot="1" x14ac:dyDescent="0.3">
      <c r="A57" s="10" t="s">
        <v>11</v>
      </c>
      <c r="B57" s="4"/>
      <c r="C57" s="18">
        <f>B50</f>
        <v>478.33600000000001</v>
      </c>
      <c r="D57" s="1"/>
    </row>
    <row r="58" spans="1:5" ht="20.25" customHeight="1" thickBot="1" x14ac:dyDescent="0.3">
      <c r="A58" s="10" t="s">
        <v>14</v>
      </c>
      <c r="C58" s="31">
        <f>B3</f>
        <v>480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64"/>
  <sheetViews>
    <sheetView showGridLines="0" topLeftCell="F1" zoomScale="75" workbookViewId="0">
      <selection activeCell="A54" sqref="A5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</v>
      </c>
      <c r="C3" s="39" t="s">
        <v>17</v>
      </c>
      <c r="D3" s="173"/>
    </row>
    <row r="4" spans="1:20" x14ac:dyDescent="0.2">
      <c r="A4" s="51">
        <v>0</v>
      </c>
      <c r="B4" s="52">
        <v>480.31</v>
      </c>
      <c r="C4" s="42" t="s">
        <v>4</v>
      </c>
      <c r="D4" s="173"/>
    </row>
    <row r="5" spans="1:20" x14ac:dyDescent="0.2">
      <c r="A5" s="43">
        <v>0.4</v>
      </c>
      <c r="B5" s="44">
        <v>479.97</v>
      </c>
      <c r="C5" s="50"/>
      <c r="D5" s="173"/>
    </row>
    <row r="6" spans="1:20" x14ac:dyDescent="0.2">
      <c r="A6" s="43">
        <v>0.9</v>
      </c>
      <c r="B6" s="44">
        <v>479.33</v>
      </c>
      <c r="C6" s="50"/>
      <c r="D6" s="173"/>
    </row>
    <row r="7" spans="1:20" x14ac:dyDescent="0.2">
      <c r="A7" s="43">
        <v>1.3</v>
      </c>
      <c r="B7" s="44">
        <v>479.01</v>
      </c>
      <c r="C7" s="42"/>
      <c r="D7" s="173"/>
    </row>
    <row r="8" spans="1:20" x14ac:dyDescent="0.2">
      <c r="A8" s="16">
        <v>2.2999999999999998</v>
      </c>
      <c r="B8" s="46">
        <v>478.7</v>
      </c>
      <c r="C8" s="45" t="s">
        <v>9</v>
      </c>
      <c r="D8" s="173"/>
    </row>
    <row r="9" spans="1:20" x14ac:dyDescent="0.2">
      <c r="A9" s="43">
        <v>2.4</v>
      </c>
      <c r="B9" s="44">
        <v>478.63</v>
      </c>
      <c r="C9" s="50"/>
      <c r="D9" s="173"/>
    </row>
    <row r="10" spans="1:20" x14ac:dyDescent="0.2">
      <c r="A10" s="43">
        <v>2.8</v>
      </c>
      <c r="B10" s="44">
        <v>478.57</v>
      </c>
      <c r="C10" s="42"/>
      <c r="D10" s="173"/>
    </row>
    <row r="11" spans="1:20" x14ac:dyDescent="0.2">
      <c r="A11" s="43">
        <v>3.2</v>
      </c>
      <c r="B11" s="44">
        <v>478.6</v>
      </c>
      <c r="C11" s="45"/>
      <c r="D11" s="173"/>
    </row>
    <row r="12" spans="1:20" x14ac:dyDescent="0.2">
      <c r="A12" s="43">
        <v>3.6</v>
      </c>
      <c r="B12" s="44">
        <v>478.58</v>
      </c>
      <c r="C12" s="42"/>
      <c r="D12" s="173"/>
    </row>
    <row r="13" spans="1:20" x14ac:dyDescent="0.2">
      <c r="A13" s="43">
        <v>4</v>
      </c>
      <c r="B13" s="44">
        <v>478.58</v>
      </c>
      <c r="C13" s="42"/>
      <c r="D13" s="173"/>
    </row>
    <row r="14" spans="1:20" x14ac:dyDescent="0.2">
      <c r="A14" s="43">
        <v>4.4000000000000004</v>
      </c>
      <c r="B14" s="44">
        <v>478.58</v>
      </c>
      <c r="C14" s="42"/>
      <c r="D14" s="173"/>
    </row>
    <row r="15" spans="1:20" x14ac:dyDescent="0.2">
      <c r="A15" s="43">
        <v>5</v>
      </c>
      <c r="B15" s="44">
        <v>478.53</v>
      </c>
      <c r="C15" s="42"/>
      <c r="D15" s="173"/>
    </row>
    <row r="16" spans="1:20" x14ac:dyDescent="0.2">
      <c r="A16" s="43">
        <v>5.4</v>
      </c>
      <c r="B16" s="44">
        <v>478.5</v>
      </c>
      <c r="C16" s="42"/>
      <c r="D16" s="173"/>
    </row>
    <row r="17" spans="1:4" x14ac:dyDescent="0.2">
      <c r="A17" s="43">
        <v>5.8</v>
      </c>
      <c r="B17" s="44">
        <v>478.5</v>
      </c>
      <c r="C17" s="42"/>
      <c r="D17" s="173"/>
    </row>
    <row r="18" spans="1:4" x14ac:dyDescent="0.2">
      <c r="A18" s="43">
        <v>6.2</v>
      </c>
      <c r="B18" s="44">
        <v>478.54</v>
      </c>
      <c r="C18" s="42"/>
      <c r="D18" s="173"/>
    </row>
    <row r="19" spans="1:4" x14ac:dyDescent="0.2">
      <c r="A19" s="43">
        <v>6.6</v>
      </c>
      <c r="B19" s="44">
        <v>478.59</v>
      </c>
      <c r="C19" s="42"/>
      <c r="D19" s="173"/>
    </row>
    <row r="20" spans="1:4" x14ac:dyDescent="0.2">
      <c r="A20" s="43">
        <v>7</v>
      </c>
      <c r="B20" s="44">
        <v>478.63</v>
      </c>
      <c r="C20" s="42"/>
      <c r="D20" s="173"/>
    </row>
    <row r="21" spans="1:4" x14ac:dyDescent="0.2">
      <c r="A21" s="43">
        <v>7.4</v>
      </c>
      <c r="B21" s="44">
        <v>478.6</v>
      </c>
      <c r="C21" s="42"/>
      <c r="D21" s="173"/>
    </row>
    <row r="22" spans="1:4" x14ac:dyDescent="0.2">
      <c r="A22" s="43">
        <v>7.8</v>
      </c>
      <c r="B22" s="44">
        <v>478.58</v>
      </c>
      <c r="C22" s="50"/>
      <c r="D22" s="173"/>
    </row>
    <row r="23" spans="1:4" x14ac:dyDescent="0.2">
      <c r="A23" s="43">
        <v>8.1999999999999993</v>
      </c>
      <c r="B23" s="44">
        <v>478.6</v>
      </c>
      <c r="C23" s="42"/>
      <c r="D23" s="173"/>
    </row>
    <row r="24" spans="1:4" x14ac:dyDescent="0.2">
      <c r="A24" s="43">
        <v>8.4</v>
      </c>
      <c r="B24" s="44">
        <v>478.64</v>
      </c>
      <c r="C24" s="45"/>
      <c r="D24" s="173"/>
    </row>
    <row r="25" spans="1:4" x14ac:dyDescent="0.2">
      <c r="A25" s="16">
        <v>9.6</v>
      </c>
      <c r="B25" s="46">
        <v>478.7</v>
      </c>
      <c r="C25" s="42" t="s">
        <v>10</v>
      </c>
      <c r="D25" s="173"/>
    </row>
    <row r="26" spans="1:4" s="7" customFormat="1" x14ac:dyDescent="0.2">
      <c r="A26" s="43">
        <v>11.1</v>
      </c>
      <c r="B26" s="44">
        <v>478.9</v>
      </c>
      <c r="C26" s="45"/>
      <c r="D26" s="173"/>
    </row>
    <row r="27" spans="1:4" x14ac:dyDescent="0.2">
      <c r="A27" s="16">
        <v>11.1</v>
      </c>
      <c r="B27" s="46">
        <v>480.02</v>
      </c>
      <c r="C27" s="45" t="s">
        <v>5</v>
      </c>
      <c r="D27" s="173"/>
    </row>
    <row r="28" spans="1:4" x14ac:dyDescent="0.2">
      <c r="A28" s="43">
        <v>11.1</v>
      </c>
      <c r="B28" s="44">
        <v>480.37</v>
      </c>
      <c r="C28" s="42"/>
      <c r="D28" s="173"/>
    </row>
    <row r="29" spans="1:4" x14ac:dyDescent="0.2">
      <c r="A29" s="16">
        <v>11.1</v>
      </c>
      <c r="B29" s="46">
        <v>479.99</v>
      </c>
      <c r="C29" s="50" t="s">
        <v>19</v>
      </c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50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2"/>
      <c r="D33" s="173"/>
    </row>
    <row r="34" spans="1:4" x14ac:dyDescent="0.2">
      <c r="A34" s="43"/>
      <c r="B34" s="44"/>
      <c r="C34" s="42"/>
      <c r="D34" s="173"/>
    </row>
    <row r="35" spans="1:4" x14ac:dyDescent="0.2">
      <c r="A35" s="43"/>
      <c r="B35" s="44"/>
      <c r="C35" s="42"/>
      <c r="D35" s="173"/>
    </row>
    <row r="36" spans="1:4" x14ac:dyDescent="0.2">
      <c r="A36" s="43"/>
      <c r="B36" s="44"/>
      <c r="C36" s="42"/>
      <c r="D36" s="173"/>
    </row>
    <row r="37" spans="1:4" x14ac:dyDescent="0.2">
      <c r="A37" s="43"/>
      <c r="B37" s="44"/>
      <c r="C37" s="42"/>
      <c r="D37" s="173"/>
    </row>
    <row r="38" spans="1:4" x14ac:dyDescent="0.2">
      <c r="A38" s="16"/>
      <c r="B38" s="46"/>
      <c r="C38" s="50"/>
      <c r="D38" s="173"/>
    </row>
    <row r="39" spans="1:4" x14ac:dyDescent="0.2">
      <c r="A39" s="43"/>
      <c r="B39" s="44"/>
      <c r="C39" s="42"/>
      <c r="D39" s="173"/>
    </row>
    <row r="40" spans="1:4" x14ac:dyDescent="0.2">
      <c r="A40" s="43"/>
      <c r="B40" s="44"/>
      <c r="C40" s="42"/>
      <c r="D40" s="173"/>
    </row>
    <row r="41" spans="1:4" x14ac:dyDescent="0.2">
      <c r="A41" s="43"/>
      <c r="B41" s="44"/>
      <c r="C41" s="42"/>
      <c r="D41" s="173"/>
    </row>
    <row r="42" spans="1:4" x14ac:dyDescent="0.2">
      <c r="A42" s="43"/>
      <c r="B42" s="44"/>
      <c r="C42" s="42"/>
      <c r="D42" s="173"/>
    </row>
    <row r="43" spans="1:4" x14ac:dyDescent="0.2">
      <c r="A43" s="43"/>
      <c r="B43" s="44"/>
      <c r="C43" s="42"/>
      <c r="D43" s="173"/>
    </row>
    <row r="44" spans="1:4" x14ac:dyDescent="0.2">
      <c r="A44" s="43"/>
      <c r="B44" s="44"/>
      <c r="C44" s="42"/>
      <c r="D44" s="173"/>
    </row>
    <row r="45" spans="1:4" x14ac:dyDescent="0.2">
      <c r="A45" s="43"/>
      <c r="B45" s="44"/>
      <c r="C45" s="42"/>
      <c r="D45" s="173"/>
    </row>
    <row r="46" spans="1:4" x14ac:dyDescent="0.2">
      <c r="A46" s="43"/>
      <c r="B46" s="44"/>
      <c r="C46" s="47"/>
      <c r="D46" s="173"/>
    </row>
    <row r="47" spans="1:4" ht="13.5" thickBot="1" x14ac:dyDescent="0.25">
      <c r="A47" s="6"/>
      <c r="B47" s="13"/>
      <c r="C47" s="26"/>
      <c r="D47" s="173"/>
    </row>
    <row r="48" spans="1:4" ht="20.100000000000001" customHeight="1" x14ac:dyDescent="0.2">
      <c r="A48" s="16">
        <v>2.2999999999999998</v>
      </c>
      <c r="B48" s="46">
        <v>478.7</v>
      </c>
      <c r="C48" s="14" t="s">
        <v>10</v>
      </c>
      <c r="D48" s="174" t="s">
        <v>6</v>
      </c>
    </row>
    <row r="49" spans="1:5" ht="20.100000000000001" customHeight="1" thickBot="1" x14ac:dyDescent="0.25">
      <c r="A49" s="16">
        <v>9.6</v>
      </c>
      <c r="B49" s="46">
        <v>478.7</v>
      </c>
      <c r="C49" s="17" t="s">
        <v>9</v>
      </c>
      <c r="D49" s="174"/>
    </row>
    <row r="50" spans="1:5" ht="20.100000000000001" customHeight="1" thickBot="1" x14ac:dyDescent="0.25">
      <c r="A50" s="34">
        <v>3</v>
      </c>
      <c r="B50" s="35">
        <v>478.28800000000001</v>
      </c>
      <c r="C50" s="21" t="s">
        <v>8</v>
      </c>
      <c r="D50" s="174"/>
    </row>
    <row r="51" spans="1:5" ht="20.100000000000001" customHeight="1" thickBot="1" x14ac:dyDescent="0.25">
      <c r="A51" s="20">
        <v>3</v>
      </c>
      <c r="B51" s="36">
        <v>480.28800000000001</v>
      </c>
      <c r="C51" s="22" t="s">
        <v>8</v>
      </c>
      <c r="D51" s="174"/>
    </row>
    <row r="52" spans="1:5" ht="20.100000000000001" customHeight="1" x14ac:dyDescent="0.2">
      <c r="A52" s="15">
        <v>2.5</v>
      </c>
      <c r="B52" s="19">
        <v>479.32100000000003</v>
      </c>
      <c r="C52" s="23" t="s">
        <v>2</v>
      </c>
      <c r="D52" s="174"/>
    </row>
    <row r="53" spans="1:5" ht="20.100000000000001" customHeight="1" thickBot="1" x14ac:dyDescent="0.25">
      <c r="A53" s="28">
        <v>2.5</v>
      </c>
      <c r="B53" s="33">
        <v>480.85599999999999</v>
      </c>
      <c r="C53" s="8" t="s">
        <v>2</v>
      </c>
      <c r="D53" s="174"/>
    </row>
    <row r="54" spans="1:5" ht="13.5" thickBot="1" x14ac:dyDescent="0.25">
      <c r="A54" s="51">
        <v>0</v>
      </c>
      <c r="B54" s="52">
        <v>480.31</v>
      </c>
      <c r="C54" s="9" t="s">
        <v>7</v>
      </c>
      <c r="D54" s="1"/>
    </row>
    <row r="55" spans="1:5" ht="13.5" thickBot="1" x14ac:dyDescent="0.25">
      <c r="A55" s="16">
        <v>11.1</v>
      </c>
      <c r="B55" s="46">
        <v>480.02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0.42</v>
      </c>
      <c r="D56" s="1"/>
    </row>
    <row r="57" spans="1:5" ht="16.5" thickBot="1" x14ac:dyDescent="0.3">
      <c r="A57" s="10" t="s">
        <v>11</v>
      </c>
      <c r="B57" s="4"/>
      <c r="C57" s="18">
        <f>B50</f>
        <v>478.28800000000001</v>
      </c>
      <c r="D57" s="1"/>
    </row>
    <row r="58" spans="1:5" ht="20.25" customHeight="1" thickBot="1" x14ac:dyDescent="0.3">
      <c r="A58" s="10" t="s">
        <v>14</v>
      </c>
      <c r="C58" s="31">
        <f>B3</f>
        <v>480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T51"/>
  <sheetViews>
    <sheetView showGridLines="0" topLeftCell="A10" zoomScale="75" workbookViewId="0">
      <selection activeCell="B35" sqref="B3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480.26</v>
      </c>
      <c r="C3" s="39" t="s">
        <v>4</v>
      </c>
      <c r="D3" s="173"/>
    </row>
    <row r="4" spans="1:20" x14ac:dyDescent="0.2">
      <c r="A4" s="51">
        <v>5</v>
      </c>
      <c r="B4" s="52">
        <v>480.19</v>
      </c>
      <c r="C4" s="42"/>
      <c r="D4" s="173"/>
    </row>
    <row r="5" spans="1:20" x14ac:dyDescent="0.2">
      <c r="A5" s="43">
        <v>8</v>
      </c>
      <c r="B5" s="44">
        <v>480.33</v>
      </c>
      <c r="C5" s="50"/>
      <c r="D5" s="173"/>
    </row>
    <row r="6" spans="1:20" x14ac:dyDescent="0.2">
      <c r="A6" s="43">
        <v>11</v>
      </c>
      <c r="B6" s="44">
        <v>479.68</v>
      </c>
      <c r="C6" s="50"/>
      <c r="D6" s="173"/>
    </row>
    <row r="7" spans="1:20" x14ac:dyDescent="0.2">
      <c r="A7" s="16">
        <v>12</v>
      </c>
      <c r="B7" s="46">
        <v>478.74</v>
      </c>
      <c r="C7" s="42" t="s">
        <v>9</v>
      </c>
      <c r="D7" s="173"/>
    </row>
    <row r="8" spans="1:20" x14ac:dyDescent="0.2">
      <c r="A8" s="43">
        <v>12.7</v>
      </c>
      <c r="B8" s="44">
        <v>478.54</v>
      </c>
      <c r="C8" s="45"/>
      <c r="D8" s="173"/>
    </row>
    <row r="9" spans="1:20" x14ac:dyDescent="0.2">
      <c r="A9" s="43">
        <v>13.4</v>
      </c>
      <c r="B9" s="44">
        <v>478.64</v>
      </c>
      <c r="C9" s="50"/>
      <c r="D9" s="173"/>
    </row>
    <row r="10" spans="1:20" x14ac:dyDescent="0.2">
      <c r="A10" s="43">
        <v>14.1</v>
      </c>
      <c r="B10" s="44">
        <v>478.64</v>
      </c>
      <c r="C10" s="42"/>
      <c r="D10" s="173"/>
    </row>
    <row r="11" spans="1:20" x14ac:dyDescent="0.2">
      <c r="A11" s="43">
        <v>14.8</v>
      </c>
      <c r="B11" s="44">
        <v>478.56</v>
      </c>
      <c r="C11" s="45"/>
      <c r="D11" s="173"/>
    </row>
    <row r="12" spans="1:20" x14ac:dyDescent="0.2">
      <c r="A12" s="43">
        <v>15.5</v>
      </c>
      <c r="B12" s="44">
        <v>478.49</v>
      </c>
      <c r="C12" s="42"/>
      <c r="D12" s="173"/>
    </row>
    <row r="13" spans="1:20" x14ac:dyDescent="0.2">
      <c r="A13" s="43">
        <v>16.2</v>
      </c>
      <c r="B13" s="44">
        <v>478.51</v>
      </c>
      <c r="C13" s="42"/>
      <c r="D13" s="173"/>
    </row>
    <row r="14" spans="1:20" x14ac:dyDescent="0.2">
      <c r="A14" s="43">
        <v>16.899999999999999</v>
      </c>
      <c r="B14" s="44">
        <v>478.44</v>
      </c>
      <c r="C14" s="42"/>
      <c r="D14" s="173"/>
    </row>
    <row r="15" spans="1:20" x14ac:dyDescent="0.2">
      <c r="A15" s="43">
        <v>17.600000000000001</v>
      </c>
      <c r="B15" s="44">
        <v>478.35</v>
      </c>
      <c r="C15" s="42"/>
      <c r="D15" s="173"/>
    </row>
    <row r="16" spans="1:20" x14ac:dyDescent="0.2">
      <c r="A16" s="43">
        <v>18.3</v>
      </c>
      <c r="B16" s="44">
        <v>478.32</v>
      </c>
      <c r="C16" s="42"/>
      <c r="D16" s="173"/>
    </row>
    <row r="17" spans="1:4" x14ac:dyDescent="0.2">
      <c r="A17" s="43">
        <v>19</v>
      </c>
      <c r="B17" s="44">
        <v>478.36</v>
      </c>
      <c r="C17" s="42"/>
      <c r="D17" s="173"/>
    </row>
    <row r="18" spans="1:4" x14ac:dyDescent="0.2">
      <c r="A18" s="43">
        <v>19.5</v>
      </c>
      <c r="B18" s="44">
        <v>478.48</v>
      </c>
      <c r="C18" s="42"/>
      <c r="D18" s="173"/>
    </row>
    <row r="19" spans="1:4" x14ac:dyDescent="0.2">
      <c r="A19" s="16">
        <v>20.5</v>
      </c>
      <c r="B19" s="46">
        <v>478.74</v>
      </c>
      <c r="C19" s="42" t="s">
        <v>10</v>
      </c>
      <c r="D19" s="173"/>
    </row>
    <row r="20" spans="1:4" x14ac:dyDescent="0.2">
      <c r="A20" s="43">
        <v>22.3</v>
      </c>
      <c r="B20" s="44">
        <v>479.19</v>
      </c>
      <c r="C20" s="42"/>
      <c r="D20" s="173"/>
    </row>
    <row r="21" spans="1:4" x14ac:dyDescent="0.2">
      <c r="A21" s="43">
        <v>25</v>
      </c>
      <c r="B21" s="44">
        <v>480.12</v>
      </c>
      <c r="C21" s="42"/>
      <c r="D21" s="173"/>
    </row>
    <row r="22" spans="1:4" x14ac:dyDescent="0.2">
      <c r="A22" s="43">
        <v>25</v>
      </c>
      <c r="B22" s="44">
        <v>477.53</v>
      </c>
      <c r="C22" s="50" t="s">
        <v>5</v>
      </c>
      <c r="D22" s="173"/>
    </row>
    <row r="23" spans="1:4" x14ac:dyDescent="0.2">
      <c r="A23" s="43"/>
      <c r="B23" s="44"/>
      <c r="C23" s="42"/>
      <c r="D23" s="173"/>
    </row>
    <row r="24" spans="1:4" x14ac:dyDescent="0.2">
      <c r="A24" s="43"/>
      <c r="B24" s="44"/>
      <c r="C24" s="45"/>
      <c r="D24" s="173"/>
    </row>
    <row r="25" spans="1:4" x14ac:dyDescent="0.2">
      <c r="A25" s="43"/>
      <c r="B25" s="44"/>
      <c r="C25" s="42"/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26"/>
      <c r="D34" s="173"/>
    </row>
    <row r="35" spans="1:4" ht="20.100000000000001" customHeight="1" x14ac:dyDescent="0.2">
      <c r="A35" s="16">
        <v>12</v>
      </c>
      <c r="B35" s="46">
        <v>478.74</v>
      </c>
      <c r="C35" s="14" t="s">
        <v>10</v>
      </c>
      <c r="D35" s="174" t="s">
        <v>6</v>
      </c>
    </row>
    <row r="36" spans="1:4" ht="20.100000000000001" customHeight="1" thickBot="1" x14ac:dyDescent="0.25">
      <c r="A36" s="16">
        <v>20.5</v>
      </c>
      <c r="B36" s="46">
        <v>478.74</v>
      </c>
      <c r="C36" s="17" t="s">
        <v>9</v>
      </c>
      <c r="D36" s="174"/>
    </row>
    <row r="37" spans="1:4" ht="20.100000000000001" customHeight="1" thickBot="1" x14ac:dyDescent="0.25">
      <c r="A37" s="34">
        <v>12.5</v>
      </c>
      <c r="B37" s="35">
        <v>478.3</v>
      </c>
      <c r="C37" s="21" t="s">
        <v>8</v>
      </c>
      <c r="D37" s="174"/>
    </row>
    <row r="38" spans="1:4" ht="20.100000000000001" customHeight="1" thickBot="1" x14ac:dyDescent="0.25">
      <c r="A38" s="20">
        <v>12.5</v>
      </c>
      <c r="B38" s="36">
        <v>480.3</v>
      </c>
      <c r="C38" s="22" t="s">
        <v>8</v>
      </c>
      <c r="D38" s="174"/>
    </row>
    <row r="39" spans="1:4" ht="20.100000000000001" customHeight="1" x14ac:dyDescent="0.2">
      <c r="A39" s="15">
        <v>11.5</v>
      </c>
      <c r="B39" s="19">
        <v>479.30900000000003</v>
      </c>
      <c r="C39" s="23" t="s">
        <v>2</v>
      </c>
      <c r="D39" s="174"/>
    </row>
    <row r="40" spans="1:4" ht="20.100000000000001" customHeight="1" thickBot="1" x14ac:dyDescent="0.25">
      <c r="A40" s="28">
        <v>11.5</v>
      </c>
      <c r="B40" s="33">
        <v>480.85599999999999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480.05</v>
      </c>
      <c r="C41" s="9" t="s">
        <v>7</v>
      </c>
      <c r="D41" s="1"/>
    </row>
    <row r="42" spans="1:4" ht="13.5" thickBot="1" x14ac:dyDescent="0.25">
      <c r="A42" s="16">
        <v>20.6</v>
      </c>
      <c r="B42" s="46">
        <v>480.15300000000002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30">
        <v>0.43</v>
      </c>
      <c r="D43" s="1"/>
    </row>
    <row r="44" spans="1:4" ht="16.5" thickBot="1" x14ac:dyDescent="0.3">
      <c r="A44" s="10" t="s">
        <v>11</v>
      </c>
      <c r="B44" s="4"/>
      <c r="C44" s="18">
        <f>B37</f>
        <v>478.3</v>
      </c>
      <c r="D44" s="1"/>
    </row>
    <row r="45" spans="1:4" ht="20.25" customHeight="1" thickBot="1" x14ac:dyDescent="0.3">
      <c r="A45" s="10" t="s">
        <v>14</v>
      </c>
      <c r="C45" s="31">
        <f>B3</f>
        <v>480.26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T51"/>
  <sheetViews>
    <sheetView showGridLines="0" topLeftCell="A10" zoomScale="75" workbookViewId="0">
      <selection activeCell="A41" sqref="A41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</v>
      </c>
      <c r="C3" s="39" t="s">
        <v>17</v>
      </c>
      <c r="D3" s="173"/>
    </row>
    <row r="4" spans="1:20" x14ac:dyDescent="0.2">
      <c r="A4" s="51">
        <v>0</v>
      </c>
      <c r="B4" s="52">
        <v>480.73</v>
      </c>
      <c r="C4" s="42" t="s">
        <v>4</v>
      </c>
      <c r="D4" s="173"/>
    </row>
    <row r="5" spans="1:20" x14ac:dyDescent="0.2">
      <c r="A5" s="43">
        <v>2.8</v>
      </c>
      <c r="B5" s="44">
        <v>480.3</v>
      </c>
      <c r="C5" s="50"/>
      <c r="D5" s="173"/>
    </row>
    <row r="6" spans="1:20" x14ac:dyDescent="0.2">
      <c r="A6" s="43">
        <v>5</v>
      </c>
      <c r="B6" s="44">
        <v>480.08</v>
      </c>
      <c r="C6" s="50"/>
      <c r="D6" s="173"/>
    </row>
    <row r="7" spans="1:20" x14ac:dyDescent="0.2">
      <c r="A7" s="43">
        <v>6.1</v>
      </c>
      <c r="B7" s="44">
        <v>479.41</v>
      </c>
      <c r="C7" s="42"/>
      <c r="D7" s="173"/>
    </row>
    <row r="8" spans="1:20" x14ac:dyDescent="0.2">
      <c r="A8" s="16">
        <v>6.9</v>
      </c>
      <c r="B8" s="46">
        <v>478.72</v>
      </c>
      <c r="C8" s="45" t="s">
        <v>9</v>
      </c>
      <c r="D8" s="173"/>
    </row>
    <row r="9" spans="1:20" x14ac:dyDescent="0.2">
      <c r="A9" s="43">
        <v>7.4</v>
      </c>
      <c r="B9" s="44">
        <v>478.57</v>
      </c>
      <c r="C9" s="50"/>
      <c r="D9" s="173"/>
    </row>
    <row r="10" spans="1:20" x14ac:dyDescent="0.2">
      <c r="A10" s="43">
        <v>7.9</v>
      </c>
      <c r="B10" s="44">
        <v>478.62</v>
      </c>
      <c r="C10" s="42"/>
      <c r="D10" s="173"/>
    </row>
    <row r="11" spans="1:20" x14ac:dyDescent="0.2">
      <c r="A11" s="43">
        <v>8.4</v>
      </c>
      <c r="B11" s="44">
        <v>478.52</v>
      </c>
      <c r="C11" s="45"/>
      <c r="D11" s="173"/>
    </row>
    <row r="12" spans="1:20" x14ac:dyDescent="0.2">
      <c r="A12" s="43">
        <v>8.9</v>
      </c>
      <c r="B12" s="44">
        <v>478.5</v>
      </c>
      <c r="C12" s="42"/>
      <c r="D12" s="173"/>
    </row>
    <row r="13" spans="1:20" x14ac:dyDescent="0.2">
      <c r="A13" s="43">
        <v>9.4</v>
      </c>
      <c r="B13" s="44">
        <v>478.54</v>
      </c>
      <c r="C13" s="42"/>
      <c r="D13" s="173"/>
    </row>
    <row r="14" spans="1:20" x14ac:dyDescent="0.2">
      <c r="A14" s="43">
        <v>9.9</v>
      </c>
      <c r="B14" s="44">
        <v>478.52</v>
      </c>
      <c r="C14" s="42"/>
      <c r="D14" s="173"/>
    </row>
    <row r="15" spans="1:20" x14ac:dyDescent="0.2">
      <c r="A15" s="43">
        <v>10.4</v>
      </c>
      <c r="B15" s="44">
        <v>478.51</v>
      </c>
      <c r="C15" s="42"/>
      <c r="D15" s="173"/>
    </row>
    <row r="16" spans="1:20" x14ac:dyDescent="0.2">
      <c r="A16" s="43">
        <v>10.9</v>
      </c>
      <c r="B16" s="44">
        <v>478.48</v>
      </c>
      <c r="C16" s="42"/>
      <c r="D16" s="173"/>
    </row>
    <row r="17" spans="1:4" x14ac:dyDescent="0.2">
      <c r="A17" s="43">
        <v>11.4</v>
      </c>
      <c r="B17" s="44">
        <v>478.49</v>
      </c>
      <c r="C17" s="42"/>
      <c r="D17" s="173"/>
    </row>
    <row r="18" spans="1:4" x14ac:dyDescent="0.2">
      <c r="A18" s="43">
        <v>11.9</v>
      </c>
      <c r="B18" s="44">
        <v>478.46</v>
      </c>
      <c r="C18" s="42"/>
      <c r="D18" s="173"/>
    </row>
    <row r="19" spans="1:4" x14ac:dyDescent="0.2">
      <c r="A19" s="43">
        <v>12.4</v>
      </c>
      <c r="B19" s="44">
        <v>478.33</v>
      </c>
      <c r="C19" s="42"/>
      <c r="D19" s="173"/>
    </row>
    <row r="20" spans="1:4" x14ac:dyDescent="0.2">
      <c r="A20" s="43">
        <v>12.9</v>
      </c>
      <c r="B20" s="44">
        <v>478.4</v>
      </c>
      <c r="C20" s="42"/>
      <c r="D20" s="173"/>
    </row>
    <row r="21" spans="1:4" x14ac:dyDescent="0.2">
      <c r="A21" s="43">
        <v>13.4</v>
      </c>
      <c r="B21" s="44">
        <v>478.51</v>
      </c>
      <c r="C21" s="42"/>
      <c r="D21" s="173"/>
    </row>
    <row r="22" spans="1:4" x14ac:dyDescent="0.2">
      <c r="A22" s="43">
        <v>13.9</v>
      </c>
      <c r="B22" s="44">
        <v>478.51</v>
      </c>
      <c r="C22" s="50"/>
      <c r="D22" s="173"/>
    </row>
    <row r="23" spans="1:4" x14ac:dyDescent="0.2">
      <c r="A23" s="43">
        <v>14.4</v>
      </c>
      <c r="B23" s="44">
        <v>478.55</v>
      </c>
      <c r="C23" s="42"/>
      <c r="D23" s="173"/>
    </row>
    <row r="24" spans="1:4" x14ac:dyDescent="0.2">
      <c r="A24" s="16">
        <v>15.2</v>
      </c>
      <c r="B24" s="46">
        <v>478.72</v>
      </c>
      <c r="C24" s="45" t="s">
        <v>10</v>
      </c>
      <c r="D24" s="173"/>
    </row>
    <row r="25" spans="1:4" x14ac:dyDescent="0.2">
      <c r="A25" s="43">
        <v>16.5</v>
      </c>
      <c r="B25" s="44">
        <v>479.28</v>
      </c>
      <c r="C25" s="42"/>
      <c r="D25" s="173"/>
    </row>
    <row r="26" spans="1:4" x14ac:dyDescent="0.2">
      <c r="A26" s="43">
        <v>17</v>
      </c>
      <c r="B26" s="44">
        <v>480.38</v>
      </c>
      <c r="C26" s="42"/>
      <c r="D26" s="173"/>
    </row>
    <row r="27" spans="1:4" x14ac:dyDescent="0.2">
      <c r="A27" s="43">
        <v>17.399999999999999</v>
      </c>
      <c r="B27" s="44">
        <v>480.65</v>
      </c>
      <c r="C27" s="42"/>
      <c r="D27" s="173"/>
    </row>
    <row r="28" spans="1:4" x14ac:dyDescent="0.2">
      <c r="A28" s="43">
        <v>18.649999999999999</v>
      </c>
      <c r="B28" s="44">
        <v>480.84</v>
      </c>
      <c r="C28" s="42" t="s">
        <v>5</v>
      </c>
      <c r="D28" s="173"/>
    </row>
    <row r="29" spans="1:4" x14ac:dyDescent="0.2">
      <c r="A29" s="43">
        <v>18.649999999999999</v>
      </c>
      <c r="B29" s="44">
        <v>479.34</v>
      </c>
      <c r="C29" s="42"/>
      <c r="D29" s="173"/>
    </row>
    <row r="30" spans="1:4" x14ac:dyDescent="0.2">
      <c r="A30" s="43">
        <v>18.649999999999999</v>
      </c>
      <c r="B30" s="44">
        <v>480.02</v>
      </c>
      <c r="C30" s="42" t="s">
        <v>17</v>
      </c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26"/>
      <c r="D34" s="173"/>
    </row>
    <row r="35" spans="1:4" ht="20.100000000000001" customHeight="1" x14ac:dyDescent="0.2">
      <c r="A35" s="16">
        <v>15.2</v>
      </c>
      <c r="B35" s="46">
        <v>478.72</v>
      </c>
      <c r="C35" s="14" t="s">
        <v>10</v>
      </c>
      <c r="D35" s="174" t="s">
        <v>6</v>
      </c>
    </row>
    <row r="36" spans="1:4" ht="20.100000000000001" customHeight="1" thickBot="1" x14ac:dyDescent="0.25">
      <c r="A36" s="16">
        <v>6.9</v>
      </c>
      <c r="B36" s="46">
        <v>478.72</v>
      </c>
      <c r="C36" s="17" t="s">
        <v>9</v>
      </c>
      <c r="D36" s="174"/>
    </row>
    <row r="37" spans="1:4" ht="20.100000000000001" customHeight="1" thickBot="1" x14ac:dyDescent="0.25">
      <c r="A37" s="34">
        <v>12.5</v>
      </c>
      <c r="B37" s="35">
        <v>478.31</v>
      </c>
      <c r="C37" s="21" t="s">
        <v>8</v>
      </c>
      <c r="D37" s="174"/>
    </row>
    <row r="38" spans="1:4" ht="20.100000000000001" customHeight="1" thickBot="1" x14ac:dyDescent="0.25">
      <c r="A38" s="20">
        <v>12.5</v>
      </c>
      <c r="B38" s="36">
        <v>480.3</v>
      </c>
      <c r="C38" s="22" t="s">
        <v>8</v>
      </c>
      <c r="D38" s="174"/>
    </row>
    <row r="39" spans="1:4" ht="20.100000000000001" customHeight="1" x14ac:dyDescent="0.2">
      <c r="A39" s="15">
        <v>14.52</v>
      </c>
      <c r="B39" s="19">
        <v>479.30900000000003</v>
      </c>
      <c r="C39" s="23" t="s">
        <v>2</v>
      </c>
      <c r="D39" s="174"/>
    </row>
    <row r="40" spans="1:4" ht="20.100000000000001" customHeight="1" thickBot="1" x14ac:dyDescent="0.25">
      <c r="A40" s="28">
        <v>14.52</v>
      </c>
      <c r="B40" s="33">
        <v>480.85599999999999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480.05</v>
      </c>
      <c r="C41" s="9" t="s">
        <v>7</v>
      </c>
      <c r="D41" s="1"/>
    </row>
    <row r="42" spans="1:4" ht="13.5" thickBot="1" x14ac:dyDescent="0.25">
      <c r="A42" s="16">
        <v>20.6</v>
      </c>
      <c r="B42" s="46">
        <v>480.15300000000002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30">
        <v>0.4</v>
      </c>
      <c r="D43" s="1"/>
    </row>
    <row r="44" spans="1:4" ht="16.5" thickBot="1" x14ac:dyDescent="0.3">
      <c r="A44" s="10" t="s">
        <v>11</v>
      </c>
      <c r="B44" s="4"/>
      <c r="C44" s="18">
        <f>B37</f>
        <v>478.31</v>
      </c>
      <c r="D44" s="1"/>
    </row>
    <row r="45" spans="1:4" ht="20.25" customHeight="1" thickBot="1" x14ac:dyDescent="0.3">
      <c r="A45" s="10" t="s">
        <v>14</v>
      </c>
      <c r="C45" s="31">
        <f>B3</f>
        <v>480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T51"/>
  <sheetViews>
    <sheetView showGridLines="0" topLeftCell="A16" zoomScale="75" workbookViewId="0">
      <selection activeCell="B37" sqref="B37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480.322</v>
      </c>
      <c r="C3" s="39" t="s">
        <v>17</v>
      </c>
      <c r="D3" s="173"/>
    </row>
    <row r="4" spans="1:20" x14ac:dyDescent="0.2">
      <c r="A4" s="51">
        <v>0</v>
      </c>
      <c r="B4" s="52">
        <v>480.63</v>
      </c>
      <c r="C4" s="42" t="s">
        <v>4</v>
      </c>
      <c r="D4" s="173"/>
    </row>
    <row r="5" spans="1:20" x14ac:dyDescent="0.2">
      <c r="A5" s="43">
        <v>5</v>
      </c>
      <c r="B5" s="44">
        <v>480.17</v>
      </c>
      <c r="C5" s="50"/>
      <c r="D5" s="173"/>
    </row>
    <row r="6" spans="1:20" x14ac:dyDescent="0.2">
      <c r="A6" s="43">
        <v>10</v>
      </c>
      <c r="B6" s="44">
        <v>480.31</v>
      </c>
      <c r="C6" s="50"/>
      <c r="D6" s="173"/>
    </row>
    <row r="7" spans="1:20" x14ac:dyDescent="0.2">
      <c r="A7" s="43">
        <v>13</v>
      </c>
      <c r="B7" s="44">
        <v>479.44</v>
      </c>
      <c r="C7" s="42"/>
      <c r="D7" s="173"/>
    </row>
    <row r="8" spans="1:20" x14ac:dyDescent="0.2">
      <c r="A8" s="16">
        <v>15.6</v>
      </c>
      <c r="B8" s="46">
        <v>478.82</v>
      </c>
      <c r="C8" s="45" t="s">
        <v>9</v>
      </c>
      <c r="D8" s="173"/>
    </row>
    <row r="9" spans="1:20" x14ac:dyDescent="0.2">
      <c r="A9" s="43">
        <v>17.100000000000001</v>
      </c>
      <c r="B9" s="44">
        <v>478.72</v>
      </c>
      <c r="C9" s="50"/>
      <c r="D9" s="173"/>
    </row>
    <row r="10" spans="1:20" x14ac:dyDescent="0.2">
      <c r="A10" s="43">
        <v>17.600000000000001</v>
      </c>
      <c r="B10" s="44">
        <v>478.71</v>
      </c>
      <c r="C10" s="42"/>
      <c r="D10" s="173"/>
    </row>
    <row r="11" spans="1:20" x14ac:dyDescent="0.2">
      <c r="A11" s="43">
        <v>18.100000000000001</v>
      </c>
      <c r="B11" s="44">
        <v>478.67</v>
      </c>
      <c r="C11" s="45"/>
      <c r="D11" s="173"/>
    </row>
    <row r="12" spans="1:20" x14ac:dyDescent="0.2">
      <c r="A12" s="43">
        <v>18.600000000000001</v>
      </c>
      <c r="B12" s="44">
        <v>478.6</v>
      </c>
      <c r="C12" s="42"/>
      <c r="D12" s="173"/>
    </row>
    <row r="13" spans="1:20" x14ac:dyDescent="0.2">
      <c r="A13" s="43">
        <v>19.100000000000001</v>
      </c>
      <c r="B13" s="44">
        <v>478.5</v>
      </c>
      <c r="C13" s="42"/>
      <c r="D13" s="173"/>
    </row>
    <row r="14" spans="1:20" x14ac:dyDescent="0.2">
      <c r="A14" s="43">
        <v>19.600000000000001</v>
      </c>
      <c r="B14" s="44">
        <v>478.49</v>
      </c>
      <c r="C14" s="42"/>
      <c r="D14" s="173"/>
    </row>
    <row r="15" spans="1:20" x14ac:dyDescent="0.2">
      <c r="A15" s="43">
        <v>20.100000000000001</v>
      </c>
      <c r="B15" s="44">
        <v>478.52</v>
      </c>
      <c r="C15" s="42"/>
      <c r="D15" s="173"/>
    </row>
    <row r="16" spans="1:20" x14ac:dyDescent="0.2">
      <c r="A16" s="43">
        <v>20.6</v>
      </c>
      <c r="B16" s="44">
        <v>478.52</v>
      </c>
      <c r="C16" s="42"/>
      <c r="D16" s="173"/>
    </row>
    <row r="17" spans="1:4" x14ac:dyDescent="0.2">
      <c r="A17" s="43">
        <v>21.1</v>
      </c>
      <c r="B17" s="44">
        <v>478.51</v>
      </c>
      <c r="C17" s="42"/>
      <c r="D17" s="173"/>
    </row>
    <row r="18" spans="1:4" x14ac:dyDescent="0.2">
      <c r="A18" s="43">
        <v>21.6</v>
      </c>
      <c r="B18" s="44">
        <v>478.47</v>
      </c>
      <c r="C18" s="42"/>
      <c r="D18" s="173"/>
    </row>
    <row r="19" spans="1:4" x14ac:dyDescent="0.2">
      <c r="A19" s="16">
        <v>22.3</v>
      </c>
      <c r="B19" s="46">
        <v>478.82</v>
      </c>
      <c r="C19" s="55" t="s">
        <v>10</v>
      </c>
      <c r="D19" s="173"/>
    </row>
    <row r="20" spans="1:4" x14ac:dyDescent="0.2">
      <c r="A20" s="43">
        <v>24.4</v>
      </c>
      <c r="B20" s="44">
        <v>479.12</v>
      </c>
      <c r="C20" s="42"/>
      <c r="D20" s="173"/>
    </row>
    <row r="21" spans="1:4" x14ac:dyDescent="0.2">
      <c r="A21" s="43">
        <v>26.8</v>
      </c>
      <c r="B21" s="44">
        <v>479.47</v>
      </c>
      <c r="C21" s="42"/>
      <c r="D21" s="173"/>
    </row>
    <row r="22" spans="1:4" x14ac:dyDescent="0.2">
      <c r="A22" s="43">
        <v>29</v>
      </c>
      <c r="B22" s="44">
        <v>480.54</v>
      </c>
      <c r="C22" s="42" t="s">
        <v>5</v>
      </c>
      <c r="D22" s="173"/>
    </row>
    <row r="23" spans="1:4" x14ac:dyDescent="0.2">
      <c r="A23" s="43"/>
      <c r="B23" s="44"/>
      <c r="C23" s="42"/>
      <c r="D23" s="173"/>
    </row>
    <row r="24" spans="1:4" x14ac:dyDescent="0.2">
      <c r="A24" s="16"/>
      <c r="B24" s="46"/>
      <c r="C24" s="45"/>
      <c r="D24" s="173"/>
    </row>
    <row r="25" spans="1:4" x14ac:dyDescent="0.2">
      <c r="A25" s="43"/>
      <c r="B25" s="44"/>
      <c r="C25" s="42"/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26"/>
      <c r="D34" s="173"/>
    </row>
    <row r="35" spans="1:4" ht="20.100000000000001" customHeight="1" x14ac:dyDescent="0.2">
      <c r="A35" s="16">
        <v>15.6</v>
      </c>
      <c r="B35" s="46">
        <v>478.82</v>
      </c>
      <c r="C35" s="14" t="s">
        <v>9</v>
      </c>
      <c r="D35" s="174" t="s">
        <v>6</v>
      </c>
    </row>
    <row r="36" spans="1:4" ht="20.100000000000001" customHeight="1" thickBot="1" x14ac:dyDescent="0.25">
      <c r="A36" s="16">
        <v>22.3</v>
      </c>
      <c r="B36" s="46">
        <v>478.82</v>
      </c>
      <c r="C36" s="17" t="s">
        <v>10</v>
      </c>
      <c r="D36" s="174"/>
    </row>
    <row r="37" spans="1:4" ht="20.100000000000001" customHeight="1" thickBot="1" x14ac:dyDescent="0.25">
      <c r="A37" s="34">
        <v>15.7</v>
      </c>
      <c r="B37" s="35">
        <v>478.322</v>
      </c>
      <c r="C37" s="21" t="s">
        <v>8</v>
      </c>
      <c r="D37" s="174"/>
    </row>
    <row r="38" spans="1:4" ht="20.100000000000001" customHeight="1" thickBot="1" x14ac:dyDescent="0.25">
      <c r="A38" s="20">
        <v>15.7</v>
      </c>
      <c r="B38" s="36">
        <v>480.3</v>
      </c>
      <c r="C38" s="22" t="s">
        <v>8</v>
      </c>
      <c r="D38" s="174"/>
    </row>
    <row r="39" spans="1:4" ht="20.100000000000001" customHeight="1" x14ac:dyDescent="0.2">
      <c r="A39" s="15">
        <v>14.5</v>
      </c>
      <c r="B39" s="19">
        <v>479.30900000000003</v>
      </c>
      <c r="C39" s="23" t="s">
        <v>2</v>
      </c>
      <c r="D39" s="174"/>
    </row>
    <row r="40" spans="1:4" ht="20.100000000000001" customHeight="1" thickBot="1" x14ac:dyDescent="0.25">
      <c r="A40" s="28">
        <v>14.5</v>
      </c>
      <c r="B40" s="33">
        <v>480.85599999999999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480.05</v>
      </c>
      <c r="C41" s="9" t="s">
        <v>7</v>
      </c>
      <c r="D41" s="1"/>
    </row>
    <row r="42" spans="1:4" ht="13.5" thickBot="1" x14ac:dyDescent="0.25">
      <c r="A42" s="16">
        <v>29</v>
      </c>
      <c r="B42" s="46">
        <v>480.15300000000002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30">
        <v>0.52</v>
      </c>
      <c r="D43" s="1"/>
    </row>
    <row r="44" spans="1:4" ht="16.5" thickBot="1" x14ac:dyDescent="0.3">
      <c r="A44" s="10" t="s">
        <v>11</v>
      </c>
      <c r="B44" s="4"/>
      <c r="C44" s="18">
        <f>B37</f>
        <v>478.322</v>
      </c>
      <c r="D44" s="1"/>
    </row>
    <row r="45" spans="1:4" ht="20.25" customHeight="1" thickBot="1" x14ac:dyDescent="0.3">
      <c r="A45" s="10" t="s">
        <v>14</v>
      </c>
      <c r="C45" s="31">
        <f>B3</f>
        <v>480.322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T51"/>
  <sheetViews>
    <sheetView showGridLines="0" zoomScale="75" workbookViewId="0">
      <selection activeCell="A41" sqref="A41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</v>
      </c>
      <c r="C3" s="39" t="s">
        <v>17</v>
      </c>
      <c r="D3" s="173"/>
    </row>
    <row r="4" spans="1:20" x14ac:dyDescent="0.2">
      <c r="A4" s="51">
        <v>0</v>
      </c>
      <c r="B4" s="52">
        <v>480.15</v>
      </c>
      <c r="C4" s="42" t="s">
        <v>5</v>
      </c>
      <c r="D4" s="173"/>
    </row>
    <row r="5" spans="1:20" x14ac:dyDescent="0.2">
      <c r="A5" s="43">
        <v>0.9</v>
      </c>
      <c r="B5" s="44">
        <v>480.09</v>
      </c>
      <c r="C5" s="50"/>
      <c r="D5" s="173"/>
    </row>
    <row r="6" spans="1:20" x14ac:dyDescent="0.2">
      <c r="A6" s="43">
        <v>4.4000000000000004</v>
      </c>
      <c r="B6" s="44">
        <v>479.03</v>
      </c>
      <c r="C6" s="50"/>
      <c r="D6" s="173"/>
    </row>
    <row r="7" spans="1:20" x14ac:dyDescent="0.2">
      <c r="A7" s="16">
        <v>5.9</v>
      </c>
      <c r="B7" s="46">
        <v>478.93</v>
      </c>
      <c r="C7" s="55" t="s">
        <v>10</v>
      </c>
      <c r="D7" s="173"/>
    </row>
    <row r="8" spans="1:20" x14ac:dyDescent="0.2">
      <c r="A8" s="43">
        <v>6.4</v>
      </c>
      <c r="B8" s="44">
        <v>478.68</v>
      </c>
      <c r="C8" s="45"/>
      <c r="D8" s="173"/>
    </row>
    <row r="9" spans="1:20" x14ac:dyDescent="0.2">
      <c r="A9" s="43">
        <v>6.9</v>
      </c>
      <c r="B9" s="44">
        <v>478.6</v>
      </c>
      <c r="C9" s="50"/>
      <c r="D9" s="173"/>
    </row>
    <row r="10" spans="1:20" x14ac:dyDescent="0.2">
      <c r="A10" s="43">
        <v>7.4</v>
      </c>
      <c r="B10" s="44">
        <v>478.63</v>
      </c>
      <c r="C10" s="42"/>
      <c r="D10" s="173"/>
    </row>
    <row r="11" spans="1:20" x14ac:dyDescent="0.2">
      <c r="A11" s="43">
        <v>7.9</v>
      </c>
      <c r="B11" s="44">
        <v>478.56</v>
      </c>
      <c r="C11" s="45"/>
      <c r="D11" s="173"/>
    </row>
    <row r="12" spans="1:20" x14ac:dyDescent="0.2">
      <c r="A12" s="43">
        <v>8.4</v>
      </c>
      <c r="B12" s="44">
        <v>478.58</v>
      </c>
      <c r="C12" s="42"/>
      <c r="D12" s="173"/>
    </row>
    <row r="13" spans="1:20" x14ac:dyDescent="0.2">
      <c r="A13" s="43">
        <v>8.9</v>
      </c>
      <c r="B13" s="44">
        <v>478.63</v>
      </c>
      <c r="C13" s="42"/>
      <c r="D13" s="173"/>
    </row>
    <row r="14" spans="1:20" x14ac:dyDescent="0.2">
      <c r="A14" s="43">
        <v>9.4</v>
      </c>
      <c r="B14" s="44">
        <v>478.68</v>
      </c>
      <c r="C14" s="42"/>
      <c r="D14" s="173"/>
    </row>
    <row r="15" spans="1:20" x14ac:dyDescent="0.2">
      <c r="A15" s="43">
        <v>9.9</v>
      </c>
      <c r="B15" s="44">
        <v>478.61</v>
      </c>
      <c r="C15" s="42"/>
      <c r="D15" s="173"/>
    </row>
    <row r="16" spans="1:20" x14ac:dyDescent="0.2">
      <c r="A16" s="43">
        <v>10.4</v>
      </c>
      <c r="B16" s="44">
        <v>478.66</v>
      </c>
      <c r="C16" s="42"/>
      <c r="D16" s="173"/>
    </row>
    <row r="17" spans="1:4" x14ac:dyDescent="0.2">
      <c r="A17" s="43">
        <v>10.9</v>
      </c>
      <c r="B17" s="44">
        <v>478.73</v>
      </c>
      <c r="C17" s="42"/>
      <c r="D17" s="173"/>
    </row>
    <row r="18" spans="1:4" x14ac:dyDescent="0.2">
      <c r="A18" s="43">
        <v>11.4</v>
      </c>
      <c r="B18" s="44">
        <v>478.86</v>
      </c>
      <c r="C18" s="42"/>
      <c r="D18" s="173"/>
    </row>
    <row r="19" spans="1:4" x14ac:dyDescent="0.2">
      <c r="A19" s="16">
        <v>12</v>
      </c>
      <c r="B19" s="46">
        <v>478.93</v>
      </c>
      <c r="C19" s="55" t="s">
        <v>9</v>
      </c>
      <c r="D19" s="173"/>
    </row>
    <row r="20" spans="1:4" x14ac:dyDescent="0.2">
      <c r="A20" s="43">
        <v>14</v>
      </c>
      <c r="B20" s="44">
        <v>478.93</v>
      </c>
      <c r="C20" s="42"/>
      <c r="D20" s="173"/>
    </row>
    <row r="21" spans="1:4" x14ac:dyDescent="0.2">
      <c r="A21" s="43">
        <v>16.5</v>
      </c>
      <c r="B21" s="44">
        <v>477.91</v>
      </c>
      <c r="C21" s="42" t="s">
        <v>4</v>
      </c>
      <c r="D21" s="173"/>
    </row>
    <row r="22" spans="1:4" x14ac:dyDescent="0.2">
      <c r="A22" s="43"/>
      <c r="B22" s="44"/>
      <c r="C22" s="42"/>
      <c r="D22" s="173"/>
    </row>
    <row r="23" spans="1:4" x14ac:dyDescent="0.2">
      <c r="A23" s="43"/>
      <c r="B23" s="44"/>
      <c r="C23" s="42"/>
      <c r="D23" s="173"/>
    </row>
    <row r="24" spans="1:4" x14ac:dyDescent="0.2">
      <c r="A24" s="16"/>
      <c r="B24" s="46"/>
      <c r="C24" s="45"/>
      <c r="D24" s="173"/>
    </row>
    <row r="25" spans="1:4" x14ac:dyDescent="0.2">
      <c r="A25" s="43"/>
      <c r="B25" s="44"/>
      <c r="C25" s="42"/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26"/>
      <c r="D34" s="173"/>
    </row>
    <row r="35" spans="1:4" ht="20.100000000000001" customHeight="1" x14ac:dyDescent="0.2">
      <c r="A35" s="16">
        <v>5.9</v>
      </c>
      <c r="B35" s="46">
        <v>478.93</v>
      </c>
      <c r="C35" s="14" t="s">
        <v>10</v>
      </c>
      <c r="D35" s="174" t="s">
        <v>6</v>
      </c>
    </row>
    <row r="36" spans="1:4" ht="20.100000000000001" customHeight="1" thickBot="1" x14ac:dyDescent="0.25">
      <c r="A36" s="16">
        <v>12</v>
      </c>
      <c r="B36" s="46">
        <v>478.93</v>
      </c>
      <c r="C36" s="17" t="s">
        <v>9</v>
      </c>
      <c r="D36" s="174"/>
    </row>
    <row r="37" spans="1:4" ht="20.100000000000001" customHeight="1" thickBot="1" x14ac:dyDescent="0.25">
      <c r="A37" s="34">
        <v>11.9</v>
      </c>
      <c r="B37" s="35">
        <v>478.33</v>
      </c>
      <c r="C37" s="21" t="s">
        <v>8</v>
      </c>
      <c r="D37" s="174"/>
    </row>
    <row r="38" spans="1:4" ht="20.100000000000001" customHeight="1" thickBot="1" x14ac:dyDescent="0.25">
      <c r="A38" s="20">
        <v>11.9</v>
      </c>
      <c r="B38" s="36">
        <v>479.33</v>
      </c>
      <c r="C38" s="22" t="s">
        <v>8</v>
      </c>
      <c r="D38" s="174"/>
    </row>
    <row r="39" spans="1:4" ht="20.100000000000001" customHeight="1" x14ac:dyDescent="0.2">
      <c r="A39" s="15">
        <v>12.2</v>
      </c>
      <c r="B39" s="19">
        <v>479.33</v>
      </c>
      <c r="C39" s="23" t="s">
        <v>2</v>
      </c>
      <c r="D39" s="174"/>
    </row>
    <row r="40" spans="1:4" ht="20.100000000000001" customHeight="1" thickBot="1" x14ac:dyDescent="0.25">
      <c r="A40" s="28">
        <v>12.2</v>
      </c>
      <c r="B40" s="33">
        <v>480.85599999999999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480.05</v>
      </c>
      <c r="C41" s="9" t="s">
        <v>7</v>
      </c>
      <c r="D41" s="1"/>
    </row>
    <row r="42" spans="1:4" ht="13.5" thickBot="1" x14ac:dyDescent="0.25">
      <c r="A42" s="16">
        <v>29</v>
      </c>
      <c r="B42" s="46">
        <v>480.15300000000002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30">
        <v>0.64</v>
      </c>
      <c r="D43" s="1"/>
    </row>
    <row r="44" spans="1:4" ht="16.5" thickBot="1" x14ac:dyDescent="0.3">
      <c r="A44" s="10" t="s">
        <v>11</v>
      </c>
      <c r="B44" s="4"/>
      <c r="C44" s="18">
        <f>B37</f>
        <v>478.33</v>
      </c>
      <c r="D44" s="1"/>
    </row>
    <row r="45" spans="1:4" ht="20.25" customHeight="1" thickBot="1" x14ac:dyDescent="0.3">
      <c r="A45" s="10" t="s">
        <v>14</v>
      </c>
      <c r="C45" s="31">
        <f>B3</f>
        <v>480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T51"/>
  <sheetViews>
    <sheetView showGridLines="0" zoomScale="75" workbookViewId="0">
      <selection activeCell="W34" sqref="W3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480.02</v>
      </c>
      <c r="C3" s="39" t="s">
        <v>17</v>
      </c>
      <c r="D3" s="173"/>
    </row>
    <row r="4" spans="1:20" x14ac:dyDescent="0.2">
      <c r="A4" s="51">
        <v>0</v>
      </c>
      <c r="B4" s="52">
        <v>480.28</v>
      </c>
      <c r="C4" s="42" t="s">
        <v>4</v>
      </c>
      <c r="D4" s="173"/>
    </row>
    <row r="5" spans="1:20" x14ac:dyDescent="0.2">
      <c r="A5" s="43">
        <v>9</v>
      </c>
      <c r="B5" s="44">
        <v>480.2</v>
      </c>
      <c r="C5" s="50"/>
      <c r="D5" s="173"/>
    </row>
    <row r="6" spans="1:20" x14ac:dyDescent="0.2">
      <c r="A6" s="43">
        <v>12</v>
      </c>
      <c r="B6" s="44">
        <v>480.06</v>
      </c>
      <c r="C6" s="50"/>
      <c r="D6" s="173"/>
    </row>
    <row r="7" spans="1:20" x14ac:dyDescent="0.2">
      <c r="A7" s="43">
        <v>14</v>
      </c>
      <c r="B7" s="44">
        <v>478.92</v>
      </c>
      <c r="C7" s="55"/>
      <c r="D7" s="173"/>
    </row>
    <row r="8" spans="1:20" x14ac:dyDescent="0.2">
      <c r="A8" s="16">
        <v>15.5</v>
      </c>
      <c r="B8" s="46">
        <v>478.8</v>
      </c>
      <c r="C8" s="45" t="s">
        <v>9</v>
      </c>
      <c r="D8" s="173"/>
    </row>
    <row r="9" spans="1:20" x14ac:dyDescent="0.2">
      <c r="A9" s="43">
        <v>15.5</v>
      </c>
      <c r="B9" s="44">
        <v>478.8</v>
      </c>
      <c r="C9" s="50"/>
      <c r="D9" s="173"/>
    </row>
    <row r="10" spans="1:20" x14ac:dyDescent="0.2">
      <c r="A10" s="43">
        <v>16.5</v>
      </c>
      <c r="B10" s="44">
        <v>478.75</v>
      </c>
      <c r="C10" s="42"/>
      <c r="D10" s="173"/>
    </row>
    <row r="11" spans="1:20" x14ac:dyDescent="0.2">
      <c r="A11" s="43">
        <v>17.5</v>
      </c>
      <c r="B11" s="44">
        <v>478.75</v>
      </c>
      <c r="C11" s="45"/>
      <c r="D11" s="173"/>
    </row>
    <row r="12" spans="1:20" x14ac:dyDescent="0.2">
      <c r="A12" s="43">
        <v>18.5</v>
      </c>
      <c r="B12" s="44">
        <v>478.7</v>
      </c>
      <c r="C12" s="42"/>
      <c r="D12" s="173"/>
    </row>
    <row r="13" spans="1:20" x14ac:dyDescent="0.2">
      <c r="A13" s="43">
        <v>19</v>
      </c>
      <c r="B13" s="44">
        <v>478.73</v>
      </c>
      <c r="C13" s="42"/>
      <c r="D13" s="173"/>
    </row>
    <row r="14" spans="1:20" x14ac:dyDescent="0.2">
      <c r="A14" s="43">
        <v>19.5</v>
      </c>
      <c r="B14" s="44">
        <v>478.57</v>
      </c>
      <c r="C14" s="42"/>
      <c r="D14" s="173"/>
    </row>
    <row r="15" spans="1:20" x14ac:dyDescent="0.2">
      <c r="A15" s="43">
        <v>20</v>
      </c>
      <c r="B15" s="44">
        <v>478.58</v>
      </c>
      <c r="C15" s="42"/>
      <c r="D15" s="173"/>
    </row>
    <row r="16" spans="1:20" x14ac:dyDescent="0.2">
      <c r="A16" s="43">
        <v>20.5</v>
      </c>
      <c r="B16" s="44">
        <v>478.49</v>
      </c>
      <c r="C16" s="42"/>
      <c r="D16" s="173"/>
    </row>
    <row r="17" spans="1:4" x14ac:dyDescent="0.2">
      <c r="A17" s="43">
        <v>21</v>
      </c>
      <c r="B17" s="44">
        <v>478.36</v>
      </c>
      <c r="C17" s="42"/>
      <c r="D17" s="173"/>
    </row>
    <row r="18" spans="1:4" x14ac:dyDescent="0.2">
      <c r="A18" s="43">
        <v>21.5</v>
      </c>
      <c r="B18" s="44">
        <v>478.39</v>
      </c>
      <c r="C18" s="42"/>
      <c r="D18" s="173"/>
    </row>
    <row r="19" spans="1:4" x14ac:dyDescent="0.2">
      <c r="A19" s="43">
        <v>22</v>
      </c>
      <c r="B19" s="44">
        <v>478.29</v>
      </c>
      <c r="C19" s="55"/>
      <c r="D19" s="173"/>
    </row>
    <row r="20" spans="1:4" x14ac:dyDescent="0.2">
      <c r="A20" s="43">
        <v>22.5</v>
      </c>
      <c r="B20" s="44">
        <v>478.6</v>
      </c>
      <c r="C20" s="42"/>
      <c r="D20" s="173"/>
    </row>
    <row r="21" spans="1:4" x14ac:dyDescent="0.2">
      <c r="A21" s="43">
        <v>23</v>
      </c>
      <c r="B21" s="44">
        <v>478.68</v>
      </c>
      <c r="C21" s="42"/>
      <c r="D21" s="173"/>
    </row>
    <row r="22" spans="1:4" x14ac:dyDescent="0.2">
      <c r="A22" s="16">
        <v>23.6</v>
      </c>
      <c r="B22" s="46">
        <v>478.8</v>
      </c>
      <c r="C22" s="55" t="s">
        <v>10</v>
      </c>
      <c r="D22" s="173"/>
    </row>
    <row r="23" spans="1:4" x14ac:dyDescent="0.2">
      <c r="A23" s="43">
        <v>25.3</v>
      </c>
      <c r="B23" s="44">
        <v>479.02</v>
      </c>
      <c r="C23" s="42"/>
      <c r="D23" s="173"/>
    </row>
    <row r="24" spans="1:4" x14ac:dyDescent="0.2">
      <c r="A24" s="43">
        <v>26.7</v>
      </c>
      <c r="B24" s="44">
        <v>479.91</v>
      </c>
      <c r="C24" s="45"/>
      <c r="D24" s="173"/>
    </row>
    <row r="25" spans="1:4" x14ac:dyDescent="0.2">
      <c r="A25" s="43">
        <v>27.5</v>
      </c>
      <c r="B25" s="44">
        <v>480.84</v>
      </c>
      <c r="C25" s="42" t="s">
        <v>5</v>
      </c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26"/>
      <c r="D34" s="173"/>
    </row>
    <row r="35" spans="1:4" ht="20.100000000000001" customHeight="1" x14ac:dyDescent="0.2">
      <c r="A35" s="16">
        <v>15.5</v>
      </c>
      <c r="B35" s="46">
        <v>478.8</v>
      </c>
      <c r="C35" s="14" t="s">
        <v>10</v>
      </c>
      <c r="D35" s="174" t="s">
        <v>6</v>
      </c>
    </row>
    <row r="36" spans="1:4" ht="20.100000000000001" customHeight="1" thickBot="1" x14ac:dyDescent="0.25">
      <c r="A36" s="16">
        <v>23.6</v>
      </c>
      <c r="B36" s="46">
        <v>478.8</v>
      </c>
      <c r="C36" s="17" t="s">
        <v>9</v>
      </c>
      <c r="D36" s="174"/>
    </row>
    <row r="37" spans="1:4" ht="20.100000000000001" customHeight="1" thickBot="1" x14ac:dyDescent="0.25">
      <c r="A37" s="34">
        <v>15.5</v>
      </c>
      <c r="B37" s="35">
        <v>478.32400000000001</v>
      </c>
      <c r="C37" s="21" t="s">
        <v>8</v>
      </c>
      <c r="D37" s="174"/>
    </row>
    <row r="38" spans="1:4" ht="20.100000000000001" customHeight="1" thickBot="1" x14ac:dyDescent="0.25">
      <c r="A38" s="20">
        <v>15.5</v>
      </c>
      <c r="B38" s="36">
        <v>479.32400000000001</v>
      </c>
      <c r="C38" s="22" t="s">
        <v>8</v>
      </c>
      <c r="D38" s="174"/>
    </row>
    <row r="39" spans="1:4" ht="20.100000000000001" customHeight="1" x14ac:dyDescent="0.2">
      <c r="A39" s="15">
        <v>14</v>
      </c>
      <c r="B39" s="19">
        <v>479.32499999999999</v>
      </c>
      <c r="C39" s="23" t="s">
        <v>2</v>
      </c>
      <c r="D39" s="174"/>
    </row>
    <row r="40" spans="1:4" ht="20.100000000000001" customHeight="1" thickBot="1" x14ac:dyDescent="0.25">
      <c r="A40" s="28">
        <v>14</v>
      </c>
      <c r="B40" s="33">
        <v>480.82499999999999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480.28</v>
      </c>
      <c r="C41" s="9" t="s">
        <v>7</v>
      </c>
      <c r="D41" s="1"/>
    </row>
    <row r="42" spans="1:4" ht="13.5" thickBot="1" x14ac:dyDescent="0.25">
      <c r="A42" s="16">
        <v>27.5</v>
      </c>
      <c r="B42" s="46">
        <v>480.84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30">
        <v>0.54</v>
      </c>
      <c r="D43" s="1"/>
    </row>
    <row r="44" spans="1:4" ht="16.5" thickBot="1" x14ac:dyDescent="0.3">
      <c r="A44" s="10" t="s">
        <v>11</v>
      </c>
      <c r="B44" s="4"/>
      <c r="C44" s="18">
        <f>B37</f>
        <v>478.32400000000001</v>
      </c>
      <c r="D44" s="1"/>
    </row>
    <row r="45" spans="1:4" ht="20.25" customHeight="1" thickBot="1" x14ac:dyDescent="0.3">
      <c r="A45" s="10" t="s">
        <v>14</v>
      </c>
      <c r="C45" s="31">
        <f>B3</f>
        <v>480.02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T51"/>
  <sheetViews>
    <sheetView showGridLines="0" zoomScale="75" workbookViewId="0">
      <selection activeCell="A23" sqref="A2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57">
        <v>480.32799999999997</v>
      </c>
      <c r="C3" s="39" t="s">
        <v>17</v>
      </c>
      <c r="D3" s="173"/>
    </row>
    <row r="4" spans="1:20" x14ac:dyDescent="0.2">
      <c r="A4" s="51">
        <v>0</v>
      </c>
      <c r="B4" s="52">
        <v>481.12</v>
      </c>
      <c r="C4" s="42" t="s">
        <v>4</v>
      </c>
      <c r="D4" s="173"/>
    </row>
    <row r="5" spans="1:20" x14ac:dyDescent="0.2">
      <c r="A5" s="43">
        <v>0</v>
      </c>
      <c r="B5" s="44">
        <v>480.54</v>
      </c>
      <c r="C5" s="50"/>
      <c r="D5" s="173"/>
    </row>
    <row r="6" spans="1:20" x14ac:dyDescent="0.2">
      <c r="A6" s="43">
        <v>5</v>
      </c>
      <c r="B6" s="44">
        <v>480.48</v>
      </c>
      <c r="C6" s="50"/>
      <c r="D6" s="173"/>
    </row>
    <row r="7" spans="1:20" x14ac:dyDescent="0.2">
      <c r="A7" s="43">
        <v>10</v>
      </c>
      <c r="B7" s="44">
        <v>480.96</v>
      </c>
      <c r="C7" s="55"/>
      <c r="D7" s="173"/>
    </row>
    <row r="8" spans="1:20" x14ac:dyDescent="0.2">
      <c r="A8" s="43">
        <v>13</v>
      </c>
      <c r="B8" s="44">
        <v>480.14</v>
      </c>
      <c r="C8" s="45"/>
      <c r="D8" s="173"/>
    </row>
    <row r="9" spans="1:20" x14ac:dyDescent="0.2">
      <c r="A9" s="43">
        <v>13</v>
      </c>
      <c r="B9" s="44">
        <v>478.94</v>
      </c>
      <c r="C9" s="50"/>
      <c r="D9" s="173"/>
    </row>
    <row r="10" spans="1:20" x14ac:dyDescent="0.2">
      <c r="A10" s="16">
        <v>18</v>
      </c>
      <c r="B10" s="46">
        <v>478.78</v>
      </c>
      <c r="C10" s="60" t="s">
        <v>9</v>
      </c>
      <c r="D10" s="173"/>
    </row>
    <row r="11" spans="1:20" x14ac:dyDescent="0.2">
      <c r="A11" s="43">
        <v>18.7</v>
      </c>
      <c r="B11" s="44">
        <v>478.66</v>
      </c>
      <c r="C11" s="45"/>
      <c r="D11" s="173"/>
    </row>
    <row r="12" spans="1:20" x14ac:dyDescent="0.2">
      <c r="A12" s="43">
        <v>19.100000000000001</v>
      </c>
      <c r="B12" s="44">
        <v>478.58</v>
      </c>
      <c r="C12" s="42"/>
      <c r="D12" s="173"/>
    </row>
    <row r="13" spans="1:20" x14ac:dyDescent="0.2">
      <c r="A13" s="43">
        <v>19.5</v>
      </c>
      <c r="B13" s="44">
        <v>478.54</v>
      </c>
      <c r="C13" s="42"/>
      <c r="D13" s="173"/>
    </row>
    <row r="14" spans="1:20" x14ac:dyDescent="0.2">
      <c r="A14" s="43">
        <v>19.899999999999999</v>
      </c>
      <c r="B14" s="44">
        <v>478.5</v>
      </c>
      <c r="C14" s="42"/>
      <c r="D14" s="173"/>
    </row>
    <row r="15" spans="1:20" x14ac:dyDescent="0.2">
      <c r="A15" s="43">
        <v>20.3</v>
      </c>
      <c r="B15" s="44">
        <v>478.48</v>
      </c>
      <c r="C15" s="42"/>
      <c r="D15" s="173"/>
    </row>
    <row r="16" spans="1:20" x14ac:dyDescent="0.2">
      <c r="A16" s="43">
        <v>20.7</v>
      </c>
      <c r="B16" s="44">
        <v>478.43</v>
      </c>
      <c r="C16" s="42"/>
      <c r="D16" s="173"/>
    </row>
    <row r="17" spans="1:4" x14ac:dyDescent="0.2">
      <c r="A17" s="43">
        <v>21.1</v>
      </c>
      <c r="B17" s="44">
        <v>478.45</v>
      </c>
      <c r="C17" s="42"/>
      <c r="D17" s="173"/>
    </row>
    <row r="18" spans="1:4" x14ac:dyDescent="0.2">
      <c r="A18" s="43">
        <v>21.5</v>
      </c>
      <c r="B18" s="44">
        <v>478.5</v>
      </c>
      <c r="C18" s="42"/>
      <c r="D18" s="173"/>
    </row>
    <row r="19" spans="1:4" x14ac:dyDescent="0.2">
      <c r="A19" s="16">
        <v>22.1</v>
      </c>
      <c r="B19" s="46">
        <v>478.78</v>
      </c>
      <c r="C19" s="60" t="s">
        <v>10</v>
      </c>
      <c r="D19" s="173"/>
    </row>
    <row r="20" spans="1:4" x14ac:dyDescent="0.2">
      <c r="A20" s="43">
        <v>23.8</v>
      </c>
      <c r="B20" s="44">
        <v>479.23</v>
      </c>
      <c r="C20" s="42"/>
      <c r="D20" s="173"/>
    </row>
    <row r="21" spans="1:4" x14ac:dyDescent="0.2">
      <c r="A21" s="43">
        <v>24.1</v>
      </c>
      <c r="B21" s="44">
        <v>480.13</v>
      </c>
      <c r="C21" s="42"/>
      <c r="D21" s="173"/>
    </row>
    <row r="22" spans="1:4" x14ac:dyDescent="0.2">
      <c r="A22" s="43">
        <v>25.3</v>
      </c>
      <c r="B22" s="44">
        <v>480.81</v>
      </c>
      <c r="C22" s="58"/>
      <c r="D22" s="173"/>
    </row>
    <row r="23" spans="1:4" x14ac:dyDescent="0.2">
      <c r="A23" s="16">
        <v>25.7</v>
      </c>
      <c r="B23" s="46">
        <v>481.12</v>
      </c>
      <c r="C23" s="42" t="s">
        <v>5</v>
      </c>
      <c r="D23" s="173"/>
    </row>
    <row r="24" spans="1:4" x14ac:dyDescent="0.2">
      <c r="A24" s="43"/>
      <c r="B24" s="44"/>
      <c r="C24" s="45"/>
      <c r="D24" s="173"/>
    </row>
    <row r="25" spans="1:4" x14ac:dyDescent="0.2">
      <c r="A25" s="43"/>
      <c r="B25" s="44"/>
      <c r="C25" s="58"/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18</v>
      </c>
      <c r="B35" s="46">
        <v>478.78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22.1</v>
      </c>
      <c r="B36" s="46">
        <v>478.78</v>
      </c>
      <c r="C36" s="61" t="s">
        <v>10</v>
      </c>
      <c r="D36" s="174"/>
    </row>
    <row r="37" spans="1:4" ht="20.100000000000001" customHeight="1" thickBot="1" x14ac:dyDescent="0.25">
      <c r="A37" s="34">
        <v>15.5</v>
      </c>
      <c r="B37" s="35">
        <v>478.32799999999997</v>
      </c>
      <c r="C37" s="21" t="s">
        <v>8</v>
      </c>
      <c r="D37" s="174"/>
    </row>
    <row r="38" spans="1:4" ht="20.100000000000001" customHeight="1" thickBot="1" x14ac:dyDescent="0.25">
      <c r="A38" s="20">
        <v>15.5</v>
      </c>
      <c r="B38" s="36">
        <v>479.32799999999997</v>
      </c>
      <c r="C38" s="22" t="s">
        <v>8</v>
      </c>
      <c r="D38" s="174"/>
    </row>
    <row r="39" spans="1:4" ht="20.100000000000001" customHeight="1" x14ac:dyDescent="0.2">
      <c r="A39" s="15">
        <v>14</v>
      </c>
      <c r="B39" s="19">
        <v>479.33600000000001</v>
      </c>
      <c r="C39" s="23" t="s">
        <v>2</v>
      </c>
      <c r="D39" s="174"/>
    </row>
    <row r="40" spans="1:4" ht="20.100000000000001" customHeight="1" thickBot="1" x14ac:dyDescent="0.25">
      <c r="A40" s="28">
        <v>14</v>
      </c>
      <c r="B40" s="33">
        <v>480.83600000000001</v>
      </c>
      <c r="C40" s="8" t="s">
        <v>2</v>
      </c>
      <c r="D40" s="174"/>
    </row>
    <row r="41" spans="1:4" ht="13.5" thickBot="1" x14ac:dyDescent="0.25">
      <c r="A41" s="51">
        <v>0</v>
      </c>
      <c r="B41" s="52">
        <v>481.12</v>
      </c>
      <c r="C41" s="9" t="s">
        <v>7</v>
      </c>
      <c r="D41" s="1"/>
    </row>
    <row r="42" spans="1:4" ht="13.5" thickBot="1" x14ac:dyDescent="0.25">
      <c r="A42" s="16">
        <v>25.7</v>
      </c>
      <c r="B42" s="46">
        <v>481.12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0.47</v>
      </c>
      <c r="D43" s="1"/>
    </row>
    <row r="44" spans="1:4" ht="16.5" thickBot="1" x14ac:dyDescent="0.3">
      <c r="A44" s="10" t="s">
        <v>11</v>
      </c>
      <c r="B44" s="4"/>
      <c r="C44" s="18">
        <f>B37</f>
        <v>478.32799999999997</v>
      </c>
      <c r="D44" s="1"/>
    </row>
    <row r="45" spans="1:4" ht="20.25" customHeight="1" thickBot="1" x14ac:dyDescent="0.3">
      <c r="A45" s="10" t="s">
        <v>14</v>
      </c>
      <c r="C45" s="31">
        <f>B3</f>
        <v>480.32799999999997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T51"/>
  <sheetViews>
    <sheetView showGridLines="0" topLeftCell="A7" zoomScale="75" workbookViewId="0">
      <selection activeCell="A38" sqref="A3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57">
        <v>480.17599999999999</v>
      </c>
      <c r="C3" s="39" t="s">
        <v>17</v>
      </c>
      <c r="D3" s="173"/>
    </row>
    <row r="4" spans="1:20" x14ac:dyDescent="0.2">
      <c r="A4" s="51">
        <v>0</v>
      </c>
      <c r="B4" s="52">
        <v>480.33</v>
      </c>
      <c r="C4" s="42" t="s">
        <v>4</v>
      </c>
      <c r="D4" s="173"/>
    </row>
    <row r="5" spans="1:20" x14ac:dyDescent="0.2">
      <c r="A5" s="43">
        <v>0.5</v>
      </c>
      <c r="B5" s="44">
        <v>480.27</v>
      </c>
      <c r="C5" s="50"/>
      <c r="D5" s="173"/>
    </row>
    <row r="6" spans="1:20" x14ac:dyDescent="0.2">
      <c r="A6" s="43">
        <v>1</v>
      </c>
      <c r="B6" s="44">
        <v>479.55</v>
      </c>
      <c r="C6" s="50"/>
      <c r="D6" s="173"/>
    </row>
    <row r="7" spans="1:20" x14ac:dyDescent="0.2">
      <c r="A7" s="43">
        <v>2.5</v>
      </c>
      <c r="B7" s="44">
        <v>478.99</v>
      </c>
      <c r="C7" s="55"/>
      <c r="D7" s="173"/>
    </row>
    <row r="8" spans="1:20" x14ac:dyDescent="0.2">
      <c r="A8" s="16">
        <v>3.8</v>
      </c>
      <c r="B8" s="46">
        <v>478.86</v>
      </c>
      <c r="C8" s="45" t="s">
        <v>9</v>
      </c>
      <c r="D8" s="173"/>
    </row>
    <row r="9" spans="1:20" x14ac:dyDescent="0.2">
      <c r="A9" s="43">
        <v>4.3</v>
      </c>
      <c r="B9" s="44">
        <v>478.76</v>
      </c>
      <c r="C9" s="50"/>
      <c r="D9" s="173"/>
    </row>
    <row r="10" spans="1:20" x14ac:dyDescent="0.2">
      <c r="A10" s="43">
        <v>5.3</v>
      </c>
      <c r="B10" s="44">
        <v>478.76</v>
      </c>
      <c r="C10" s="60"/>
      <c r="D10" s="173"/>
    </row>
    <row r="11" spans="1:20" x14ac:dyDescent="0.2">
      <c r="A11" s="43">
        <v>6.3</v>
      </c>
      <c r="B11" s="44">
        <v>478.74</v>
      </c>
      <c r="C11" s="45"/>
      <c r="D11" s="173"/>
    </row>
    <row r="12" spans="1:20" x14ac:dyDescent="0.2">
      <c r="A12" s="43">
        <v>6.8</v>
      </c>
      <c r="B12" s="44">
        <v>478.66</v>
      </c>
      <c r="C12" s="42"/>
      <c r="D12" s="173"/>
    </row>
    <row r="13" spans="1:20" x14ac:dyDescent="0.2">
      <c r="A13" s="43">
        <v>7.3</v>
      </c>
      <c r="B13" s="44">
        <v>478.63</v>
      </c>
      <c r="C13" s="42"/>
      <c r="D13" s="173"/>
    </row>
    <row r="14" spans="1:20" x14ac:dyDescent="0.2">
      <c r="A14" s="43">
        <v>7.8</v>
      </c>
      <c r="B14" s="44">
        <v>478.56</v>
      </c>
      <c r="C14" s="42"/>
      <c r="D14" s="173"/>
    </row>
    <row r="15" spans="1:20" x14ac:dyDescent="0.2">
      <c r="A15" s="43">
        <v>8.3000000000000007</v>
      </c>
      <c r="B15" s="44">
        <v>478.58</v>
      </c>
      <c r="C15" s="42"/>
      <c r="D15" s="173"/>
    </row>
    <row r="16" spans="1:20" x14ac:dyDescent="0.2">
      <c r="A16" s="43">
        <v>8.8000000000000007</v>
      </c>
      <c r="B16" s="44">
        <v>478.58</v>
      </c>
      <c r="C16" s="42"/>
      <c r="D16" s="173"/>
    </row>
    <row r="17" spans="1:4" x14ac:dyDescent="0.2">
      <c r="A17" s="43">
        <v>9.3000000000000007</v>
      </c>
      <c r="B17" s="44">
        <v>478.59</v>
      </c>
      <c r="C17" s="42"/>
      <c r="D17" s="173"/>
    </row>
    <row r="18" spans="1:4" x14ac:dyDescent="0.2">
      <c r="A18" s="43">
        <v>9.8000000000000007</v>
      </c>
      <c r="B18" s="44">
        <v>478.66</v>
      </c>
      <c r="C18" s="42"/>
      <c r="D18" s="173"/>
    </row>
    <row r="19" spans="1:4" x14ac:dyDescent="0.2">
      <c r="A19" s="43">
        <v>10.3</v>
      </c>
      <c r="B19" s="44">
        <v>478.7</v>
      </c>
      <c r="C19" s="60"/>
      <c r="D19" s="173"/>
    </row>
    <row r="20" spans="1:4" x14ac:dyDescent="0.2">
      <c r="A20" s="16">
        <v>10.8</v>
      </c>
      <c r="B20" s="46">
        <v>478.86</v>
      </c>
      <c r="C20" s="42" t="s">
        <v>10</v>
      </c>
      <c r="D20" s="173"/>
    </row>
    <row r="21" spans="1:4" x14ac:dyDescent="0.2">
      <c r="A21" s="43">
        <v>12</v>
      </c>
      <c r="B21" s="44">
        <v>479.13</v>
      </c>
      <c r="C21" s="42"/>
      <c r="D21" s="173"/>
    </row>
    <row r="22" spans="1:4" x14ac:dyDescent="0.2">
      <c r="A22" s="43">
        <v>14.8</v>
      </c>
      <c r="B22" s="44">
        <v>480.23</v>
      </c>
      <c r="C22" s="64" t="s">
        <v>5</v>
      </c>
      <c r="D22" s="173"/>
    </row>
    <row r="23" spans="1:4" x14ac:dyDescent="0.2">
      <c r="A23" s="43">
        <v>14.8</v>
      </c>
      <c r="B23" s="44">
        <v>479.32</v>
      </c>
      <c r="C23" s="63" t="s">
        <v>24</v>
      </c>
      <c r="D23" s="173"/>
    </row>
    <row r="24" spans="1:4" x14ac:dyDescent="0.2">
      <c r="A24" s="43">
        <v>14.8</v>
      </c>
      <c r="B24" s="44">
        <v>480.34</v>
      </c>
      <c r="C24" s="65" t="s">
        <v>25</v>
      </c>
      <c r="D24" s="173"/>
    </row>
    <row r="25" spans="1:4" x14ac:dyDescent="0.2">
      <c r="A25" s="43">
        <v>14.8</v>
      </c>
      <c r="B25" s="44">
        <v>480.18</v>
      </c>
      <c r="C25" s="64" t="s">
        <v>17</v>
      </c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3.8</v>
      </c>
      <c r="B35" s="46">
        <v>478.86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10.8</v>
      </c>
      <c r="B36" s="46">
        <v>478.86</v>
      </c>
      <c r="C36" s="61" t="s">
        <v>10</v>
      </c>
      <c r="D36" s="174"/>
    </row>
    <row r="37" spans="1:4" ht="20.100000000000001" customHeight="1" thickBot="1" x14ac:dyDescent="0.25">
      <c r="A37" s="34">
        <v>3.8</v>
      </c>
      <c r="B37" s="35">
        <v>478.34100000000001</v>
      </c>
      <c r="C37" s="21" t="s">
        <v>8</v>
      </c>
      <c r="D37" s="174"/>
    </row>
    <row r="38" spans="1:4" ht="20.100000000000001" customHeight="1" thickBot="1" x14ac:dyDescent="0.25">
      <c r="A38" s="20">
        <v>3.8</v>
      </c>
      <c r="B38" s="36">
        <v>479.33499999999998</v>
      </c>
      <c r="C38" s="22" t="s">
        <v>8</v>
      </c>
      <c r="D38" s="174"/>
    </row>
    <row r="39" spans="1:4" ht="20.100000000000001" customHeight="1" x14ac:dyDescent="0.2">
      <c r="A39" s="15">
        <v>14</v>
      </c>
      <c r="B39" s="19">
        <v>479.32400000000001</v>
      </c>
      <c r="C39" s="23" t="s">
        <v>2</v>
      </c>
      <c r="D39" s="174"/>
    </row>
    <row r="40" spans="1:4" ht="20.100000000000001" customHeight="1" thickBot="1" x14ac:dyDescent="0.25">
      <c r="A40" s="28">
        <v>14</v>
      </c>
      <c r="B40" s="33">
        <v>480.83600000000001</v>
      </c>
      <c r="C40" s="8" t="s">
        <v>2</v>
      </c>
      <c r="D40" s="174"/>
    </row>
    <row r="41" spans="1:4" ht="13.5" thickBot="1" x14ac:dyDescent="0.25">
      <c r="A41" s="51">
        <v>0</v>
      </c>
      <c r="B41" s="52">
        <v>481.12</v>
      </c>
      <c r="C41" s="9" t="s">
        <v>7</v>
      </c>
      <c r="D41" s="1"/>
    </row>
    <row r="42" spans="1:4" ht="13.5" thickBot="1" x14ac:dyDescent="0.25">
      <c r="A42" s="16">
        <v>25.7</v>
      </c>
      <c r="B42" s="46">
        <v>481.12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0.52</v>
      </c>
      <c r="D43" s="1"/>
    </row>
    <row r="44" spans="1:4" ht="16.5" thickBot="1" x14ac:dyDescent="0.3">
      <c r="A44" s="10" t="s">
        <v>11</v>
      </c>
      <c r="B44" s="4"/>
      <c r="C44" s="18">
        <f>B37</f>
        <v>478.34100000000001</v>
      </c>
      <c r="D44" s="1"/>
    </row>
    <row r="45" spans="1:4" ht="20.25" customHeight="1" thickBot="1" x14ac:dyDescent="0.3">
      <c r="A45" s="10" t="s">
        <v>14</v>
      </c>
      <c r="C45" s="31">
        <f>B3</f>
        <v>480.17599999999999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T51"/>
  <sheetViews>
    <sheetView showGridLines="0" topLeftCell="A7" zoomScale="75" workbookViewId="0">
      <selection activeCell="C44" sqref="C4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57">
        <v>480.17599999999999</v>
      </c>
      <c r="C3" s="39" t="s">
        <v>17</v>
      </c>
      <c r="D3" s="173"/>
    </row>
    <row r="4" spans="1:20" x14ac:dyDescent="0.2">
      <c r="A4" s="51">
        <v>0</v>
      </c>
      <c r="B4" s="52">
        <v>479.32</v>
      </c>
      <c r="C4" s="42" t="s">
        <v>26</v>
      </c>
      <c r="D4" s="173"/>
    </row>
    <row r="5" spans="1:20" x14ac:dyDescent="0.2">
      <c r="A5" s="43">
        <v>0</v>
      </c>
      <c r="B5" s="44">
        <v>480.34</v>
      </c>
      <c r="C5" s="50" t="s">
        <v>27</v>
      </c>
      <c r="D5" s="173"/>
    </row>
    <row r="6" spans="1:20" x14ac:dyDescent="0.2">
      <c r="A6" s="43">
        <v>0</v>
      </c>
      <c r="B6" s="44">
        <v>480.3</v>
      </c>
      <c r="C6" s="50" t="s">
        <v>4</v>
      </c>
      <c r="D6" s="173"/>
    </row>
    <row r="7" spans="1:20" x14ac:dyDescent="0.2">
      <c r="A7" s="43">
        <v>0.5</v>
      </c>
      <c r="B7" s="44">
        <v>480.25</v>
      </c>
      <c r="C7" s="55"/>
      <c r="D7" s="173"/>
    </row>
    <row r="8" spans="1:20" x14ac:dyDescent="0.2">
      <c r="A8" s="16">
        <v>1</v>
      </c>
      <c r="B8" s="46">
        <v>479.5</v>
      </c>
      <c r="C8" s="45"/>
      <c r="D8" s="173"/>
    </row>
    <row r="9" spans="1:20" x14ac:dyDescent="0.2">
      <c r="A9" s="43">
        <v>2.4</v>
      </c>
      <c r="B9" s="44">
        <v>478.99</v>
      </c>
      <c r="C9" s="50"/>
      <c r="D9" s="173"/>
    </row>
    <row r="10" spans="1:20" x14ac:dyDescent="0.2">
      <c r="A10" s="43">
        <v>4.5999999999999996</v>
      </c>
      <c r="B10" s="44">
        <v>478.82</v>
      </c>
      <c r="C10" s="60" t="s">
        <v>9</v>
      </c>
      <c r="D10" s="173"/>
    </row>
    <row r="11" spans="1:20" x14ac:dyDescent="0.2">
      <c r="A11" s="43">
        <v>5.4</v>
      </c>
      <c r="B11" s="44">
        <v>478.72</v>
      </c>
      <c r="C11" s="45"/>
      <c r="D11" s="173"/>
    </row>
    <row r="12" spans="1:20" x14ac:dyDescent="0.2">
      <c r="A12" s="43">
        <v>5.8</v>
      </c>
      <c r="B12" s="44">
        <v>478.67</v>
      </c>
      <c r="C12" s="42"/>
      <c r="D12" s="173"/>
    </row>
    <row r="13" spans="1:20" x14ac:dyDescent="0.2">
      <c r="A13" s="43">
        <v>6.2</v>
      </c>
      <c r="B13" s="44">
        <v>478.6</v>
      </c>
      <c r="C13" s="42"/>
      <c r="D13" s="173"/>
    </row>
    <row r="14" spans="1:20" x14ac:dyDescent="0.2">
      <c r="A14" s="43">
        <v>6.6</v>
      </c>
      <c r="B14" s="44">
        <v>478.59</v>
      </c>
      <c r="C14" s="42"/>
      <c r="D14" s="173"/>
    </row>
    <row r="15" spans="1:20" x14ac:dyDescent="0.2">
      <c r="A15" s="43">
        <v>7</v>
      </c>
      <c r="B15" s="44">
        <v>478.62</v>
      </c>
      <c r="C15" s="42"/>
      <c r="D15" s="173"/>
    </row>
    <row r="16" spans="1:20" x14ac:dyDescent="0.2">
      <c r="A16" s="43">
        <v>7.4</v>
      </c>
      <c r="B16" s="44">
        <v>478.62</v>
      </c>
      <c r="C16" s="42"/>
      <c r="D16" s="173"/>
    </row>
    <row r="17" spans="1:4" x14ac:dyDescent="0.2">
      <c r="A17" s="43">
        <v>7.8</v>
      </c>
      <c r="B17" s="44">
        <v>478.52</v>
      </c>
      <c r="C17" s="42"/>
      <c r="D17" s="173"/>
    </row>
    <row r="18" spans="1:4" x14ac:dyDescent="0.2">
      <c r="A18" s="43">
        <v>8.1999999999999993</v>
      </c>
      <c r="B18" s="44">
        <v>478.52</v>
      </c>
      <c r="C18" s="42"/>
      <c r="D18" s="173"/>
    </row>
    <row r="19" spans="1:4" x14ac:dyDescent="0.2">
      <c r="A19" s="43">
        <v>8.6</v>
      </c>
      <c r="B19" s="44">
        <v>478.54</v>
      </c>
      <c r="C19" s="60"/>
      <c r="D19" s="173"/>
    </row>
    <row r="20" spans="1:4" x14ac:dyDescent="0.2">
      <c r="A20" s="16">
        <v>9</v>
      </c>
      <c r="B20" s="46">
        <v>478.52</v>
      </c>
      <c r="C20" s="42"/>
      <c r="D20" s="173"/>
    </row>
    <row r="21" spans="1:4" x14ac:dyDescent="0.2">
      <c r="A21" s="43">
        <v>9.4</v>
      </c>
      <c r="B21" s="44">
        <v>478.59</v>
      </c>
      <c r="C21" s="42"/>
      <c r="D21" s="173"/>
    </row>
    <row r="22" spans="1:4" x14ac:dyDescent="0.2">
      <c r="A22" s="43">
        <v>9.8000000000000007</v>
      </c>
      <c r="B22" s="44">
        <v>478.7</v>
      </c>
      <c r="C22" s="64"/>
      <c r="D22" s="173"/>
    </row>
    <row r="23" spans="1:4" x14ac:dyDescent="0.2">
      <c r="A23" s="43">
        <v>10</v>
      </c>
      <c r="B23" s="44">
        <v>478.82</v>
      </c>
      <c r="C23" s="63" t="s">
        <v>10</v>
      </c>
      <c r="D23" s="173"/>
    </row>
    <row r="24" spans="1:4" x14ac:dyDescent="0.2">
      <c r="A24" s="43">
        <v>12</v>
      </c>
      <c r="B24" s="44">
        <v>479.07</v>
      </c>
      <c r="C24" s="65"/>
      <c r="D24" s="173"/>
    </row>
    <row r="25" spans="1:4" x14ac:dyDescent="0.2">
      <c r="A25" s="43">
        <v>15</v>
      </c>
      <c r="B25" s="44">
        <v>480.22</v>
      </c>
      <c r="C25" s="64" t="s">
        <v>5</v>
      </c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4.5999999999999996</v>
      </c>
      <c r="B35" s="46">
        <v>478.82100000000003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10</v>
      </c>
      <c r="B36" s="46">
        <v>478.82100000000003</v>
      </c>
      <c r="C36" s="61" t="s">
        <v>10</v>
      </c>
      <c r="D36" s="174"/>
    </row>
    <row r="37" spans="1:4" ht="20.100000000000001" customHeight="1" thickBot="1" x14ac:dyDescent="0.25">
      <c r="A37" s="34">
        <v>3.8</v>
      </c>
      <c r="B37" s="35">
        <v>478.34100000000001</v>
      </c>
      <c r="C37" s="21" t="s">
        <v>8</v>
      </c>
      <c r="D37" s="174"/>
    </row>
    <row r="38" spans="1:4" ht="20.100000000000001" customHeight="1" thickBot="1" x14ac:dyDescent="0.25">
      <c r="A38" s="20">
        <v>3.8</v>
      </c>
      <c r="B38" s="36">
        <v>479.33499999999998</v>
      </c>
      <c r="C38" s="22" t="s">
        <v>8</v>
      </c>
      <c r="D38" s="174"/>
    </row>
    <row r="39" spans="1:4" ht="20.100000000000001" customHeight="1" x14ac:dyDescent="0.2">
      <c r="A39" s="15">
        <v>14</v>
      </c>
      <c r="B39" s="19">
        <v>479.32400000000001</v>
      </c>
      <c r="C39" s="23" t="s">
        <v>2</v>
      </c>
      <c r="D39" s="174"/>
    </row>
    <row r="40" spans="1:4" ht="20.100000000000001" customHeight="1" thickBot="1" x14ac:dyDescent="0.25">
      <c r="A40" s="28">
        <v>14</v>
      </c>
      <c r="B40" s="33">
        <v>480.83600000000001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480.3</v>
      </c>
      <c r="C41" s="9" t="s">
        <v>7</v>
      </c>
      <c r="D41" s="1"/>
    </row>
    <row r="42" spans="1:4" ht="13.5" thickBot="1" x14ac:dyDescent="0.25">
      <c r="A42" s="16">
        <v>15</v>
      </c>
      <c r="B42" s="46">
        <v>480.22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0.48</v>
      </c>
      <c r="D43" s="1"/>
    </row>
    <row r="44" spans="1:4" ht="16.5" thickBot="1" x14ac:dyDescent="0.3">
      <c r="A44" s="10" t="s">
        <v>11</v>
      </c>
      <c r="B44" s="4"/>
      <c r="C44" s="18">
        <f>B37</f>
        <v>478.34100000000001</v>
      </c>
      <c r="D44" s="1"/>
    </row>
    <row r="45" spans="1:4" ht="20.25" customHeight="1" thickBot="1" x14ac:dyDescent="0.3">
      <c r="A45" s="10" t="s">
        <v>14</v>
      </c>
      <c r="C45" s="31">
        <f>B3</f>
        <v>480.17599999999999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T51"/>
  <sheetViews>
    <sheetView showGridLines="0" topLeftCell="A2" zoomScale="60" zoomScaleNormal="60" workbookViewId="0">
      <selection activeCell="A38" sqref="A3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57">
        <v>479.28800000000001</v>
      </c>
      <c r="C3" s="39" t="s">
        <v>17</v>
      </c>
      <c r="D3" s="173"/>
    </row>
    <row r="4" spans="1:20" x14ac:dyDescent="0.2">
      <c r="A4" s="51">
        <v>0</v>
      </c>
      <c r="B4" s="52">
        <v>479.26</v>
      </c>
      <c r="C4" s="42" t="s">
        <v>24</v>
      </c>
      <c r="D4" s="173"/>
    </row>
    <row r="5" spans="1:20" x14ac:dyDescent="0.2">
      <c r="A5" s="43">
        <v>0</v>
      </c>
      <c r="B5" s="44">
        <v>480.05</v>
      </c>
      <c r="C5" s="50" t="s">
        <v>4</v>
      </c>
      <c r="D5" s="173"/>
    </row>
    <row r="6" spans="1:20" x14ac:dyDescent="0.2">
      <c r="A6" s="43">
        <v>1.3</v>
      </c>
      <c r="B6" s="44">
        <v>479.45</v>
      </c>
      <c r="C6" s="50"/>
      <c r="D6" s="173"/>
    </row>
    <row r="7" spans="1:20" x14ac:dyDescent="0.2">
      <c r="A7" s="43">
        <v>1.3</v>
      </c>
      <c r="B7" s="44">
        <v>479.17</v>
      </c>
      <c r="C7" s="55"/>
      <c r="D7" s="173"/>
    </row>
    <row r="8" spans="1:20" x14ac:dyDescent="0.2">
      <c r="A8" s="16">
        <v>2.2999999999999998</v>
      </c>
      <c r="B8" s="46">
        <v>478.91</v>
      </c>
      <c r="C8" s="45" t="s">
        <v>9</v>
      </c>
      <c r="D8" s="173"/>
    </row>
    <row r="9" spans="1:20" x14ac:dyDescent="0.2">
      <c r="A9" s="43">
        <v>3.3</v>
      </c>
      <c r="B9" s="44">
        <v>478.81</v>
      </c>
      <c r="C9" s="50"/>
      <c r="D9" s="173"/>
    </row>
    <row r="10" spans="1:20" x14ac:dyDescent="0.2">
      <c r="A10" s="43">
        <v>4.3</v>
      </c>
      <c r="B10" s="44">
        <v>478.76</v>
      </c>
      <c r="C10" s="60"/>
      <c r="D10" s="173"/>
    </row>
    <row r="11" spans="1:20" x14ac:dyDescent="0.2">
      <c r="A11" s="43">
        <v>5.3</v>
      </c>
      <c r="B11" s="44">
        <v>478.74</v>
      </c>
      <c r="C11" s="45"/>
      <c r="D11" s="173"/>
    </row>
    <row r="12" spans="1:20" x14ac:dyDescent="0.2">
      <c r="A12" s="43">
        <v>6.3</v>
      </c>
      <c r="B12" s="44">
        <v>478.7</v>
      </c>
      <c r="C12" s="42"/>
      <c r="D12" s="173"/>
    </row>
    <row r="13" spans="1:20" x14ac:dyDescent="0.2">
      <c r="A13" s="43">
        <v>7</v>
      </c>
      <c r="B13" s="44">
        <v>478.69</v>
      </c>
      <c r="C13" s="42"/>
      <c r="D13" s="173"/>
    </row>
    <row r="14" spans="1:20" x14ac:dyDescent="0.2">
      <c r="A14" s="43">
        <v>7.7</v>
      </c>
      <c r="B14" s="44">
        <v>478.67</v>
      </c>
      <c r="C14" s="42"/>
      <c r="D14" s="173"/>
    </row>
    <row r="15" spans="1:20" x14ac:dyDescent="0.2">
      <c r="A15" s="43">
        <v>8.4</v>
      </c>
      <c r="B15" s="44">
        <v>478.67</v>
      </c>
      <c r="C15" s="42"/>
      <c r="D15" s="173"/>
    </row>
    <row r="16" spans="1:20" x14ac:dyDescent="0.2">
      <c r="A16" s="43">
        <v>9.1</v>
      </c>
      <c r="B16" s="44">
        <v>478.61</v>
      </c>
      <c r="C16" s="42"/>
      <c r="D16" s="173"/>
    </row>
    <row r="17" spans="1:4" x14ac:dyDescent="0.2">
      <c r="A17" s="43">
        <v>9.8000000000000007</v>
      </c>
      <c r="B17" s="44">
        <v>478.61</v>
      </c>
      <c r="C17" s="42"/>
      <c r="D17" s="173"/>
    </row>
    <row r="18" spans="1:4" x14ac:dyDescent="0.2">
      <c r="A18" s="43">
        <v>10.5</v>
      </c>
      <c r="B18" s="44">
        <v>478.56</v>
      </c>
      <c r="C18" s="42"/>
      <c r="D18" s="173"/>
    </row>
    <row r="19" spans="1:4" x14ac:dyDescent="0.2">
      <c r="A19" s="43">
        <v>11.2</v>
      </c>
      <c r="B19" s="44">
        <v>478.64</v>
      </c>
      <c r="C19" s="60"/>
      <c r="D19" s="173"/>
    </row>
    <row r="20" spans="1:4" x14ac:dyDescent="0.2">
      <c r="A20" s="16">
        <v>11.6</v>
      </c>
      <c r="B20" s="46">
        <v>478.91</v>
      </c>
      <c r="C20" s="42" t="s">
        <v>10</v>
      </c>
      <c r="D20" s="173"/>
    </row>
    <row r="21" spans="1:4" x14ac:dyDescent="0.2">
      <c r="A21" s="43">
        <v>12.4</v>
      </c>
      <c r="B21" s="44">
        <v>479.22</v>
      </c>
      <c r="C21" s="42"/>
      <c r="D21" s="173"/>
    </row>
    <row r="22" spans="1:4" x14ac:dyDescent="0.2">
      <c r="A22" s="43">
        <v>12.7</v>
      </c>
      <c r="B22" s="44">
        <v>479.16</v>
      </c>
      <c r="C22" s="64"/>
      <c r="D22" s="173"/>
    </row>
    <row r="23" spans="1:4" x14ac:dyDescent="0.2">
      <c r="A23" s="43">
        <v>12.7</v>
      </c>
      <c r="B23" s="44">
        <v>479.94</v>
      </c>
      <c r="C23" s="63"/>
      <c r="D23" s="173"/>
    </row>
    <row r="24" spans="1:4" x14ac:dyDescent="0.2">
      <c r="A24" s="43">
        <v>14.4</v>
      </c>
      <c r="B24" s="44">
        <v>479.94</v>
      </c>
      <c r="C24" s="65" t="s">
        <v>5</v>
      </c>
      <c r="D24" s="173"/>
    </row>
    <row r="25" spans="1:4" x14ac:dyDescent="0.2">
      <c r="A25" s="43">
        <v>14.4</v>
      </c>
      <c r="B25" s="44">
        <v>479.29</v>
      </c>
      <c r="C25" s="64" t="s">
        <v>19</v>
      </c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2.2999999999999998</v>
      </c>
      <c r="B35" s="46">
        <v>478.91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11.6</v>
      </c>
      <c r="B36" s="46">
        <v>478.91</v>
      </c>
      <c r="C36" s="61" t="s">
        <v>10</v>
      </c>
      <c r="D36" s="174"/>
    </row>
    <row r="37" spans="1:4" ht="20.100000000000001" customHeight="1" thickBot="1" x14ac:dyDescent="0.25">
      <c r="A37" s="34">
        <v>3.2</v>
      </c>
      <c r="B37" s="35">
        <v>478.34100000000001</v>
      </c>
      <c r="C37" s="21" t="s">
        <v>8</v>
      </c>
      <c r="D37" s="174"/>
    </row>
    <row r="38" spans="1:4" ht="20.100000000000001" customHeight="1" thickBot="1" x14ac:dyDescent="0.25">
      <c r="A38" s="20">
        <v>3.2</v>
      </c>
      <c r="B38" s="36">
        <v>479.33499999999998</v>
      </c>
      <c r="C38" s="22" t="s">
        <v>8</v>
      </c>
      <c r="D38" s="174"/>
    </row>
    <row r="39" spans="1:4" ht="20.100000000000001" customHeight="1" x14ac:dyDescent="0.2">
      <c r="A39" s="15">
        <v>14</v>
      </c>
      <c r="B39" s="19">
        <v>479.32400000000001</v>
      </c>
      <c r="C39" s="23" t="s">
        <v>2</v>
      </c>
      <c r="D39" s="174"/>
    </row>
    <row r="40" spans="1:4" ht="20.100000000000001" customHeight="1" thickBot="1" x14ac:dyDescent="0.25">
      <c r="A40" s="28">
        <v>14</v>
      </c>
      <c r="B40" s="33">
        <v>480.83600000000001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480.3</v>
      </c>
      <c r="C41" s="9" t="s">
        <v>7</v>
      </c>
      <c r="D41" s="1"/>
    </row>
    <row r="42" spans="1:4" ht="13.5" thickBot="1" x14ac:dyDescent="0.25">
      <c r="A42" s="16">
        <v>15</v>
      </c>
      <c r="B42" s="46">
        <v>480.22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0.62</v>
      </c>
      <c r="D43" s="1"/>
    </row>
    <row r="44" spans="1:4" ht="16.5" thickBot="1" x14ac:dyDescent="0.3">
      <c r="A44" s="10" t="s">
        <v>11</v>
      </c>
      <c r="B44" s="4"/>
      <c r="C44" s="18">
        <f>B37</f>
        <v>478.34100000000001</v>
      </c>
      <c r="D44" s="1"/>
    </row>
    <row r="45" spans="1:4" ht="20.25" customHeight="1" thickBot="1" x14ac:dyDescent="0.3">
      <c r="A45" s="10" t="s">
        <v>14</v>
      </c>
      <c r="C45" s="31">
        <f>B3</f>
        <v>479.28800000000001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T51"/>
  <sheetViews>
    <sheetView showGridLines="0" zoomScale="60" zoomScaleNormal="60" workbookViewId="0">
      <selection activeCell="B37" sqref="B37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57">
        <v>480.16</v>
      </c>
      <c r="C3" s="39" t="s">
        <v>17</v>
      </c>
      <c r="D3" s="173"/>
    </row>
    <row r="4" spans="1:20" x14ac:dyDescent="0.2">
      <c r="A4" s="51">
        <v>0</v>
      </c>
      <c r="B4" s="52">
        <v>480.11</v>
      </c>
      <c r="C4" s="42" t="s">
        <v>4</v>
      </c>
      <c r="D4" s="173"/>
    </row>
    <row r="5" spans="1:20" x14ac:dyDescent="0.2">
      <c r="A5" s="43">
        <v>5</v>
      </c>
      <c r="B5" s="44">
        <v>480.17</v>
      </c>
      <c r="C5" s="50"/>
      <c r="D5" s="173"/>
    </row>
    <row r="6" spans="1:20" x14ac:dyDescent="0.2">
      <c r="A6" s="43">
        <v>9.5</v>
      </c>
      <c r="B6" s="44">
        <v>480.39</v>
      </c>
      <c r="C6" s="50"/>
      <c r="D6" s="173"/>
    </row>
    <row r="7" spans="1:20" x14ac:dyDescent="0.2">
      <c r="A7" s="43">
        <v>11</v>
      </c>
      <c r="B7" s="44">
        <v>479.25</v>
      </c>
      <c r="C7" s="55"/>
      <c r="D7" s="173"/>
    </row>
    <row r="8" spans="1:20" x14ac:dyDescent="0.2">
      <c r="A8" s="16">
        <v>12.5</v>
      </c>
      <c r="B8" s="46">
        <v>478.89</v>
      </c>
      <c r="C8" s="45" t="s">
        <v>9</v>
      </c>
      <c r="D8" s="173"/>
    </row>
    <row r="9" spans="1:20" x14ac:dyDescent="0.2">
      <c r="A9" s="43">
        <v>13</v>
      </c>
      <c r="B9" s="44">
        <v>478.71</v>
      </c>
      <c r="C9" s="50"/>
      <c r="D9" s="173"/>
    </row>
    <row r="10" spans="1:20" x14ac:dyDescent="0.2">
      <c r="A10" s="43">
        <v>13.7</v>
      </c>
      <c r="B10" s="44">
        <v>478.69</v>
      </c>
      <c r="C10" s="60"/>
      <c r="D10" s="173"/>
    </row>
    <row r="11" spans="1:20" x14ac:dyDescent="0.2">
      <c r="A11" s="43">
        <v>14.4</v>
      </c>
      <c r="B11" s="44">
        <v>478.68</v>
      </c>
      <c r="C11" s="45"/>
      <c r="D11" s="173"/>
    </row>
    <row r="12" spans="1:20" x14ac:dyDescent="0.2">
      <c r="A12" s="43">
        <v>15.1</v>
      </c>
      <c r="B12" s="44">
        <v>478.73</v>
      </c>
      <c r="C12" s="42"/>
      <c r="D12" s="173"/>
    </row>
    <row r="13" spans="1:20" x14ac:dyDescent="0.2">
      <c r="A13" s="43">
        <v>15.8</v>
      </c>
      <c r="B13" s="44">
        <v>478.75</v>
      </c>
      <c r="C13" s="42"/>
      <c r="D13" s="173"/>
    </row>
    <row r="14" spans="1:20" x14ac:dyDescent="0.2">
      <c r="A14" s="43">
        <v>16.5</v>
      </c>
      <c r="B14" s="44">
        <v>478.65</v>
      </c>
      <c r="C14" s="42"/>
      <c r="D14" s="173"/>
    </row>
    <row r="15" spans="1:20" x14ac:dyDescent="0.2">
      <c r="A15" s="43">
        <v>17.2</v>
      </c>
      <c r="B15" s="44">
        <v>478.73</v>
      </c>
      <c r="C15" s="42"/>
      <c r="D15" s="173"/>
    </row>
    <row r="16" spans="1:20" x14ac:dyDescent="0.2">
      <c r="A16" s="43">
        <v>17.8</v>
      </c>
      <c r="B16" s="44">
        <v>478.52</v>
      </c>
      <c r="C16" s="42"/>
      <c r="D16" s="173"/>
    </row>
    <row r="17" spans="1:4" x14ac:dyDescent="0.2">
      <c r="A17" s="43">
        <v>18.399999999999999</v>
      </c>
      <c r="B17" s="44">
        <v>478.5</v>
      </c>
      <c r="C17" s="42"/>
      <c r="D17" s="173"/>
    </row>
    <row r="18" spans="1:4" x14ac:dyDescent="0.2">
      <c r="A18" s="43">
        <v>19</v>
      </c>
      <c r="B18" s="44">
        <v>478.51</v>
      </c>
      <c r="C18" s="42"/>
      <c r="D18" s="173"/>
    </row>
    <row r="19" spans="1:4" x14ac:dyDescent="0.2">
      <c r="A19" s="43">
        <v>19.600000000000001</v>
      </c>
      <c r="B19" s="44">
        <v>478.74</v>
      </c>
      <c r="C19" s="60"/>
      <c r="D19" s="173"/>
    </row>
    <row r="20" spans="1:4" x14ac:dyDescent="0.2">
      <c r="A20" s="43">
        <v>20.2</v>
      </c>
      <c r="B20" s="44">
        <v>478.76</v>
      </c>
      <c r="C20" s="42"/>
      <c r="D20" s="173"/>
    </row>
    <row r="21" spans="1:4" x14ac:dyDescent="0.2">
      <c r="A21" s="16">
        <v>20.8</v>
      </c>
      <c r="B21" s="46">
        <v>478.89</v>
      </c>
      <c r="C21" s="45" t="s">
        <v>10</v>
      </c>
      <c r="D21" s="173"/>
    </row>
    <row r="22" spans="1:4" x14ac:dyDescent="0.2">
      <c r="A22" s="43">
        <v>23.8</v>
      </c>
      <c r="B22" s="44">
        <v>479.49</v>
      </c>
      <c r="C22" s="64"/>
      <c r="D22" s="173"/>
    </row>
    <row r="23" spans="1:4" x14ac:dyDescent="0.2">
      <c r="A23" s="43">
        <v>25.8</v>
      </c>
      <c r="B23" s="44">
        <v>480.09</v>
      </c>
      <c r="C23" s="63"/>
      <c r="D23" s="173"/>
    </row>
    <row r="24" spans="1:4" x14ac:dyDescent="0.2">
      <c r="A24" s="43">
        <v>25.8</v>
      </c>
      <c r="B24" s="44">
        <v>481.59</v>
      </c>
      <c r="C24" s="42" t="s">
        <v>5</v>
      </c>
      <c r="D24" s="173"/>
    </row>
    <row r="25" spans="1:4" x14ac:dyDescent="0.2">
      <c r="A25" s="43"/>
      <c r="B25" s="44"/>
      <c r="C25" s="64"/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43"/>
      <c r="B28" s="44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12.5</v>
      </c>
      <c r="B35" s="46">
        <v>478.89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20.8</v>
      </c>
      <c r="B36" s="46">
        <v>478.89</v>
      </c>
      <c r="C36" s="61" t="s">
        <v>10</v>
      </c>
      <c r="D36" s="174"/>
    </row>
    <row r="37" spans="1:4" ht="20.100000000000001" customHeight="1" thickBot="1" x14ac:dyDescent="0.25">
      <c r="A37" s="34">
        <v>20.8</v>
      </c>
      <c r="B37" s="35">
        <v>478.32</v>
      </c>
      <c r="C37" s="21" t="s">
        <v>8</v>
      </c>
      <c r="D37" s="174"/>
    </row>
    <row r="38" spans="1:4" ht="20.100000000000001" customHeight="1" thickBot="1" x14ac:dyDescent="0.25">
      <c r="A38" s="20">
        <v>20.8</v>
      </c>
      <c r="B38" s="36">
        <v>480.32</v>
      </c>
      <c r="C38" s="22" t="s">
        <v>8</v>
      </c>
      <c r="D38" s="174"/>
    </row>
    <row r="39" spans="1:4" ht="20.100000000000001" customHeight="1" x14ac:dyDescent="0.2">
      <c r="A39" s="15">
        <v>21.5</v>
      </c>
      <c r="B39" s="19">
        <v>479.30900000000003</v>
      </c>
      <c r="C39" s="23" t="s">
        <v>2</v>
      </c>
      <c r="D39" s="174"/>
    </row>
    <row r="40" spans="1:4" ht="20.100000000000001" customHeight="1" thickBot="1" x14ac:dyDescent="0.25">
      <c r="A40" s="28">
        <v>21.5</v>
      </c>
      <c r="B40" s="33">
        <v>480.80900000000003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480.11</v>
      </c>
      <c r="C41" s="9" t="s">
        <v>7</v>
      </c>
      <c r="D41" s="1"/>
    </row>
    <row r="42" spans="1:4" ht="13.5" thickBot="1" x14ac:dyDescent="0.25">
      <c r="A42" s="16">
        <v>25.8</v>
      </c>
      <c r="B42" s="46">
        <v>481.59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0.56999999999999995</v>
      </c>
      <c r="D43" s="1"/>
    </row>
    <row r="44" spans="1:4" ht="16.5" thickBot="1" x14ac:dyDescent="0.3">
      <c r="A44" s="10" t="s">
        <v>11</v>
      </c>
      <c r="B44" s="4"/>
      <c r="C44" s="18">
        <f>B37</f>
        <v>478.32</v>
      </c>
      <c r="D44" s="1"/>
    </row>
    <row r="45" spans="1:4" ht="20.25" customHeight="1" thickBot="1" x14ac:dyDescent="0.3">
      <c r="A45" s="10" t="s">
        <v>14</v>
      </c>
      <c r="C45" s="31">
        <f>B3</f>
        <v>480.16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T51"/>
  <sheetViews>
    <sheetView showGridLines="0" zoomScale="75" workbookViewId="0">
      <selection activeCell="B37" sqref="B37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66">
        <v>0</v>
      </c>
      <c r="B3" s="57">
        <v>480.02</v>
      </c>
      <c r="C3" s="39" t="s">
        <v>17</v>
      </c>
      <c r="D3" s="173"/>
    </row>
    <row r="4" spans="1:20" x14ac:dyDescent="0.2">
      <c r="A4" s="40">
        <v>0</v>
      </c>
      <c r="B4" s="41">
        <v>479.34</v>
      </c>
      <c r="D4" s="173"/>
    </row>
    <row r="5" spans="1:20" x14ac:dyDescent="0.2">
      <c r="A5" s="43">
        <v>0</v>
      </c>
      <c r="B5" s="44">
        <v>479.35</v>
      </c>
      <c r="C5" s="50"/>
      <c r="D5" s="173"/>
    </row>
    <row r="6" spans="1:20" x14ac:dyDescent="0.2">
      <c r="A6" s="16">
        <v>0</v>
      </c>
      <c r="B6" s="46">
        <v>480.03</v>
      </c>
      <c r="C6" s="42" t="s">
        <v>4</v>
      </c>
      <c r="D6" s="173"/>
    </row>
    <row r="7" spans="1:20" x14ac:dyDescent="0.2">
      <c r="A7" s="43">
        <v>1.3</v>
      </c>
      <c r="B7" s="44">
        <v>479.05</v>
      </c>
      <c r="C7" s="55"/>
      <c r="D7" s="173"/>
    </row>
    <row r="8" spans="1:20" x14ac:dyDescent="0.2">
      <c r="A8" s="43">
        <v>3</v>
      </c>
      <c r="B8" s="44">
        <v>479.07</v>
      </c>
      <c r="D8" s="173"/>
    </row>
    <row r="9" spans="1:20" x14ac:dyDescent="0.2">
      <c r="A9" s="16">
        <v>4.4000000000000004</v>
      </c>
      <c r="B9" s="46">
        <v>478.66</v>
      </c>
      <c r="C9" s="45" t="s">
        <v>9</v>
      </c>
      <c r="D9" s="173"/>
    </row>
    <row r="10" spans="1:20" x14ac:dyDescent="0.2">
      <c r="A10" s="43">
        <v>5.4</v>
      </c>
      <c r="B10" s="44">
        <v>478.51</v>
      </c>
      <c r="D10" s="173"/>
    </row>
    <row r="11" spans="1:20" x14ac:dyDescent="0.2">
      <c r="A11" s="43">
        <v>5.9</v>
      </c>
      <c r="B11" s="44">
        <v>478.43</v>
      </c>
      <c r="C11" s="45"/>
      <c r="D11" s="173"/>
    </row>
    <row r="12" spans="1:20" x14ac:dyDescent="0.2">
      <c r="A12" s="43">
        <v>6.4</v>
      </c>
      <c r="B12" s="44">
        <v>478.48</v>
      </c>
      <c r="C12" s="42"/>
      <c r="D12" s="173"/>
    </row>
    <row r="13" spans="1:20" x14ac:dyDescent="0.2">
      <c r="A13" s="43">
        <v>7.1</v>
      </c>
      <c r="B13" s="44">
        <v>478.43</v>
      </c>
      <c r="C13" s="42"/>
      <c r="D13" s="173"/>
    </row>
    <row r="14" spans="1:20" x14ac:dyDescent="0.2">
      <c r="A14" s="43">
        <v>7.8</v>
      </c>
      <c r="B14" s="44">
        <v>478.36</v>
      </c>
      <c r="C14" s="42"/>
      <c r="D14" s="173"/>
    </row>
    <row r="15" spans="1:20" x14ac:dyDescent="0.2">
      <c r="A15" s="43">
        <v>8.1999999999999993</v>
      </c>
      <c r="B15" s="44">
        <v>478.34</v>
      </c>
      <c r="C15" s="42"/>
      <c r="D15" s="173"/>
    </row>
    <row r="16" spans="1:20" x14ac:dyDescent="0.2">
      <c r="A16" s="43">
        <v>8.9</v>
      </c>
      <c r="B16" s="44">
        <v>478.47</v>
      </c>
      <c r="C16" s="42"/>
      <c r="D16" s="173"/>
    </row>
    <row r="17" spans="1:4" x14ac:dyDescent="0.2">
      <c r="A17" s="43">
        <v>9.6</v>
      </c>
      <c r="B17" s="44">
        <v>478.41</v>
      </c>
      <c r="C17" s="42"/>
      <c r="D17" s="173"/>
    </row>
    <row r="18" spans="1:4" x14ac:dyDescent="0.2">
      <c r="A18" s="43">
        <v>10.3</v>
      </c>
      <c r="B18" s="44">
        <v>478.41</v>
      </c>
      <c r="C18" s="42"/>
      <c r="D18" s="173"/>
    </row>
    <row r="19" spans="1:4" x14ac:dyDescent="0.2">
      <c r="A19" s="43">
        <v>11</v>
      </c>
      <c r="B19" s="44">
        <v>478.45</v>
      </c>
      <c r="C19" s="60"/>
      <c r="D19" s="173"/>
    </row>
    <row r="20" spans="1:4" x14ac:dyDescent="0.2">
      <c r="A20" s="43">
        <v>11.7</v>
      </c>
      <c r="B20" s="44">
        <v>478.41</v>
      </c>
      <c r="C20" s="42"/>
      <c r="D20" s="173"/>
    </row>
    <row r="21" spans="1:4" x14ac:dyDescent="0.2">
      <c r="A21" s="43">
        <v>12.4</v>
      </c>
      <c r="B21" s="44">
        <v>478.46</v>
      </c>
      <c r="C21" s="45"/>
      <c r="D21" s="173"/>
    </row>
    <row r="22" spans="1:4" x14ac:dyDescent="0.2">
      <c r="A22" s="43">
        <v>13.1</v>
      </c>
      <c r="B22" s="44">
        <v>478.46</v>
      </c>
      <c r="C22" s="64"/>
      <c r="D22" s="173"/>
    </row>
    <row r="23" spans="1:4" x14ac:dyDescent="0.2">
      <c r="A23" s="43">
        <v>13.8</v>
      </c>
      <c r="B23" s="44">
        <v>478.47</v>
      </c>
      <c r="C23" s="63"/>
      <c r="D23" s="173"/>
    </row>
    <row r="24" spans="1:4" x14ac:dyDescent="0.2">
      <c r="A24" s="16">
        <v>14.4</v>
      </c>
      <c r="B24" s="46">
        <v>478.66</v>
      </c>
      <c r="C24" s="45" t="s">
        <v>10</v>
      </c>
      <c r="D24" s="173"/>
    </row>
    <row r="25" spans="1:4" x14ac:dyDescent="0.2">
      <c r="A25" s="43">
        <v>15.8</v>
      </c>
      <c r="B25" s="44">
        <v>479.17</v>
      </c>
      <c r="D25" s="173"/>
    </row>
    <row r="26" spans="1:4" x14ac:dyDescent="0.2">
      <c r="A26" s="43">
        <v>15.8</v>
      </c>
      <c r="B26" s="44">
        <v>479.45</v>
      </c>
      <c r="C26" s="42"/>
      <c r="D26" s="173"/>
    </row>
    <row r="27" spans="1:4" x14ac:dyDescent="0.2">
      <c r="A27" s="43">
        <v>16.8</v>
      </c>
      <c r="B27" s="44">
        <v>480.08</v>
      </c>
      <c r="C27" s="42"/>
      <c r="D27" s="173"/>
    </row>
    <row r="28" spans="1:4" x14ac:dyDescent="0.2">
      <c r="A28" s="16">
        <v>18.8</v>
      </c>
      <c r="B28" s="46">
        <v>480.16</v>
      </c>
      <c r="C28" s="42" t="s">
        <v>5</v>
      </c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4.4000000000000004</v>
      </c>
      <c r="B35" s="46">
        <v>478.66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14.4</v>
      </c>
      <c r="B36" s="46">
        <v>478.66</v>
      </c>
      <c r="C36" s="61" t="s">
        <v>10</v>
      </c>
      <c r="D36" s="174"/>
    </row>
    <row r="37" spans="1:4" ht="20.100000000000001" customHeight="1" thickBot="1" x14ac:dyDescent="0.25">
      <c r="A37" s="34">
        <v>4.4000000000000004</v>
      </c>
      <c r="B37" s="35">
        <v>478.33</v>
      </c>
      <c r="C37" s="21" t="s">
        <v>8</v>
      </c>
      <c r="D37" s="174"/>
    </row>
    <row r="38" spans="1:4" ht="20.100000000000001" customHeight="1" thickBot="1" x14ac:dyDescent="0.25">
      <c r="A38" s="20">
        <v>4.4000000000000004</v>
      </c>
      <c r="B38" s="36">
        <v>480.33</v>
      </c>
      <c r="C38" s="22" t="s">
        <v>8</v>
      </c>
      <c r="D38" s="174"/>
    </row>
    <row r="39" spans="1:4" ht="20.100000000000001" customHeight="1" x14ac:dyDescent="0.2">
      <c r="A39" s="15">
        <v>4</v>
      </c>
      <c r="B39" s="19">
        <v>479.32</v>
      </c>
      <c r="C39" s="23" t="s">
        <v>2</v>
      </c>
      <c r="D39" s="174"/>
    </row>
    <row r="40" spans="1:4" ht="20.100000000000001" customHeight="1" thickBot="1" x14ac:dyDescent="0.25">
      <c r="A40" s="28">
        <v>4</v>
      </c>
      <c r="B40" s="33">
        <v>480.80900000000003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480.03</v>
      </c>
      <c r="C41" s="9" t="s">
        <v>7</v>
      </c>
      <c r="D41" s="1"/>
    </row>
    <row r="42" spans="1:4" ht="13.5" thickBot="1" x14ac:dyDescent="0.25">
      <c r="A42" s="16">
        <v>18.8</v>
      </c>
      <c r="B42" s="46">
        <v>480.16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0.62</v>
      </c>
      <c r="D43" s="1"/>
    </row>
    <row r="44" spans="1:4" ht="16.5" thickBot="1" x14ac:dyDescent="0.3">
      <c r="A44" s="10" t="s">
        <v>11</v>
      </c>
      <c r="B44" s="4"/>
      <c r="C44" s="18">
        <v>478.02</v>
      </c>
      <c r="D44" s="1"/>
    </row>
    <row r="45" spans="1:4" ht="20.25" customHeight="1" thickBot="1" x14ac:dyDescent="0.3">
      <c r="A45" s="10" t="s">
        <v>14</v>
      </c>
      <c r="C45" s="31">
        <f>B3</f>
        <v>480.02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T51"/>
  <sheetViews>
    <sheetView showGridLines="0" zoomScale="75" workbookViewId="0">
      <selection activeCell="I50" sqref="I5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66">
        <v>0</v>
      </c>
      <c r="B3" s="57">
        <v>480.02</v>
      </c>
      <c r="C3" s="39" t="s">
        <v>17</v>
      </c>
      <c r="D3" s="173"/>
    </row>
    <row r="4" spans="1:20" x14ac:dyDescent="0.2">
      <c r="A4" s="40">
        <v>0</v>
      </c>
      <c r="B4" s="41">
        <v>480.88</v>
      </c>
      <c r="C4" s="1" t="s">
        <v>4</v>
      </c>
      <c r="D4" s="173"/>
    </row>
    <row r="5" spans="1:20" x14ac:dyDescent="0.2">
      <c r="A5" s="43">
        <v>1</v>
      </c>
      <c r="B5" s="44">
        <v>480.4</v>
      </c>
      <c r="C5" s="50"/>
      <c r="D5" s="173"/>
    </row>
    <row r="6" spans="1:20" x14ac:dyDescent="0.2">
      <c r="A6" s="43">
        <v>2</v>
      </c>
      <c r="B6" s="44">
        <v>479.82</v>
      </c>
      <c r="C6" s="42"/>
      <c r="D6" s="173"/>
    </row>
    <row r="7" spans="1:20" x14ac:dyDescent="0.2">
      <c r="A7" s="16">
        <v>3</v>
      </c>
      <c r="B7" s="46">
        <v>479.54</v>
      </c>
      <c r="C7" s="55" t="s">
        <v>9</v>
      </c>
      <c r="D7" s="173"/>
    </row>
    <row r="8" spans="1:20" x14ac:dyDescent="0.2">
      <c r="A8" s="43">
        <v>3.7</v>
      </c>
      <c r="B8" s="44">
        <v>479.38</v>
      </c>
      <c r="C8" s="1"/>
      <c r="D8" s="173"/>
    </row>
    <row r="9" spans="1:20" x14ac:dyDescent="0.2">
      <c r="A9" s="43">
        <v>4.3</v>
      </c>
      <c r="B9" s="44">
        <v>479.36</v>
      </c>
      <c r="C9" s="45"/>
      <c r="D9" s="173"/>
    </row>
    <row r="10" spans="1:20" x14ac:dyDescent="0.2">
      <c r="A10" s="43">
        <v>4.8</v>
      </c>
      <c r="B10" s="44">
        <v>479.34</v>
      </c>
      <c r="C10" s="1"/>
      <c r="D10" s="173"/>
    </row>
    <row r="11" spans="1:20" x14ac:dyDescent="0.2">
      <c r="A11" s="43">
        <v>5.3</v>
      </c>
      <c r="B11" s="44">
        <v>479.37</v>
      </c>
      <c r="C11" s="45"/>
      <c r="D11" s="173"/>
    </row>
    <row r="12" spans="1:20" x14ac:dyDescent="0.2">
      <c r="A12" s="43">
        <v>5.8</v>
      </c>
      <c r="B12" s="44">
        <v>479.35</v>
      </c>
      <c r="C12" s="42"/>
      <c r="D12" s="173"/>
    </row>
    <row r="13" spans="1:20" x14ac:dyDescent="0.2">
      <c r="A13" s="43">
        <v>6.3</v>
      </c>
      <c r="B13" s="44">
        <v>479.33</v>
      </c>
      <c r="C13" s="42"/>
      <c r="D13" s="173"/>
    </row>
    <row r="14" spans="1:20" x14ac:dyDescent="0.2">
      <c r="A14" s="43">
        <v>6.8</v>
      </c>
      <c r="B14" s="44">
        <v>479.34</v>
      </c>
      <c r="C14" s="42"/>
      <c r="D14" s="173"/>
    </row>
    <row r="15" spans="1:20" x14ac:dyDescent="0.2">
      <c r="A15" s="43">
        <v>7.3</v>
      </c>
      <c r="B15" s="44">
        <v>479.29</v>
      </c>
      <c r="C15" s="42"/>
      <c r="D15" s="173"/>
    </row>
    <row r="16" spans="1:20" x14ac:dyDescent="0.2">
      <c r="A16" s="43">
        <v>7.8</v>
      </c>
      <c r="B16" s="44">
        <v>479.28</v>
      </c>
      <c r="C16" s="42"/>
      <c r="D16" s="173"/>
    </row>
    <row r="17" spans="1:4" x14ac:dyDescent="0.2">
      <c r="A17" s="43">
        <v>8.3000000000000007</v>
      </c>
      <c r="B17" s="44">
        <v>479.3</v>
      </c>
      <c r="C17" s="42"/>
      <c r="D17" s="173"/>
    </row>
    <row r="18" spans="1:4" x14ac:dyDescent="0.2">
      <c r="A18" s="43">
        <v>8.8000000000000007</v>
      </c>
      <c r="B18" s="44">
        <v>479.31</v>
      </c>
      <c r="C18" s="42"/>
      <c r="D18" s="173"/>
    </row>
    <row r="19" spans="1:4" x14ac:dyDescent="0.2">
      <c r="A19" s="43">
        <v>9.3000000000000007</v>
      </c>
      <c r="B19" s="44">
        <v>479.28</v>
      </c>
      <c r="C19" s="60"/>
      <c r="D19" s="173"/>
    </row>
    <row r="20" spans="1:4" x14ac:dyDescent="0.2">
      <c r="A20" s="43">
        <v>9.8000000000000007</v>
      </c>
      <c r="B20" s="44">
        <v>479.4</v>
      </c>
      <c r="C20" s="42"/>
      <c r="D20" s="173"/>
    </row>
    <row r="21" spans="1:4" x14ac:dyDescent="0.2">
      <c r="A21" s="43">
        <v>10.8</v>
      </c>
      <c r="B21" s="44">
        <v>479.54</v>
      </c>
      <c r="C21" s="45"/>
      <c r="D21" s="173"/>
    </row>
    <row r="22" spans="1:4" x14ac:dyDescent="0.2">
      <c r="A22" s="16">
        <v>10.8</v>
      </c>
      <c r="B22" s="46">
        <v>479.54</v>
      </c>
      <c r="C22" s="67" t="s">
        <v>10</v>
      </c>
      <c r="D22" s="173"/>
    </row>
    <row r="23" spans="1:4" x14ac:dyDescent="0.2">
      <c r="A23" s="43">
        <v>12.3</v>
      </c>
      <c r="B23" s="44">
        <v>479.75</v>
      </c>
      <c r="C23" s="54"/>
      <c r="D23" s="173"/>
    </row>
    <row r="24" spans="1:4" x14ac:dyDescent="0.2">
      <c r="A24" s="43">
        <v>12.3</v>
      </c>
      <c r="B24" s="44">
        <v>480.66</v>
      </c>
      <c r="C24" s="45" t="s">
        <v>5</v>
      </c>
      <c r="D24" s="173"/>
    </row>
    <row r="25" spans="1:4" x14ac:dyDescent="0.2">
      <c r="A25" s="43">
        <v>12.3</v>
      </c>
      <c r="B25" s="44">
        <v>479.99</v>
      </c>
      <c r="C25" s="1" t="s">
        <v>17</v>
      </c>
      <c r="D25" s="173"/>
    </row>
    <row r="26" spans="1:4" x14ac:dyDescent="0.2">
      <c r="A26" s="43"/>
      <c r="B26" s="44"/>
      <c r="C26" s="42"/>
      <c r="D26" s="173"/>
    </row>
    <row r="27" spans="1:4" x14ac:dyDescent="0.2">
      <c r="A27" s="43"/>
      <c r="B27" s="44"/>
      <c r="C27" s="42"/>
      <c r="D27" s="173"/>
    </row>
    <row r="28" spans="1:4" x14ac:dyDescent="0.2">
      <c r="A28" s="16"/>
      <c r="B28" s="46"/>
      <c r="C28" s="42"/>
      <c r="D28" s="173"/>
    </row>
    <row r="29" spans="1:4" x14ac:dyDescent="0.2">
      <c r="A29" s="43"/>
      <c r="B29" s="44"/>
      <c r="C29" s="42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3</v>
      </c>
      <c r="B35" s="46">
        <v>479.54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10.8</v>
      </c>
      <c r="B36" s="46">
        <v>479.54</v>
      </c>
      <c r="C36" s="61" t="s">
        <v>10</v>
      </c>
      <c r="D36" s="174"/>
    </row>
    <row r="37" spans="1:4" ht="20.100000000000001" customHeight="1" thickBot="1" x14ac:dyDescent="0.25">
      <c r="A37" s="34">
        <v>4.4000000000000004</v>
      </c>
      <c r="B37" s="35">
        <v>479.02600000000001</v>
      </c>
      <c r="C37" s="21" t="s">
        <v>8</v>
      </c>
      <c r="D37" s="174"/>
    </row>
    <row r="38" spans="1:4" ht="20.100000000000001" customHeight="1" thickBot="1" x14ac:dyDescent="0.25">
      <c r="A38" s="20">
        <v>4.4000000000000004</v>
      </c>
      <c r="B38" s="36">
        <v>480.33</v>
      </c>
      <c r="C38" s="22" t="s">
        <v>8</v>
      </c>
      <c r="D38" s="174"/>
    </row>
    <row r="39" spans="1:4" ht="20.100000000000001" customHeight="1" x14ac:dyDescent="0.2">
      <c r="A39" s="15">
        <v>4</v>
      </c>
      <c r="B39" s="19">
        <v>479.32</v>
      </c>
      <c r="C39" s="23" t="s">
        <v>2</v>
      </c>
      <c r="D39" s="174"/>
    </row>
    <row r="40" spans="1:4" ht="20.100000000000001" customHeight="1" thickBot="1" x14ac:dyDescent="0.25">
      <c r="A40" s="28">
        <v>4</v>
      </c>
      <c r="B40" s="33">
        <v>480.80900000000003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480.03</v>
      </c>
      <c r="C41" s="9" t="s">
        <v>7</v>
      </c>
      <c r="D41" s="1"/>
    </row>
    <row r="42" spans="1:4" ht="13.5" thickBot="1" x14ac:dyDescent="0.25">
      <c r="A42" s="16">
        <v>18.8</v>
      </c>
      <c r="B42" s="46">
        <v>480.16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0.55000000000000004</v>
      </c>
      <c r="D43" s="1"/>
    </row>
    <row r="44" spans="1:4" ht="16.5" thickBot="1" x14ac:dyDescent="0.3">
      <c r="A44" s="10" t="s">
        <v>11</v>
      </c>
      <c r="B44" s="4"/>
      <c r="C44" s="18">
        <v>478.02</v>
      </c>
      <c r="D44" s="1"/>
    </row>
    <row r="45" spans="1:4" ht="20.25" customHeight="1" thickBot="1" x14ac:dyDescent="0.3">
      <c r="A45" s="10" t="s">
        <v>14</v>
      </c>
      <c r="C45" s="31">
        <f>B3</f>
        <v>480.02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T51"/>
  <sheetViews>
    <sheetView showGridLines="0" topLeftCell="A7" zoomScale="75" workbookViewId="0">
      <selection activeCell="C9" sqref="C9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73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66">
        <v>0</v>
      </c>
      <c r="B3" s="69">
        <v>479.26</v>
      </c>
      <c r="C3" s="74" t="s">
        <v>29</v>
      </c>
      <c r="D3" s="173"/>
    </row>
    <row r="4" spans="1:20" x14ac:dyDescent="0.2">
      <c r="A4" s="40">
        <v>0</v>
      </c>
      <c r="B4" s="70">
        <v>480.08</v>
      </c>
      <c r="C4" s="74" t="s">
        <v>4</v>
      </c>
      <c r="D4" s="173"/>
    </row>
    <row r="5" spans="1:20" x14ac:dyDescent="0.2">
      <c r="A5" s="43">
        <v>1</v>
      </c>
      <c r="B5" s="71">
        <v>479.41</v>
      </c>
      <c r="C5" s="75"/>
      <c r="D5" s="173"/>
    </row>
    <row r="6" spans="1:20" x14ac:dyDescent="0.2">
      <c r="A6" s="43">
        <v>1</v>
      </c>
      <c r="B6" s="71">
        <v>479.14</v>
      </c>
      <c r="C6" s="74"/>
      <c r="D6" s="173"/>
    </row>
    <row r="7" spans="1:20" x14ac:dyDescent="0.2">
      <c r="A7" s="16">
        <v>2.7</v>
      </c>
      <c r="B7" s="72">
        <v>478.85</v>
      </c>
      <c r="C7" s="78" t="s">
        <v>9</v>
      </c>
      <c r="D7" s="173"/>
    </row>
    <row r="8" spans="1:20" x14ac:dyDescent="0.2">
      <c r="A8" s="43">
        <v>3</v>
      </c>
      <c r="B8" s="71">
        <v>478.64</v>
      </c>
      <c r="C8" s="77"/>
      <c r="D8" s="173"/>
    </row>
    <row r="9" spans="1:20" x14ac:dyDescent="0.2">
      <c r="A9" s="43">
        <v>3.3</v>
      </c>
      <c r="B9" s="71">
        <v>478.59</v>
      </c>
      <c r="C9" s="78"/>
      <c r="D9" s="173"/>
    </row>
    <row r="10" spans="1:20" x14ac:dyDescent="0.2">
      <c r="A10" s="43">
        <v>3.6</v>
      </c>
      <c r="B10" s="71">
        <v>478.51</v>
      </c>
      <c r="C10" s="78"/>
      <c r="D10" s="173"/>
    </row>
    <row r="11" spans="1:20" x14ac:dyDescent="0.2">
      <c r="A11" s="43">
        <v>3.9</v>
      </c>
      <c r="B11" s="71">
        <v>478.46</v>
      </c>
      <c r="C11" s="78"/>
      <c r="D11" s="173"/>
    </row>
    <row r="12" spans="1:20" x14ac:dyDescent="0.2">
      <c r="A12" s="43">
        <v>4.2</v>
      </c>
      <c r="B12" s="71">
        <v>478.39</v>
      </c>
      <c r="C12" s="74"/>
      <c r="D12" s="173"/>
    </row>
    <row r="13" spans="1:20" x14ac:dyDescent="0.2">
      <c r="A13" s="43">
        <v>4.5</v>
      </c>
      <c r="B13" s="71">
        <v>478.36</v>
      </c>
      <c r="C13" s="74"/>
      <c r="D13" s="173"/>
    </row>
    <row r="14" spans="1:20" x14ac:dyDescent="0.2">
      <c r="A14" s="43">
        <v>4.8</v>
      </c>
      <c r="B14" s="71">
        <v>478.3</v>
      </c>
      <c r="C14" s="74"/>
      <c r="D14" s="173"/>
    </row>
    <row r="15" spans="1:20" x14ac:dyDescent="0.2">
      <c r="A15" s="43">
        <v>5.0999999999999996</v>
      </c>
      <c r="B15" s="71">
        <v>478.31</v>
      </c>
      <c r="C15" s="74"/>
      <c r="D15" s="173"/>
    </row>
    <row r="16" spans="1:20" x14ac:dyDescent="0.2">
      <c r="A16" s="43">
        <v>5.4</v>
      </c>
      <c r="B16" s="71">
        <v>478.3</v>
      </c>
      <c r="C16" s="74"/>
      <c r="D16" s="173"/>
    </row>
    <row r="17" spans="1:4" x14ac:dyDescent="0.2">
      <c r="A17" s="43">
        <v>5.7</v>
      </c>
      <c r="B17" s="71">
        <v>478.37</v>
      </c>
      <c r="C17" s="74"/>
      <c r="D17" s="173"/>
    </row>
    <row r="18" spans="1:4" x14ac:dyDescent="0.2">
      <c r="A18" s="43">
        <v>6</v>
      </c>
      <c r="B18" s="71">
        <v>478.42</v>
      </c>
      <c r="C18" s="74"/>
      <c r="D18" s="173"/>
    </row>
    <row r="19" spans="1:4" x14ac:dyDescent="0.2">
      <c r="A19" s="43">
        <v>6.3</v>
      </c>
      <c r="B19" s="71">
        <v>478.41</v>
      </c>
      <c r="C19" s="79"/>
      <c r="D19" s="173"/>
    </row>
    <row r="20" spans="1:4" x14ac:dyDescent="0.2">
      <c r="A20" s="43">
        <v>6.6</v>
      </c>
      <c r="B20" s="71">
        <v>478.4</v>
      </c>
      <c r="C20" s="74"/>
      <c r="D20" s="173"/>
    </row>
    <row r="21" spans="1:4" x14ac:dyDescent="0.2">
      <c r="A21" s="43">
        <v>6.9</v>
      </c>
      <c r="B21" s="71">
        <v>478.43</v>
      </c>
      <c r="C21" s="78"/>
      <c r="D21" s="173"/>
    </row>
    <row r="22" spans="1:4" x14ac:dyDescent="0.2">
      <c r="A22" s="43">
        <v>7.2</v>
      </c>
      <c r="B22" s="71">
        <v>478.44</v>
      </c>
      <c r="C22" s="78"/>
      <c r="D22" s="173"/>
    </row>
    <row r="23" spans="1:4" x14ac:dyDescent="0.2">
      <c r="A23" s="43">
        <v>7.5</v>
      </c>
      <c r="B23" s="71">
        <v>478.47</v>
      </c>
      <c r="C23" s="80"/>
      <c r="D23" s="173"/>
    </row>
    <row r="24" spans="1:4" x14ac:dyDescent="0.2">
      <c r="A24" s="43">
        <v>7.8</v>
      </c>
      <c r="B24" s="71">
        <v>478.54</v>
      </c>
      <c r="C24" s="74"/>
      <c r="D24" s="173"/>
    </row>
    <row r="25" spans="1:4" x14ac:dyDescent="0.2">
      <c r="A25" s="43">
        <v>8.1</v>
      </c>
      <c r="B25" s="71">
        <v>478.55</v>
      </c>
      <c r="C25" s="77"/>
      <c r="D25" s="173"/>
    </row>
    <row r="26" spans="1:4" x14ac:dyDescent="0.2">
      <c r="A26" s="16">
        <v>8.1</v>
      </c>
      <c r="B26" s="72">
        <v>478.85</v>
      </c>
      <c r="C26" s="74" t="s">
        <v>10</v>
      </c>
      <c r="D26" s="173"/>
    </row>
    <row r="27" spans="1:4" x14ac:dyDescent="0.2">
      <c r="A27" s="43">
        <v>9.1</v>
      </c>
      <c r="B27" s="44">
        <v>479</v>
      </c>
      <c r="C27" s="42"/>
      <c r="D27" s="173"/>
    </row>
    <row r="28" spans="1:4" x14ac:dyDescent="0.2">
      <c r="A28" s="43">
        <v>9.1</v>
      </c>
      <c r="B28" s="44">
        <v>479.93</v>
      </c>
      <c r="C28" s="42"/>
      <c r="D28" s="173"/>
    </row>
    <row r="29" spans="1:4" x14ac:dyDescent="0.2">
      <c r="A29" s="43">
        <v>10.7</v>
      </c>
      <c r="B29" s="44">
        <v>479.92</v>
      </c>
      <c r="C29" s="45" t="s">
        <v>5</v>
      </c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2.7</v>
      </c>
      <c r="B35" s="46">
        <v>478.85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8.1</v>
      </c>
      <c r="B36" s="46">
        <v>478.85</v>
      </c>
      <c r="C36" s="61" t="s">
        <v>10</v>
      </c>
      <c r="D36" s="174"/>
    </row>
    <row r="37" spans="1:4" ht="20.100000000000001" customHeight="1" thickBot="1" x14ac:dyDescent="0.25">
      <c r="A37" s="20">
        <v>6</v>
      </c>
      <c r="B37" s="35">
        <v>478.31200000000001</v>
      </c>
      <c r="C37" s="21" t="s">
        <v>8</v>
      </c>
      <c r="D37" s="174"/>
    </row>
    <row r="38" spans="1:4" ht="20.100000000000001" customHeight="1" thickBot="1" x14ac:dyDescent="0.25">
      <c r="A38" s="20">
        <v>6</v>
      </c>
      <c r="B38" s="36">
        <v>480.33</v>
      </c>
      <c r="C38" s="22" t="s">
        <v>8</v>
      </c>
      <c r="D38" s="174"/>
    </row>
    <row r="39" spans="1:4" ht="20.100000000000001" customHeight="1" x14ac:dyDescent="0.2">
      <c r="A39" s="15">
        <v>5.5</v>
      </c>
      <c r="B39" s="19">
        <v>479.32</v>
      </c>
      <c r="C39" s="23" t="s">
        <v>2</v>
      </c>
      <c r="D39" s="174"/>
    </row>
    <row r="40" spans="1:4" ht="20.100000000000001" customHeight="1" thickBot="1" x14ac:dyDescent="0.25">
      <c r="A40" s="28">
        <v>5.5</v>
      </c>
      <c r="B40" s="33">
        <v>480.80900000000003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480.36</v>
      </c>
      <c r="C41" s="9" t="s">
        <v>7</v>
      </c>
      <c r="D41" s="1"/>
    </row>
    <row r="42" spans="1:4" ht="13.5" thickBot="1" x14ac:dyDescent="0.25">
      <c r="A42" s="16">
        <v>18.100000000000001</v>
      </c>
      <c r="B42" s="46">
        <v>480.13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0.56000000000000005</v>
      </c>
      <c r="D43" s="1"/>
    </row>
    <row r="44" spans="1:4" ht="16.5" thickBot="1" x14ac:dyDescent="0.3">
      <c r="A44" s="10" t="s">
        <v>11</v>
      </c>
      <c r="B44" s="4"/>
      <c r="C44" s="18">
        <f>B37</f>
        <v>478.31200000000001</v>
      </c>
      <c r="D44" s="1"/>
    </row>
    <row r="45" spans="1:4" ht="20.25" customHeight="1" thickBot="1" x14ac:dyDescent="0.3">
      <c r="A45" s="10" t="s">
        <v>14</v>
      </c>
      <c r="C45" s="31">
        <f>B3</f>
        <v>479.26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T51"/>
  <sheetViews>
    <sheetView showGridLines="0" topLeftCell="A19" zoomScale="75" workbookViewId="0">
      <selection activeCell="A3" sqref="A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73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66">
        <v>0</v>
      </c>
      <c r="B3" s="69">
        <v>479.32</v>
      </c>
      <c r="C3" s="74" t="s">
        <v>28</v>
      </c>
      <c r="D3" s="173"/>
    </row>
    <row r="4" spans="1:20" x14ac:dyDescent="0.2">
      <c r="A4" s="40">
        <v>0</v>
      </c>
      <c r="B4" s="70">
        <v>480.36</v>
      </c>
      <c r="C4" s="74" t="s">
        <v>4</v>
      </c>
      <c r="D4" s="173"/>
    </row>
    <row r="5" spans="1:20" x14ac:dyDescent="0.2">
      <c r="A5" s="43">
        <v>2</v>
      </c>
      <c r="B5" s="71">
        <v>480.58</v>
      </c>
      <c r="C5" s="75"/>
      <c r="D5" s="173"/>
    </row>
    <row r="6" spans="1:20" x14ac:dyDescent="0.2">
      <c r="A6" s="43">
        <v>3.1</v>
      </c>
      <c r="B6" s="71">
        <v>480.19</v>
      </c>
      <c r="C6" s="74"/>
      <c r="D6" s="173"/>
    </row>
    <row r="7" spans="1:20" x14ac:dyDescent="0.2">
      <c r="A7" s="43">
        <v>3.3</v>
      </c>
      <c r="B7" s="71">
        <v>480.05</v>
      </c>
      <c r="C7" s="76"/>
      <c r="D7" s="173"/>
    </row>
    <row r="8" spans="1:20" x14ac:dyDescent="0.2">
      <c r="A8" s="43">
        <v>3.3</v>
      </c>
      <c r="B8" s="71">
        <v>479.74</v>
      </c>
      <c r="C8" s="77"/>
      <c r="D8" s="173"/>
    </row>
    <row r="9" spans="1:20" x14ac:dyDescent="0.2">
      <c r="A9" s="43">
        <v>4.3</v>
      </c>
      <c r="B9" s="71">
        <v>479.21</v>
      </c>
      <c r="C9" s="78"/>
      <c r="D9" s="173"/>
    </row>
    <row r="10" spans="1:20" x14ac:dyDescent="0.2">
      <c r="A10" s="16">
        <v>6</v>
      </c>
      <c r="B10" s="72">
        <v>478.87</v>
      </c>
      <c r="C10" s="76" t="s">
        <v>9</v>
      </c>
      <c r="D10" s="173"/>
    </row>
    <row r="11" spans="1:20" x14ac:dyDescent="0.2">
      <c r="A11" s="43">
        <v>7.8</v>
      </c>
      <c r="B11" s="71">
        <v>478.73</v>
      </c>
      <c r="C11" s="78"/>
      <c r="D11" s="173"/>
    </row>
    <row r="12" spans="1:20" x14ac:dyDescent="0.2">
      <c r="A12" s="43">
        <v>8.1</v>
      </c>
      <c r="B12" s="71">
        <v>478.67</v>
      </c>
      <c r="C12" s="74"/>
      <c r="D12" s="173"/>
    </row>
    <row r="13" spans="1:20" x14ac:dyDescent="0.2">
      <c r="A13" s="43">
        <v>8.4</v>
      </c>
      <c r="B13" s="71">
        <v>478.62</v>
      </c>
      <c r="C13" s="74"/>
      <c r="D13" s="173"/>
    </row>
    <row r="14" spans="1:20" x14ac:dyDescent="0.2">
      <c r="A14" s="43">
        <v>8.6999999999999993</v>
      </c>
      <c r="B14" s="71">
        <v>478.57</v>
      </c>
      <c r="C14" s="74"/>
      <c r="D14" s="173"/>
    </row>
    <row r="15" spans="1:20" x14ac:dyDescent="0.2">
      <c r="A15" s="43">
        <v>9</v>
      </c>
      <c r="B15" s="71">
        <v>478.39</v>
      </c>
      <c r="C15" s="74"/>
      <c r="D15" s="173"/>
    </row>
    <row r="16" spans="1:20" x14ac:dyDescent="0.2">
      <c r="A16" s="43">
        <v>9.3000000000000007</v>
      </c>
      <c r="B16" s="71">
        <v>478.33</v>
      </c>
      <c r="C16" s="74"/>
      <c r="D16" s="173"/>
    </row>
    <row r="17" spans="1:4" x14ac:dyDescent="0.2">
      <c r="A17" s="43">
        <v>9.6</v>
      </c>
      <c r="B17" s="71">
        <v>478.31</v>
      </c>
      <c r="C17" s="74"/>
      <c r="D17" s="173"/>
    </row>
    <row r="18" spans="1:4" x14ac:dyDescent="0.2">
      <c r="A18" s="43">
        <v>9.9</v>
      </c>
      <c r="B18" s="71">
        <v>478.54</v>
      </c>
      <c r="C18" s="74"/>
      <c r="D18" s="173"/>
    </row>
    <row r="19" spans="1:4" x14ac:dyDescent="0.2">
      <c r="A19" s="43">
        <v>10.199999999999999</v>
      </c>
      <c r="B19" s="71">
        <v>478.36</v>
      </c>
      <c r="C19" s="79"/>
      <c r="D19" s="173"/>
    </row>
    <row r="20" spans="1:4" x14ac:dyDescent="0.2">
      <c r="A20" s="43">
        <v>10.5</v>
      </c>
      <c r="B20" s="71">
        <v>478.48</v>
      </c>
      <c r="C20" s="74"/>
      <c r="D20" s="173"/>
    </row>
    <row r="21" spans="1:4" x14ac:dyDescent="0.2">
      <c r="A21" s="43">
        <v>10.8</v>
      </c>
      <c r="B21" s="71">
        <v>478.41</v>
      </c>
      <c r="C21" s="78"/>
      <c r="D21" s="173"/>
    </row>
    <row r="22" spans="1:4" x14ac:dyDescent="0.2">
      <c r="A22" s="43">
        <v>11.1</v>
      </c>
      <c r="B22" s="71">
        <v>478.43</v>
      </c>
      <c r="C22" s="76"/>
      <c r="D22" s="173"/>
    </row>
    <row r="23" spans="1:4" x14ac:dyDescent="0.2">
      <c r="A23" s="43">
        <v>11.4</v>
      </c>
      <c r="B23" s="71">
        <v>478.44</v>
      </c>
      <c r="C23" s="80"/>
      <c r="D23" s="173"/>
    </row>
    <row r="24" spans="1:4" x14ac:dyDescent="0.2">
      <c r="A24" s="43">
        <v>11.7</v>
      </c>
      <c r="B24" s="71">
        <v>478.48</v>
      </c>
      <c r="C24" s="74"/>
      <c r="D24" s="173"/>
    </row>
    <row r="25" spans="1:4" x14ac:dyDescent="0.2">
      <c r="A25" s="43">
        <v>12</v>
      </c>
      <c r="B25" s="71">
        <v>478.5</v>
      </c>
      <c r="C25" s="77"/>
      <c r="D25" s="173"/>
    </row>
    <row r="26" spans="1:4" x14ac:dyDescent="0.2">
      <c r="A26" s="43">
        <v>12.3</v>
      </c>
      <c r="B26" s="71">
        <v>478.53</v>
      </c>
      <c r="C26" s="74"/>
      <c r="D26" s="173"/>
    </row>
    <row r="27" spans="1:4" x14ac:dyDescent="0.2">
      <c r="A27" s="43">
        <v>12.6</v>
      </c>
      <c r="B27" s="44">
        <v>478.56</v>
      </c>
      <c r="C27" s="42"/>
      <c r="D27" s="173"/>
    </row>
    <row r="28" spans="1:4" x14ac:dyDescent="0.2">
      <c r="A28" s="43">
        <v>12.9</v>
      </c>
      <c r="B28" s="44">
        <v>478.66</v>
      </c>
      <c r="C28" s="42"/>
      <c r="D28" s="173"/>
    </row>
    <row r="29" spans="1:4" x14ac:dyDescent="0.2">
      <c r="A29" s="16">
        <v>13.7</v>
      </c>
      <c r="B29" s="46">
        <v>478.87</v>
      </c>
      <c r="C29" s="68" t="s">
        <v>10</v>
      </c>
      <c r="D29" s="173"/>
    </row>
    <row r="30" spans="1:4" x14ac:dyDescent="0.2">
      <c r="A30" s="43">
        <v>14.7</v>
      </c>
      <c r="B30" s="44">
        <v>478.95</v>
      </c>
      <c r="C30" s="42"/>
      <c r="D30" s="173"/>
    </row>
    <row r="31" spans="1:4" x14ac:dyDescent="0.2">
      <c r="A31" s="43">
        <v>16.399999999999999</v>
      </c>
      <c r="B31" s="44">
        <v>479.65</v>
      </c>
      <c r="C31" s="42"/>
      <c r="D31" s="173"/>
    </row>
    <row r="32" spans="1:4" x14ac:dyDescent="0.2">
      <c r="A32" s="43">
        <v>18.100000000000001</v>
      </c>
      <c r="B32" s="44">
        <v>480.13</v>
      </c>
      <c r="C32" s="42" t="s">
        <v>5</v>
      </c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6</v>
      </c>
      <c r="B35" s="46">
        <v>478.87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13.7</v>
      </c>
      <c r="B36" s="46">
        <v>478.87</v>
      </c>
      <c r="C36" s="61" t="s">
        <v>10</v>
      </c>
      <c r="D36" s="174"/>
    </row>
    <row r="37" spans="1:4" ht="20.100000000000001" customHeight="1" thickBot="1" x14ac:dyDescent="0.25">
      <c r="A37" s="20">
        <v>6</v>
      </c>
      <c r="B37" s="35">
        <v>478.31200000000001</v>
      </c>
      <c r="C37" s="21" t="s">
        <v>8</v>
      </c>
      <c r="D37" s="174"/>
    </row>
    <row r="38" spans="1:4" ht="20.100000000000001" customHeight="1" thickBot="1" x14ac:dyDescent="0.25">
      <c r="A38" s="20">
        <v>6</v>
      </c>
      <c r="B38" s="36">
        <v>480.33</v>
      </c>
      <c r="C38" s="22" t="s">
        <v>8</v>
      </c>
      <c r="D38" s="174"/>
    </row>
    <row r="39" spans="1:4" ht="20.100000000000001" customHeight="1" x14ac:dyDescent="0.2">
      <c r="A39" s="15">
        <v>5.5</v>
      </c>
      <c r="B39" s="19">
        <v>479.32</v>
      </c>
      <c r="C39" s="23" t="s">
        <v>2</v>
      </c>
      <c r="D39" s="174"/>
    </row>
    <row r="40" spans="1:4" ht="20.100000000000001" customHeight="1" thickBot="1" x14ac:dyDescent="0.25">
      <c r="A40" s="28">
        <v>5.5</v>
      </c>
      <c r="B40" s="33">
        <v>480.80900000000003</v>
      </c>
      <c r="C40" s="8" t="s">
        <v>2</v>
      </c>
      <c r="D40" s="174"/>
    </row>
    <row r="41" spans="1:4" ht="13.5" thickBot="1" x14ac:dyDescent="0.25">
      <c r="A41" s="51">
        <v>0</v>
      </c>
      <c r="B41" s="52">
        <v>480.36</v>
      </c>
      <c r="C41" s="9" t="s">
        <v>7</v>
      </c>
      <c r="D41" s="1"/>
    </row>
    <row r="42" spans="1:4" ht="13.5" thickBot="1" x14ac:dyDescent="0.25">
      <c r="A42" s="16">
        <v>18.100000000000001</v>
      </c>
      <c r="B42" s="46">
        <v>480.13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0.56000000000000005</v>
      </c>
      <c r="D43" s="1"/>
    </row>
    <row r="44" spans="1:4" ht="16.5" thickBot="1" x14ac:dyDescent="0.3">
      <c r="A44" s="10" t="s">
        <v>11</v>
      </c>
      <c r="B44" s="4"/>
      <c r="C44" s="18">
        <f>B37</f>
        <v>478.31200000000001</v>
      </c>
      <c r="D44" s="1"/>
    </row>
    <row r="45" spans="1:4" ht="20.25" customHeight="1" thickBot="1" x14ac:dyDescent="0.3">
      <c r="A45" s="10" t="s">
        <v>14</v>
      </c>
      <c r="C45" s="31">
        <f>B3</f>
        <v>479.32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honeticPr fontId="17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T43"/>
  <sheetViews>
    <sheetView showGridLines="0" topLeftCell="A13" zoomScale="75" workbookViewId="0">
      <selection activeCell="V32" sqref="V32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30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73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82">
        <v>480.02</v>
      </c>
      <c r="C3" s="74" t="s">
        <v>32</v>
      </c>
      <c r="D3" s="173"/>
    </row>
    <row r="4" spans="1:20" x14ac:dyDescent="0.2">
      <c r="A4" s="51">
        <v>0</v>
      </c>
      <c r="B4" s="81">
        <v>480.29</v>
      </c>
      <c r="C4" s="74" t="s">
        <v>4</v>
      </c>
      <c r="D4" s="173"/>
    </row>
    <row r="5" spans="1:20" x14ac:dyDescent="0.2">
      <c r="A5" s="43">
        <v>2</v>
      </c>
      <c r="B5" s="71">
        <v>479.18</v>
      </c>
      <c r="C5" s="75"/>
      <c r="D5" s="173"/>
    </row>
    <row r="6" spans="1:20" x14ac:dyDescent="0.2">
      <c r="A6" s="16">
        <v>3.3</v>
      </c>
      <c r="B6" s="72">
        <v>478.95</v>
      </c>
      <c r="C6" s="83" t="s">
        <v>9</v>
      </c>
      <c r="D6" s="173"/>
    </row>
    <row r="7" spans="1:20" x14ac:dyDescent="0.2">
      <c r="A7" s="43">
        <v>3.8</v>
      </c>
      <c r="B7" s="71">
        <v>478.75</v>
      </c>
      <c r="C7" s="76"/>
      <c r="D7" s="173"/>
    </row>
    <row r="8" spans="1:20" x14ac:dyDescent="0.2">
      <c r="A8" s="43">
        <v>4.3</v>
      </c>
      <c r="B8" s="71">
        <v>478.71</v>
      </c>
      <c r="C8" s="77"/>
      <c r="D8" s="173"/>
    </row>
    <row r="9" spans="1:20" x14ac:dyDescent="0.2">
      <c r="A9" s="43">
        <v>4.8</v>
      </c>
      <c r="B9" s="71">
        <v>478.75</v>
      </c>
      <c r="C9" s="78"/>
      <c r="D9" s="173"/>
    </row>
    <row r="10" spans="1:20" x14ac:dyDescent="0.2">
      <c r="A10" s="43">
        <v>5.3</v>
      </c>
      <c r="B10" s="71">
        <v>478.75</v>
      </c>
      <c r="C10" s="76"/>
      <c r="D10" s="173"/>
    </row>
    <row r="11" spans="1:20" x14ac:dyDescent="0.2">
      <c r="A11" s="43">
        <v>5.8</v>
      </c>
      <c r="B11" s="71">
        <v>478.73</v>
      </c>
      <c r="C11" s="78"/>
      <c r="D11" s="173"/>
    </row>
    <row r="12" spans="1:20" x14ac:dyDescent="0.2">
      <c r="A12" s="43">
        <v>6.3</v>
      </c>
      <c r="B12" s="71">
        <v>478.76</v>
      </c>
      <c r="C12" s="74"/>
      <c r="D12" s="173"/>
    </row>
    <row r="13" spans="1:20" x14ac:dyDescent="0.2">
      <c r="A13" s="43">
        <v>6.8</v>
      </c>
      <c r="B13" s="71">
        <v>478.73</v>
      </c>
      <c r="C13" s="74"/>
      <c r="D13" s="173"/>
    </row>
    <row r="14" spans="1:20" x14ac:dyDescent="0.2">
      <c r="A14" s="43">
        <v>7.3</v>
      </c>
      <c r="B14" s="71">
        <v>478.65</v>
      </c>
      <c r="C14" s="74"/>
      <c r="D14" s="173"/>
    </row>
    <row r="15" spans="1:20" x14ac:dyDescent="0.2">
      <c r="A15" s="43">
        <v>7.8</v>
      </c>
      <c r="B15" s="71">
        <v>478.73</v>
      </c>
      <c r="C15" s="74"/>
      <c r="D15" s="173"/>
    </row>
    <row r="16" spans="1:20" x14ac:dyDescent="0.2">
      <c r="A16" s="43">
        <v>8.3000000000000007</v>
      </c>
      <c r="B16" s="71">
        <v>478.71</v>
      </c>
      <c r="C16" s="74"/>
      <c r="D16" s="173"/>
    </row>
    <row r="17" spans="1:4" x14ac:dyDescent="0.2">
      <c r="A17" s="43">
        <v>8.8000000000000007</v>
      </c>
      <c r="B17" s="71">
        <v>478.74</v>
      </c>
      <c r="C17" s="74"/>
      <c r="D17" s="173"/>
    </row>
    <row r="18" spans="1:4" x14ac:dyDescent="0.2">
      <c r="A18" s="43">
        <v>9.3000000000000007</v>
      </c>
      <c r="B18" s="71">
        <v>478.72</v>
      </c>
      <c r="C18" s="74"/>
      <c r="D18" s="173"/>
    </row>
    <row r="19" spans="1:4" x14ac:dyDescent="0.2">
      <c r="A19" s="43">
        <v>9.8000000000000007</v>
      </c>
      <c r="B19" s="71">
        <v>478.72</v>
      </c>
      <c r="C19" s="79"/>
      <c r="D19" s="173"/>
    </row>
    <row r="20" spans="1:4" x14ac:dyDescent="0.2">
      <c r="A20" s="43">
        <v>10.3</v>
      </c>
      <c r="B20" s="71">
        <v>478.73</v>
      </c>
      <c r="C20" s="74"/>
      <c r="D20" s="173"/>
    </row>
    <row r="21" spans="1:4" x14ac:dyDescent="0.2">
      <c r="A21" s="43">
        <v>10.8</v>
      </c>
      <c r="B21" s="71">
        <v>478.75</v>
      </c>
      <c r="C21" s="78"/>
      <c r="D21" s="173"/>
    </row>
    <row r="22" spans="1:4" x14ac:dyDescent="0.2">
      <c r="A22" s="43">
        <v>11.3</v>
      </c>
      <c r="B22" s="71">
        <v>478.75</v>
      </c>
      <c r="C22" s="76"/>
      <c r="D22" s="173"/>
    </row>
    <row r="23" spans="1:4" x14ac:dyDescent="0.2">
      <c r="A23" s="16">
        <v>12</v>
      </c>
      <c r="B23" s="72">
        <v>478.95</v>
      </c>
      <c r="C23" s="83" t="s">
        <v>10</v>
      </c>
      <c r="D23" s="173"/>
    </row>
    <row r="24" spans="1:4" x14ac:dyDescent="0.2">
      <c r="A24" s="43">
        <v>14</v>
      </c>
      <c r="B24" s="71">
        <v>479.59</v>
      </c>
      <c r="C24" s="74"/>
      <c r="D24" s="173"/>
    </row>
    <row r="25" spans="1:4" x14ac:dyDescent="0.2">
      <c r="A25" s="43">
        <v>16</v>
      </c>
      <c r="B25" s="71">
        <v>480.16</v>
      </c>
      <c r="C25" s="77"/>
      <c r="D25" s="173"/>
    </row>
    <row r="26" spans="1:4" x14ac:dyDescent="0.2">
      <c r="A26" s="16">
        <v>17</v>
      </c>
      <c r="B26" s="72">
        <v>480.44</v>
      </c>
      <c r="C26" s="74" t="s">
        <v>5</v>
      </c>
      <c r="D26" s="173"/>
    </row>
    <row r="27" spans="1:4" ht="20.100000000000001" customHeight="1" thickBot="1" x14ac:dyDescent="0.25">
      <c r="A27" s="16">
        <v>3.3</v>
      </c>
      <c r="B27" s="72">
        <v>478.95</v>
      </c>
      <c r="C27" s="62" t="s">
        <v>9</v>
      </c>
      <c r="D27" s="174" t="s">
        <v>6</v>
      </c>
    </row>
    <row r="28" spans="1:4" ht="20.100000000000001" customHeight="1" thickBot="1" x14ac:dyDescent="0.25">
      <c r="A28" s="16">
        <v>12</v>
      </c>
      <c r="B28" s="72">
        <v>478.95</v>
      </c>
      <c r="C28" s="61" t="s">
        <v>10</v>
      </c>
      <c r="D28" s="174"/>
    </row>
    <row r="29" spans="1:4" ht="20.100000000000001" customHeight="1" thickBot="1" x14ac:dyDescent="0.25">
      <c r="A29" s="20">
        <v>2</v>
      </c>
      <c r="B29" s="35">
        <v>478.30799999999999</v>
      </c>
      <c r="C29" s="21" t="s">
        <v>8</v>
      </c>
      <c r="D29" s="174"/>
    </row>
    <row r="30" spans="1:4" ht="20.100000000000001" customHeight="1" thickBot="1" x14ac:dyDescent="0.25">
      <c r="A30" s="20">
        <v>2</v>
      </c>
      <c r="B30" s="36">
        <v>480.30799999999999</v>
      </c>
      <c r="C30" s="22" t="s">
        <v>8</v>
      </c>
      <c r="D30" s="174"/>
    </row>
    <row r="31" spans="1:4" ht="20.100000000000001" customHeight="1" x14ac:dyDescent="0.2">
      <c r="A31" s="15">
        <v>1.6</v>
      </c>
      <c r="B31" s="19">
        <v>479.32</v>
      </c>
      <c r="C31" s="23" t="s">
        <v>2</v>
      </c>
      <c r="D31" s="174"/>
    </row>
    <row r="32" spans="1:4" ht="20.100000000000001" customHeight="1" thickBot="1" x14ac:dyDescent="0.25">
      <c r="A32" s="28">
        <v>1.6</v>
      </c>
      <c r="B32" s="33">
        <v>480.23</v>
      </c>
      <c r="C32" s="8" t="s">
        <v>2</v>
      </c>
      <c r="D32" s="174"/>
    </row>
    <row r="33" spans="1:5" ht="13.5" thickBot="1" x14ac:dyDescent="0.25">
      <c r="A33" s="51">
        <v>0</v>
      </c>
      <c r="B33" s="52">
        <v>480.6</v>
      </c>
      <c r="C33" s="9" t="s">
        <v>7</v>
      </c>
      <c r="D33" s="1"/>
    </row>
    <row r="34" spans="1:5" ht="13.5" thickBot="1" x14ac:dyDescent="0.25">
      <c r="A34" s="16">
        <v>25</v>
      </c>
      <c r="B34" s="46">
        <v>483.09</v>
      </c>
      <c r="C34" s="9" t="s">
        <v>7</v>
      </c>
      <c r="D34" s="1"/>
    </row>
    <row r="35" spans="1:5" ht="16.5" thickBot="1" x14ac:dyDescent="0.3">
      <c r="A35" s="24" t="s">
        <v>12</v>
      </c>
      <c r="B35" s="4"/>
      <c r="C35" s="56">
        <v>0.6</v>
      </c>
      <c r="D35" s="1"/>
    </row>
    <row r="36" spans="1:5" ht="16.5" thickBot="1" x14ac:dyDescent="0.3">
      <c r="A36" s="10" t="s">
        <v>11</v>
      </c>
      <c r="B36" s="4"/>
      <c r="C36" s="18">
        <v>479.35</v>
      </c>
      <c r="D36" s="1"/>
    </row>
    <row r="37" spans="1:5" ht="20.25" customHeight="1" thickBot="1" x14ac:dyDescent="0.3">
      <c r="A37" s="10" t="s">
        <v>14</v>
      </c>
      <c r="C37" s="31">
        <f>B3</f>
        <v>480.02</v>
      </c>
      <c r="D37" s="1"/>
    </row>
    <row r="38" spans="1:5" ht="15.75" thickBot="1" x14ac:dyDescent="0.3">
      <c r="A38" s="24" t="s">
        <v>13</v>
      </c>
      <c r="C38" s="32"/>
      <c r="D38" s="1"/>
    </row>
    <row r="39" spans="1:5" x14ac:dyDescent="0.2">
      <c r="A39" s="3"/>
      <c r="B39" s="4"/>
      <c r="C39" s="5"/>
      <c r="D39" s="1"/>
    </row>
    <row r="40" spans="1:5" x14ac:dyDescent="0.2">
      <c r="A40" s="3"/>
      <c r="B40" s="4"/>
      <c r="C40" s="5"/>
      <c r="D40" s="1"/>
    </row>
    <row r="41" spans="1:5" x14ac:dyDescent="0.2">
      <c r="A41" s="3"/>
      <c r="B41" s="4"/>
      <c r="C41" s="5"/>
      <c r="D41" s="1"/>
    </row>
    <row r="42" spans="1:5" x14ac:dyDescent="0.2">
      <c r="A42" s="3"/>
      <c r="B42" s="4"/>
      <c r="C42" s="5"/>
      <c r="D42" s="1"/>
    </row>
    <row r="43" spans="1:5" ht="18" x14ac:dyDescent="0.25">
      <c r="C43" s="49" t="s">
        <v>16</v>
      </c>
      <c r="D43" s="48"/>
      <c r="E43" s="48"/>
    </row>
  </sheetData>
  <mergeCells count="3">
    <mergeCell ref="A1:Q1"/>
    <mergeCell ref="D2:D26"/>
    <mergeCell ref="D27:D32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T51"/>
  <sheetViews>
    <sheetView showGridLines="0" topLeftCell="A19" zoomScale="75" workbookViewId="0">
      <selection activeCell="A42" sqref="A42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30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73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66">
        <v>0</v>
      </c>
      <c r="B3" s="69">
        <v>479.32</v>
      </c>
      <c r="C3" s="74" t="s">
        <v>31</v>
      </c>
      <c r="D3" s="173"/>
    </row>
    <row r="4" spans="1:20" x14ac:dyDescent="0.2">
      <c r="A4" s="40">
        <v>0</v>
      </c>
      <c r="B4" s="70">
        <v>480.11</v>
      </c>
      <c r="C4" s="74" t="s">
        <v>4</v>
      </c>
      <c r="D4" s="173"/>
    </row>
    <row r="5" spans="1:20" x14ac:dyDescent="0.2">
      <c r="A5" s="43">
        <v>10</v>
      </c>
      <c r="B5" s="71">
        <v>480.6</v>
      </c>
      <c r="C5" s="75"/>
      <c r="D5" s="173"/>
    </row>
    <row r="6" spans="1:20" x14ac:dyDescent="0.2">
      <c r="A6" s="43">
        <v>11.1</v>
      </c>
      <c r="B6" s="71">
        <v>480.11</v>
      </c>
      <c r="C6" s="74"/>
      <c r="D6" s="173"/>
    </row>
    <row r="7" spans="1:20" x14ac:dyDescent="0.2">
      <c r="A7" s="43">
        <v>11.1</v>
      </c>
      <c r="B7" s="71">
        <v>479.66</v>
      </c>
      <c r="C7" s="76"/>
      <c r="D7" s="173"/>
    </row>
    <row r="8" spans="1:20" x14ac:dyDescent="0.2">
      <c r="A8" s="43">
        <v>12.2</v>
      </c>
      <c r="B8" s="71">
        <v>479.17</v>
      </c>
      <c r="C8" s="77"/>
      <c r="D8" s="173"/>
    </row>
    <row r="9" spans="1:20" x14ac:dyDescent="0.2">
      <c r="A9" s="16">
        <v>12.9</v>
      </c>
      <c r="B9" s="72">
        <v>478.89</v>
      </c>
      <c r="C9" s="78" t="s">
        <v>9</v>
      </c>
      <c r="D9" s="173"/>
    </row>
    <row r="10" spans="1:20" x14ac:dyDescent="0.2">
      <c r="A10" s="43">
        <v>14.9</v>
      </c>
      <c r="B10" s="71">
        <v>478.65</v>
      </c>
      <c r="C10" s="76"/>
      <c r="D10" s="173"/>
    </row>
    <row r="11" spans="1:20" x14ac:dyDescent="0.2">
      <c r="A11" s="43">
        <v>15.15</v>
      </c>
      <c r="B11" s="71">
        <v>478.58</v>
      </c>
      <c r="C11" s="78"/>
      <c r="D11" s="173"/>
    </row>
    <row r="12" spans="1:20" x14ac:dyDescent="0.2">
      <c r="A12" s="43">
        <v>15.4</v>
      </c>
      <c r="B12" s="71">
        <v>478.55</v>
      </c>
      <c r="C12" s="74"/>
      <c r="D12" s="173"/>
    </row>
    <row r="13" spans="1:20" x14ac:dyDescent="0.2">
      <c r="A13" s="43">
        <v>15.65</v>
      </c>
      <c r="B13" s="71">
        <v>478.51</v>
      </c>
      <c r="C13" s="74"/>
      <c r="D13" s="173"/>
    </row>
    <row r="14" spans="1:20" x14ac:dyDescent="0.2">
      <c r="A14" s="43">
        <v>15.9</v>
      </c>
      <c r="B14" s="71">
        <v>478.44</v>
      </c>
      <c r="C14" s="74"/>
      <c r="D14" s="173"/>
    </row>
    <row r="15" spans="1:20" x14ac:dyDescent="0.2">
      <c r="A15" s="43">
        <v>16.149999999999999</v>
      </c>
      <c r="B15" s="71">
        <v>478.43</v>
      </c>
      <c r="C15" s="74"/>
      <c r="D15" s="173"/>
    </row>
    <row r="16" spans="1:20" x14ac:dyDescent="0.2">
      <c r="A16" s="43">
        <v>16.399999999999999</v>
      </c>
      <c r="B16" s="71">
        <v>478.43</v>
      </c>
      <c r="C16" s="74"/>
      <c r="D16" s="173"/>
    </row>
    <row r="17" spans="1:4" x14ac:dyDescent="0.2">
      <c r="A17" s="43">
        <v>16.649999999999999</v>
      </c>
      <c r="B17" s="71">
        <v>478.42</v>
      </c>
      <c r="C17" s="74"/>
      <c r="D17" s="173"/>
    </row>
    <row r="18" spans="1:4" x14ac:dyDescent="0.2">
      <c r="A18" s="43">
        <v>16.899999999999999</v>
      </c>
      <c r="B18" s="71">
        <v>478.43</v>
      </c>
      <c r="C18" s="74"/>
      <c r="D18" s="173"/>
    </row>
    <row r="19" spans="1:4" x14ac:dyDescent="0.2">
      <c r="A19" s="43">
        <v>17.149999999999999</v>
      </c>
      <c r="B19" s="71">
        <v>478.45</v>
      </c>
      <c r="C19" s="79"/>
      <c r="D19" s="173"/>
    </row>
    <row r="20" spans="1:4" x14ac:dyDescent="0.2">
      <c r="A20" s="43">
        <v>17.399999999999999</v>
      </c>
      <c r="B20" s="71">
        <v>478.44</v>
      </c>
      <c r="C20" s="74"/>
      <c r="D20" s="173"/>
    </row>
    <row r="21" spans="1:4" x14ac:dyDescent="0.2">
      <c r="A21" s="43">
        <v>17.649999999999999</v>
      </c>
      <c r="B21" s="71">
        <v>478.47</v>
      </c>
      <c r="C21" s="78"/>
      <c r="D21" s="173"/>
    </row>
    <row r="22" spans="1:4" x14ac:dyDescent="0.2">
      <c r="A22" s="43">
        <v>17.899999999999999</v>
      </c>
      <c r="B22" s="71">
        <v>478.45</v>
      </c>
      <c r="C22" s="76"/>
      <c r="D22" s="173"/>
    </row>
    <row r="23" spans="1:4" x14ac:dyDescent="0.2">
      <c r="A23" s="43">
        <v>18.149999999999999</v>
      </c>
      <c r="B23" s="71">
        <v>478.44</v>
      </c>
      <c r="C23" s="80"/>
      <c r="D23" s="173"/>
    </row>
    <row r="24" spans="1:4" x14ac:dyDescent="0.2">
      <c r="A24" s="43">
        <v>18.399999999999999</v>
      </c>
      <c r="B24" s="71">
        <v>478.54</v>
      </c>
      <c r="C24" s="74"/>
      <c r="D24" s="173"/>
    </row>
    <row r="25" spans="1:4" x14ac:dyDescent="0.2">
      <c r="A25" s="43">
        <v>18.649999999999999</v>
      </c>
      <c r="B25" s="71">
        <v>478.54</v>
      </c>
      <c r="C25" s="77"/>
      <c r="D25" s="173"/>
    </row>
    <row r="26" spans="1:4" x14ac:dyDescent="0.2">
      <c r="A26" s="43">
        <v>18.899999999999999</v>
      </c>
      <c r="B26" s="71">
        <v>478.55</v>
      </c>
      <c r="C26" s="74"/>
      <c r="D26" s="173"/>
    </row>
    <row r="27" spans="1:4" x14ac:dyDescent="0.2">
      <c r="A27" s="43">
        <v>19.149999999999999</v>
      </c>
      <c r="B27" s="44">
        <v>478.56</v>
      </c>
      <c r="C27" s="42"/>
      <c r="D27" s="173"/>
    </row>
    <row r="28" spans="1:4" x14ac:dyDescent="0.2">
      <c r="A28" s="43">
        <v>19.399999999999999</v>
      </c>
      <c r="B28" s="44">
        <v>478.36</v>
      </c>
      <c r="C28" s="42"/>
      <c r="D28" s="173"/>
    </row>
    <row r="29" spans="1:4" x14ac:dyDescent="0.2">
      <c r="A29" s="16">
        <v>19.899999999999999</v>
      </c>
      <c r="B29" s="46">
        <v>478.89</v>
      </c>
      <c r="C29" s="68" t="s">
        <v>10</v>
      </c>
      <c r="D29" s="173"/>
    </row>
    <row r="30" spans="1:4" x14ac:dyDescent="0.2">
      <c r="A30" s="43">
        <v>22.9</v>
      </c>
      <c r="B30" s="44">
        <v>479.76</v>
      </c>
      <c r="C30" s="42"/>
      <c r="D30" s="173"/>
    </row>
    <row r="31" spans="1:4" x14ac:dyDescent="0.2">
      <c r="A31" s="43">
        <v>24.3</v>
      </c>
      <c r="B31" s="44">
        <v>480.09</v>
      </c>
      <c r="C31" s="42"/>
      <c r="D31" s="173"/>
    </row>
    <row r="32" spans="1:4" x14ac:dyDescent="0.2">
      <c r="A32" s="43">
        <v>24.3</v>
      </c>
      <c r="B32" s="44">
        <v>483.09</v>
      </c>
      <c r="C32" s="42" t="s">
        <v>5</v>
      </c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v>12.9</v>
      </c>
      <c r="B35" s="46">
        <v>478.89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v>19.899999999999999</v>
      </c>
      <c r="B36" s="46">
        <v>478.89</v>
      </c>
      <c r="C36" s="61" t="s">
        <v>10</v>
      </c>
      <c r="D36" s="174"/>
    </row>
    <row r="37" spans="1:4" ht="20.100000000000001" customHeight="1" thickBot="1" x14ac:dyDescent="0.25">
      <c r="A37" s="20">
        <v>19</v>
      </c>
      <c r="B37" s="35">
        <v>478.30799999999999</v>
      </c>
      <c r="C37" s="21" t="s">
        <v>8</v>
      </c>
      <c r="D37" s="174"/>
    </row>
    <row r="38" spans="1:4" ht="20.100000000000001" customHeight="1" thickBot="1" x14ac:dyDescent="0.25">
      <c r="A38" s="20">
        <v>19</v>
      </c>
      <c r="B38" s="36">
        <v>480.30799999999999</v>
      </c>
      <c r="C38" s="22" t="s">
        <v>8</v>
      </c>
      <c r="D38" s="174"/>
    </row>
    <row r="39" spans="1:4" ht="20.100000000000001" customHeight="1" x14ac:dyDescent="0.2">
      <c r="A39" s="15">
        <v>19.5</v>
      </c>
      <c r="B39" s="19">
        <v>479.32</v>
      </c>
      <c r="C39" s="23" t="s">
        <v>2</v>
      </c>
      <c r="D39" s="174"/>
    </row>
    <row r="40" spans="1:4" ht="20.100000000000001" customHeight="1" thickBot="1" x14ac:dyDescent="0.25">
      <c r="A40" s="28">
        <v>19.5</v>
      </c>
      <c r="B40" s="33">
        <v>480.80900000000003</v>
      </c>
      <c r="C40" s="8" t="s">
        <v>2</v>
      </c>
      <c r="D40" s="174"/>
    </row>
    <row r="41" spans="1:4" ht="13.5" thickBot="1" x14ac:dyDescent="0.25">
      <c r="A41" s="51">
        <v>10</v>
      </c>
      <c r="B41" s="52">
        <v>480.6</v>
      </c>
      <c r="C41" s="9" t="s">
        <v>7</v>
      </c>
      <c r="D41" s="1"/>
    </row>
    <row r="42" spans="1:4" ht="13.5" thickBot="1" x14ac:dyDescent="0.25">
      <c r="A42" s="16">
        <v>24.3</v>
      </c>
      <c r="B42" s="46">
        <v>483.09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0.61</v>
      </c>
      <c r="D43" s="1"/>
    </row>
    <row r="44" spans="1:4" ht="16.5" thickBot="1" x14ac:dyDescent="0.3">
      <c r="A44" s="10" t="s">
        <v>11</v>
      </c>
      <c r="B44" s="4"/>
      <c r="C44" s="18">
        <f>B37</f>
        <v>478.30799999999999</v>
      </c>
      <c r="D44" s="1"/>
    </row>
    <row r="45" spans="1:4" ht="20.25" customHeight="1" thickBot="1" x14ac:dyDescent="0.3">
      <c r="A45" s="10" t="s">
        <v>14</v>
      </c>
      <c r="C45" s="31">
        <f>B3</f>
        <v>479.32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T51"/>
  <sheetViews>
    <sheetView showGridLines="0" topLeftCell="A19" zoomScale="75" workbookViewId="0">
      <selection activeCell="W40" sqref="W4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2" t="s">
        <v>18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</row>
    <row r="2" spans="1:20" ht="13.5" thickBot="1" x14ac:dyDescent="0.25">
      <c r="A2" s="11" t="s">
        <v>0</v>
      </c>
      <c r="B2" s="12" t="s">
        <v>1</v>
      </c>
      <c r="C2" s="73" t="s">
        <v>3</v>
      </c>
      <c r="D2" s="173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66">
        <v>0</v>
      </c>
      <c r="B3" s="69">
        <v>480</v>
      </c>
      <c r="C3" s="74" t="s">
        <v>17</v>
      </c>
      <c r="D3" s="173"/>
    </row>
    <row r="4" spans="1:20" x14ac:dyDescent="0.2">
      <c r="A4" s="40">
        <v>0</v>
      </c>
      <c r="B4" s="70">
        <v>480.1</v>
      </c>
      <c r="C4" s="74" t="s">
        <v>4</v>
      </c>
      <c r="D4" s="173"/>
    </row>
    <row r="5" spans="1:20" x14ac:dyDescent="0.2">
      <c r="A5" s="43">
        <v>1.4</v>
      </c>
      <c r="B5" s="71">
        <v>479.05</v>
      </c>
      <c r="C5" s="75"/>
      <c r="D5" s="173"/>
    </row>
    <row r="6" spans="1:20" x14ac:dyDescent="0.2">
      <c r="A6" s="43">
        <v>3</v>
      </c>
      <c r="B6" s="71">
        <v>478.99</v>
      </c>
      <c r="C6" s="74"/>
      <c r="D6" s="173"/>
    </row>
    <row r="7" spans="1:20" x14ac:dyDescent="0.2">
      <c r="A7" s="16">
        <v>4.4000000000000004</v>
      </c>
      <c r="B7" s="72">
        <v>478.96</v>
      </c>
      <c r="C7" s="76" t="s">
        <v>9</v>
      </c>
      <c r="D7" s="173"/>
    </row>
    <row r="8" spans="1:20" x14ac:dyDescent="0.2">
      <c r="A8" s="43">
        <v>4.7</v>
      </c>
      <c r="B8" s="71">
        <v>478.81</v>
      </c>
      <c r="C8" s="77"/>
      <c r="D8" s="173"/>
    </row>
    <row r="9" spans="1:20" x14ac:dyDescent="0.2">
      <c r="A9" s="43">
        <v>5.2</v>
      </c>
      <c r="B9" s="71">
        <v>478.78</v>
      </c>
      <c r="C9" s="78"/>
      <c r="D9" s="173"/>
    </row>
    <row r="10" spans="1:20" x14ac:dyDescent="0.2">
      <c r="A10" s="43">
        <v>5.7</v>
      </c>
      <c r="B10" s="71">
        <v>478.79</v>
      </c>
      <c r="C10" s="76"/>
      <c r="D10" s="173"/>
    </row>
    <row r="11" spans="1:20" x14ac:dyDescent="0.2">
      <c r="A11" s="43">
        <v>6.2</v>
      </c>
      <c r="B11" s="71">
        <v>478.82</v>
      </c>
      <c r="C11" s="78"/>
      <c r="D11" s="173"/>
    </row>
    <row r="12" spans="1:20" x14ac:dyDescent="0.2">
      <c r="A12" s="43">
        <v>6.7</v>
      </c>
      <c r="B12" s="71">
        <v>478.75</v>
      </c>
      <c r="C12" s="74"/>
      <c r="D12" s="173"/>
    </row>
    <row r="13" spans="1:20" x14ac:dyDescent="0.2">
      <c r="A13" s="43">
        <v>7.2</v>
      </c>
      <c r="B13" s="71">
        <v>478.74</v>
      </c>
      <c r="C13" s="74"/>
      <c r="D13" s="173"/>
    </row>
    <row r="14" spans="1:20" x14ac:dyDescent="0.2">
      <c r="A14" s="43">
        <v>7.7</v>
      </c>
      <c r="B14" s="71">
        <v>478.72</v>
      </c>
      <c r="C14" s="74"/>
      <c r="D14" s="173"/>
    </row>
    <row r="15" spans="1:20" x14ac:dyDescent="0.2">
      <c r="A15" s="43">
        <v>8.1999999999999993</v>
      </c>
      <c r="B15" s="71">
        <v>478.62</v>
      </c>
      <c r="C15" s="74"/>
      <c r="D15" s="173"/>
    </row>
    <row r="16" spans="1:20" x14ac:dyDescent="0.2">
      <c r="A16" s="43">
        <v>8.6999999999999993</v>
      </c>
      <c r="B16" s="71">
        <v>478.59</v>
      </c>
      <c r="C16" s="74"/>
      <c r="D16" s="173"/>
    </row>
    <row r="17" spans="1:4" x14ac:dyDescent="0.2">
      <c r="A17" s="43">
        <v>9.1999999999999993</v>
      </c>
      <c r="B17" s="71">
        <v>478.58</v>
      </c>
      <c r="C17" s="74"/>
      <c r="D17" s="173"/>
    </row>
    <row r="18" spans="1:4" x14ac:dyDescent="0.2">
      <c r="A18" s="43">
        <v>9.6999999999999993</v>
      </c>
      <c r="B18" s="71">
        <v>478.6</v>
      </c>
      <c r="C18" s="74"/>
      <c r="D18" s="173"/>
    </row>
    <row r="19" spans="1:4" x14ac:dyDescent="0.2">
      <c r="A19" s="43">
        <v>10.199999999999999</v>
      </c>
      <c r="B19" s="71">
        <v>478.59</v>
      </c>
      <c r="C19" s="79"/>
      <c r="D19" s="173"/>
    </row>
    <row r="20" spans="1:4" x14ac:dyDescent="0.2">
      <c r="A20" s="43">
        <v>10.7</v>
      </c>
      <c r="B20" s="71">
        <v>478.65</v>
      </c>
      <c r="C20" s="74"/>
      <c r="D20" s="173"/>
    </row>
    <row r="21" spans="1:4" x14ac:dyDescent="0.2">
      <c r="A21" s="43">
        <v>11.2</v>
      </c>
      <c r="B21" s="71">
        <v>478.74</v>
      </c>
      <c r="C21" s="78"/>
      <c r="D21" s="173"/>
    </row>
    <row r="22" spans="1:4" x14ac:dyDescent="0.2">
      <c r="A22" s="43">
        <v>11.7</v>
      </c>
      <c r="B22" s="71">
        <v>478.71</v>
      </c>
      <c r="C22" s="76"/>
      <c r="D22" s="173"/>
    </row>
    <row r="23" spans="1:4" x14ac:dyDescent="0.2">
      <c r="A23" s="43">
        <v>12.2</v>
      </c>
      <c r="B23" s="71">
        <v>478.76</v>
      </c>
      <c r="C23" s="80"/>
      <c r="D23" s="173"/>
    </row>
    <row r="24" spans="1:4" x14ac:dyDescent="0.2">
      <c r="A24" s="16">
        <v>13.1</v>
      </c>
      <c r="B24" s="72">
        <v>478.96</v>
      </c>
      <c r="C24" s="74" t="s">
        <v>10</v>
      </c>
      <c r="D24" s="173"/>
    </row>
    <row r="25" spans="1:4" x14ac:dyDescent="0.2">
      <c r="A25" s="43">
        <v>14.6</v>
      </c>
      <c r="B25" s="71">
        <v>479.03</v>
      </c>
      <c r="C25" s="77"/>
      <c r="D25" s="173"/>
    </row>
    <row r="26" spans="1:4" x14ac:dyDescent="0.2">
      <c r="A26" s="43">
        <v>15.6</v>
      </c>
      <c r="B26" s="71">
        <v>479.43</v>
      </c>
      <c r="C26" s="74"/>
      <c r="D26" s="173"/>
    </row>
    <row r="27" spans="1:4" x14ac:dyDescent="0.2">
      <c r="A27" s="16">
        <v>17.600000000000001</v>
      </c>
      <c r="B27" s="46">
        <v>480.06</v>
      </c>
      <c r="C27" s="42" t="s">
        <v>5</v>
      </c>
      <c r="D27" s="173"/>
    </row>
    <row r="28" spans="1:4" x14ac:dyDescent="0.2">
      <c r="A28" s="43"/>
      <c r="B28" s="44"/>
      <c r="C28" s="42"/>
      <c r="D28" s="173"/>
    </row>
    <row r="29" spans="1:4" x14ac:dyDescent="0.2">
      <c r="A29" s="16"/>
      <c r="B29" s="46"/>
      <c r="C29" s="68"/>
      <c r="D29" s="173"/>
    </row>
    <row r="30" spans="1:4" x14ac:dyDescent="0.2">
      <c r="A30" s="43"/>
      <c r="B30" s="44"/>
      <c r="C30" s="42"/>
      <c r="D30" s="173"/>
    </row>
    <row r="31" spans="1:4" x14ac:dyDescent="0.2">
      <c r="A31" s="43"/>
      <c r="B31" s="44"/>
      <c r="C31" s="42"/>
      <c r="D31" s="173"/>
    </row>
    <row r="32" spans="1:4" x14ac:dyDescent="0.2">
      <c r="A32" s="43"/>
      <c r="B32" s="44"/>
      <c r="C32" s="42"/>
      <c r="D32" s="173"/>
    </row>
    <row r="33" spans="1:4" x14ac:dyDescent="0.2">
      <c r="A33" s="43"/>
      <c r="B33" s="44"/>
      <c r="C33" s="47"/>
      <c r="D33" s="173"/>
    </row>
    <row r="34" spans="1:4" ht="13.5" thickBot="1" x14ac:dyDescent="0.25">
      <c r="A34" s="6"/>
      <c r="B34" s="13"/>
      <c r="C34" s="59"/>
      <c r="D34" s="173"/>
    </row>
    <row r="35" spans="1:4" ht="20.100000000000001" customHeight="1" thickBot="1" x14ac:dyDescent="0.25">
      <c r="A35" s="16">
        <f>A7</f>
        <v>4.4000000000000004</v>
      </c>
      <c r="B35" s="46">
        <f>B7</f>
        <v>478.96</v>
      </c>
      <c r="C35" s="62" t="s">
        <v>9</v>
      </c>
      <c r="D35" s="174" t="s">
        <v>6</v>
      </c>
    </row>
    <row r="36" spans="1:4" ht="20.100000000000001" customHeight="1" thickBot="1" x14ac:dyDescent="0.25">
      <c r="A36" s="16">
        <f>A24</f>
        <v>13.1</v>
      </c>
      <c r="B36" s="46">
        <f>B24</f>
        <v>478.96</v>
      </c>
      <c r="C36" s="61" t="s">
        <v>10</v>
      </c>
      <c r="D36" s="174"/>
    </row>
    <row r="37" spans="1:4" ht="20.100000000000001" customHeight="1" thickBot="1" x14ac:dyDescent="0.25">
      <c r="A37" s="20">
        <v>1.4</v>
      </c>
      <c r="B37" s="35">
        <v>478.31200000000001</v>
      </c>
      <c r="C37" s="21" t="s">
        <v>8</v>
      </c>
      <c r="D37" s="174"/>
    </row>
    <row r="38" spans="1:4" ht="20.100000000000001" customHeight="1" thickBot="1" x14ac:dyDescent="0.25">
      <c r="A38" s="20">
        <v>1.4</v>
      </c>
      <c r="B38" s="36">
        <v>480.33</v>
      </c>
      <c r="C38" s="22" t="s">
        <v>8</v>
      </c>
      <c r="D38" s="174"/>
    </row>
    <row r="39" spans="1:4" ht="20.100000000000001" customHeight="1" x14ac:dyDescent="0.2">
      <c r="A39" s="15">
        <v>3</v>
      </c>
      <c r="B39" s="19">
        <v>479.32</v>
      </c>
      <c r="C39" s="23" t="s">
        <v>2</v>
      </c>
      <c r="D39" s="174"/>
    </row>
    <row r="40" spans="1:4" ht="20.100000000000001" customHeight="1" thickBot="1" x14ac:dyDescent="0.25">
      <c r="A40" s="28">
        <v>3</v>
      </c>
      <c r="B40" s="33">
        <v>480.80900000000003</v>
      </c>
      <c r="C40" s="8" t="s">
        <v>2</v>
      </c>
      <c r="D40" s="174"/>
    </row>
    <row r="41" spans="1:4" ht="13.5" thickBot="1" x14ac:dyDescent="0.25">
      <c r="A41" s="51">
        <v>0</v>
      </c>
      <c r="B41" s="52">
        <f>B4</f>
        <v>480.1</v>
      </c>
      <c r="C41" s="9" t="s">
        <v>7</v>
      </c>
      <c r="D41" s="1"/>
    </row>
    <row r="42" spans="1:4" ht="13.5" thickBot="1" x14ac:dyDescent="0.25">
      <c r="A42" s="16">
        <f>A27</f>
        <v>17.600000000000001</v>
      </c>
      <c r="B42" s="46">
        <f>B27</f>
        <v>480.06</v>
      </c>
      <c r="C42" s="9" t="s">
        <v>7</v>
      </c>
      <c r="D42" s="1"/>
    </row>
    <row r="43" spans="1:4" ht="16.5" thickBot="1" x14ac:dyDescent="0.3">
      <c r="A43" s="24" t="s">
        <v>12</v>
      </c>
      <c r="B43" s="4"/>
      <c r="C43" s="56">
        <v>0.56000000000000005</v>
      </c>
      <c r="D43" s="1"/>
    </row>
    <row r="44" spans="1:4" ht="16.5" thickBot="1" x14ac:dyDescent="0.3">
      <c r="A44" s="10" t="s">
        <v>11</v>
      </c>
      <c r="B44" s="4"/>
      <c r="C44" s="18">
        <f>B37</f>
        <v>478.31200000000001</v>
      </c>
      <c r="D44" s="1"/>
    </row>
    <row r="45" spans="1:4" ht="20.25" customHeight="1" thickBot="1" x14ac:dyDescent="0.3">
      <c r="A45" s="10" t="s">
        <v>14</v>
      </c>
      <c r="C45" s="31">
        <f>B3</f>
        <v>480</v>
      </c>
      <c r="D45" s="1"/>
    </row>
    <row r="46" spans="1:4" ht="15.75" thickBot="1" x14ac:dyDescent="0.3">
      <c r="A46" s="24" t="s">
        <v>13</v>
      </c>
      <c r="C46" s="32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ht="18" x14ac:dyDescent="0.25">
      <c r="C51" s="49" t="s">
        <v>16</v>
      </c>
      <c r="D51" s="48"/>
      <c r="E51" s="48"/>
    </row>
  </sheetData>
  <mergeCells count="3">
    <mergeCell ref="A1:Q1"/>
    <mergeCell ref="D2:D34"/>
    <mergeCell ref="D35:D40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P75"/>
  <sheetViews>
    <sheetView zoomScale="70" zoomScaleNormal="70" workbookViewId="0">
      <selection activeCell="W9" sqref="W9"/>
    </sheetView>
  </sheetViews>
  <sheetFormatPr baseColWidth="10" defaultColWidth="11.42578125" defaultRowHeight="12.75" x14ac:dyDescent="0.2"/>
  <cols>
    <col min="1" max="1" width="9.7109375" style="84" customWidth="1"/>
    <col min="2" max="2" width="8.570312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1" t="s">
        <v>65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98.69</v>
      </c>
      <c r="AI4" s="92">
        <f>AH4</f>
        <v>98.69</v>
      </c>
      <c r="AJ4" s="86"/>
      <c r="AK4" s="86"/>
      <c r="AL4" s="93">
        <f>SUM(AL5:AL46)</f>
        <v>94.821999999999989</v>
      </c>
      <c r="AM4" s="93">
        <f>SUM(AM5:AM46)</f>
        <v>10.5</v>
      </c>
      <c r="AN4" s="93">
        <f>SUM(AN5:AN46)</f>
        <v>94.801999999999992</v>
      </c>
      <c r="AO4" s="93">
        <f>SUM(AO5:AO46)</f>
        <v>23</v>
      </c>
      <c r="AP4" s="86"/>
    </row>
    <row r="5" spans="1:42" ht="15.75" x14ac:dyDescent="0.25">
      <c r="A5" s="94">
        <f t="shared" ref="A5:A51" si="0">AF5</f>
        <v>0</v>
      </c>
      <c r="B5" s="95">
        <f t="shared" ref="B5:B51" si="1">AD5</f>
        <v>98.69</v>
      </c>
      <c r="C5" s="96" t="str">
        <f>IF(AG5="","",AG5)</f>
        <v xml:space="preserve">S/BM </v>
      </c>
      <c r="D5" s="190"/>
      <c r="X5" s="97"/>
      <c r="Y5" s="98"/>
      <c r="Z5" s="99">
        <v>0.89200000000000002</v>
      </c>
      <c r="AA5" s="100"/>
      <c r="AB5" s="101"/>
      <c r="AC5" s="102">
        <f>IF(AA5="",AD5+Z5,"")</f>
        <v>99.581999999999994</v>
      </c>
      <c r="AD5" s="103">
        <v>98.69</v>
      </c>
      <c r="AE5" s="104">
        <v>0</v>
      </c>
      <c r="AF5" s="105"/>
      <c r="AG5" s="106" t="s">
        <v>46</v>
      </c>
      <c r="AH5" s="86">
        <f t="shared" ref="AH5:AH46" si="2">IF(AND(AJ5="NAOI",AJ5=AJ6),AK5,AI5)</f>
        <v>99.581999999999994</v>
      </c>
      <c r="AI5" s="86">
        <f>IF(AA5="",AC5,AI4)</f>
        <v>99.581999999999994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98.69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97.131999999999991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2.4500000000000002</v>
      </c>
      <c r="AB6" s="111"/>
      <c r="AC6" s="112" t="str">
        <f>IF(AA6="",AD6+Z6,"")</f>
        <v/>
      </c>
      <c r="AD6" s="113">
        <f>IF(AA6="",AH5-AB6,AH5-AA6)</f>
        <v>97.131999999999991</v>
      </c>
      <c r="AE6" s="114">
        <v>0</v>
      </c>
      <c r="AF6" s="113">
        <f>AE6</f>
        <v>0</v>
      </c>
      <c r="AG6" s="115" t="s">
        <v>4</v>
      </c>
      <c r="AH6" s="86">
        <f t="shared" si="2"/>
        <v>99.581999999999994</v>
      </c>
      <c r="AI6" s="86">
        <f t="shared" ref="AI6:AI46" si="6">IF(AA6="",AC6,AI5)</f>
        <v>99.581999999999994</v>
      </c>
      <c r="AJ6" s="86" t="str">
        <f t="shared" si="3"/>
        <v>PRI</v>
      </c>
      <c r="AK6" s="93">
        <f t="shared" si="4"/>
        <v>97.131999999999991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5</v>
      </c>
      <c r="B7" s="95">
        <f t="shared" si="1"/>
        <v>96.361999999999995</v>
      </c>
      <c r="C7" s="96" t="str">
        <f t="shared" si="5"/>
        <v/>
      </c>
      <c r="D7" s="190"/>
      <c r="X7" s="107"/>
      <c r="Y7" s="108"/>
      <c r="Z7" s="109"/>
      <c r="AA7" s="110">
        <v>3.22</v>
      </c>
      <c r="AB7" s="111"/>
      <c r="AC7" s="112" t="str">
        <f t="shared" ref="AC7:AC46" si="11">IF(AA7="",AD7+Z7,"")</f>
        <v/>
      </c>
      <c r="AD7" s="113">
        <f>IF(AA7="",AH6-AB7,AH6-AA7)</f>
        <v>96.361999999999995</v>
      </c>
      <c r="AE7" s="114">
        <v>5</v>
      </c>
      <c r="AF7" s="113">
        <f t="shared" ref="AF7:AF46" si="12">+AF6+AE7</f>
        <v>5</v>
      </c>
      <c r="AG7" s="116"/>
      <c r="AH7" s="86">
        <f t="shared" si="2"/>
        <v>99.581999999999994</v>
      </c>
      <c r="AI7" s="86">
        <f t="shared" si="6"/>
        <v>99.581999999999994</v>
      </c>
      <c r="AJ7" s="86" t="str">
        <f t="shared" si="3"/>
        <v>PRI</v>
      </c>
      <c r="AK7" s="93">
        <f t="shared" si="4"/>
        <v>96.361999999999995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9</v>
      </c>
      <c r="B8" s="95">
        <f t="shared" si="1"/>
        <v>95.071999999999989</v>
      </c>
      <c r="C8" s="96" t="str">
        <f t="shared" si="5"/>
        <v/>
      </c>
      <c r="D8" s="190"/>
      <c r="X8" s="107"/>
      <c r="Y8" s="108"/>
      <c r="Z8" s="109"/>
      <c r="AA8" s="110">
        <v>4.51</v>
      </c>
      <c r="AB8" s="111"/>
      <c r="AC8" s="112" t="str">
        <f t="shared" si="11"/>
        <v/>
      </c>
      <c r="AD8" s="113">
        <f>IF(AA8="",AH7-AB8,AH7-AA8)</f>
        <v>95.071999999999989</v>
      </c>
      <c r="AE8" s="114">
        <v>4</v>
      </c>
      <c r="AF8" s="113">
        <f t="shared" si="12"/>
        <v>9</v>
      </c>
      <c r="AG8" s="116"/>
      <c r="AH8" s="86">
        <f t="shared" si="2"/>
        <v>99.581999999999994</v>
      </c>
      <c r="AI8" s="86">
        <f t="shared" si="6"/>
        <v>99.581999999999994</v>
      </c>
      <c r="AJ8" s="86" t="str">
        <f t="shared" si="3"/>
        <v>PRI</v>
      </c>
      <c r="AK8" s="93">
        <f t="shared" si="4"/>
        <v>95.071999999999989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10.5</v>
      </c>
      <c r="B9" s="95">
        <f t="shared" si="1"/>
        <v>94.821999999999989</v>
      </c>
      <c r="C9" s="96" t="str">
        <f t="shared" si="5"/>
        <v>NAOI</v>
      </c>
      <c r="D9" s="190"/>
      <c r="X9" s="107"/>
      <c r="Y9" s="108"/>
      <c r="Z9" s="109"/>
      <c r="AA9" s="110">
        <v>4.76</v>
      </c>
      <c r="AB9" s="111"/>
      <c r="AC9" s="112" t="str">
        <f t="shared" si="11"/>
        <v/>
      </c>
      <c r="AD9" s="113">
        <f>IF(AA9="",AH8-AB9,AH8-AA9)</f>
        <v>94.821999999999989</v>
      </c>
      <c r="AE9" s="114">
        <v>1.5</v>
      </c>
      <c r="AF9" s="113">
        <f t="shared" si="12"/>
        <v>10.5</v>
      </c>
      <c r="AG9" s="115" t="s">
        <v>9</v>
      </c>
      <c r="AH9" s="86">
        <f t="shared" si="2"/>
        <v>94.821999999999989</v>
      </c>
      <c r="AI9" s="86">
        <f t="shared" si="6"/>
        <v>99.581999999999994</v>
      </c>
      <c r="AJ9" s="86" t="str">
        <f t="shared" si="3"/>
        <v>NAOI</v>
      </c>
      <c r="AK9" s="93">
        <f t="shared" si="4"/>
        <v>94.821999999999989</v>
      </c>
      <c r="AL9" s="86">
        <f t="shared" si="7"/>
        <v>94.821999999999989</v>
      </c>
      <c r="AM9" s="93">
        <f t="shared" si="8"/>
        <v>10.5</v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11.5</v>
      </c>
      <c r="B10" s="95">
        <f t="shared" si="1"/>
        <v>94.521999999999991</v>
      </c>
      <c r="C10" s="96" t="str">
        <f t="shared" si="5"/>
        <v/>
      </c>
      <c r="D10" s="190"/>
      <c r="E10" s="84">
        <f>(B12+B35)/2</f>
        <v>96.578000000000003</v>
      </c>
      <c r="X10" s="107"/>
      <c r="Y10" s="108"/>
      <c r="Z10" s="109"/>
      <c r="AA10" s="110">
        <v>0.3</v>
      </c>
      <c r="AB10" s="111"/>
      <c r="AC10" s="112" t="str">
        <f t="shared" si="11"/>
        <v/>
      </c>
      <c r="AD10" s="113">
        <f t="shared" ref="AD10:AD51" si="13">IF(AJ9="S/BM",AD9,IF(AA10="",AH9-AB10,AH9-AA10))</f>
        <v>94.521999999999991</v>
      </c>
      <c r="AE10" s="114">
        <v>1</v>
      </c>
      <c r="AF10" s="113">
        <f t="shared" si="12"/>
        <v>11.5</v>
      </c>
      <c r="AG10" s="116"/>
      <c r="AH10" s="86">
        <f t="shared" si="2"/>
        <v>94.821999999999989</v>
      </c>
      <c r="AI10" s="86">
        <f t="shared" si="6"/>
        <v>99.581999999999994</v>
      </c>
      <c r="AJ10" s="86" t="str">
        <f t="shared" si="3"/>
        <v>NAOI</v>
      </c>
      <c r="AK10" s="93">
        <f t="shared" si="4"/>
        <v>94.821999999999989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12.5</v>
      </c>
      <c r="B11" s="95">
        <f t="shared" si="1"/>
        <v>94.471999999999994</v>
      </c>
      <c r="C11" s="96" t="str">
        <f t="shared" si="5"/>
        <v/>
      </c>
      <c r="D11" s="190"/>
      <c r="E11" s="117">
        <v>0.33</v>
      </c>
      <c r="X11" s="107"/>
      <c r="Y11" s="108"/>
      <c r="Z11" s="109"/>
      <c r="AA11" s="110">
        <v>0.35</v>
      </c>
      <c r="AB11" s="111"/>
      <c r="AC11" s="112" t="str">
        <f t="shared" si="11"/>
        <v/>
      </c>
      <c r="AD11" s="113">
        <f t="shared" si="13"/>
        <v>94.471999999999994</v>
      </c>
      <c r="AE11" s="114">
        <v>1</v>
      </c>
      <c r="AF11" s="113">
        <f t="shared" si="12"/>
        <v>12.5</v>
      </c>
      <c r="AG11" s="116"/>
      <c r="AH11" s="86">
        <f t="shared" si="2"/>
        <v>94.821999999999989</v>
      </c>
      <c r="AI11" s="86">
        <f t="shared" si="6"/>
        <v>99.581999999999994</v>
      </c>
      <c r="AJ11" s="86" t="str">
        <f t="shared" si="3"/>
        <v>NAOI</v>
      </c>
      <c r="AK11" s="93">
        <f t="shared" si="4"/>
        <v>94.821999999999989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13</v>
      </c>
      <c r="B12" s="95">
        <f t="shared" si="1"/>
        <v>94.461999999999989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0.36</v>
      </c>
      <c r="AB12" s="111"/>
      <c r="AC12" s="112" t="str">
        <f>IF(AA12="",AD12+Z12,"")</f>
        <v/>
      </c>
      <c r="AD12" s="113">
        <f t="shared" si="13"/>
        <v>94.461999999999989</v>
      </c>
      <c r="AE12" s="114">
        <v>0.5</v>
      </c>
      <c r="AF12" s="113">
        <f t="shared" si="12"/>
        <v>13</v>
      </c>
      <c r="AG12" s="116"/>
      <c r="AH12" s="86">
        <f t="shared" si="2"/>
        <v>94.821999999999989</v>
      </c>
      <c r="AI12" s="86">
        <f t="shared" si="6"/>
        <v>99.581999999999994</v>
      </c>
      <c r="AJ12" s="86" t="str">
        <f t="shared" si="3"/>
        <v>NAOI</v>
      </c>
      <c r="AK12" s="93">
        <f t="shared" si="4"/>
        <v>94.821999999999989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13.5</v>
      </c>
      <c r="B13" s="95">
        <f t="shared" si="1"/>
        <v>94.441999999999993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0.38</v>
      </c>
      <c r="AB13" s="111"/>
      <c r="AC13" s="112" t="str">
        <f t="shared" si="11"/>
        <v/>
      </c>
      <c r="AD13" s="113">
        <f t="shared" si="13"/>
        <v>94.441999999999993</v>
      </c>
      <c r="AE13" s="114">
        <v>0.5</v>
      </c>
      <c r="AF13" s="113">
        <f t="shared" si="12"/>
        <v>13.5</v>
      </c>
      <c r="AG13" s="116"/>
      <c r="AH13" s="86">
        <f t="shared" si="2"/>
        <v>94.821999999999989</v>
      </c>
      <c r="AI13" s="86">
        <f t="shared" si="6"/>
        <v>99.581999999999994</v>
      </c>
      <c r="AJ13" s="86" t="str">
        <f t="shared" si="3"/>
        <v>NAOI</v>
      </c>
      <c r="AK13" s="93">
        <f t="shared" si="4"/>
        <v>94.821999999999989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14</v>
      </c>
      <c r="B14" s="95">
        <f t="shared" si="1"/>
        <v>94.431999999999988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0.39</v>
      </c>
      <c r="AB14" s="111"/>
      <c r="AC14" s="112" t="str">
        <f t="shared" si="11"/>
        <v/>
      </c>
      <c r="AD14" s="113">
        <f t="shared" si="13"/>
        <v>94.431999999999988</v>
      </c>
      <c r="AE14" s="114">
        <v>0.5</v>
      </c>
      <c r="AF14" s="113">
        <f t="shared" si="12"/>
        <v>14</v>
      </c>
      <c r="AG14" s="116"/>
      <c r="AH14" s="86">
        <f t="shared" si="2"/>
        <v>94.821999999999989</v>
      </c>
      <c r="AI14" s="86">
        <f t="shared" si="6"/>
        <v>99.581999999999994</v>
      </c>
      <c r="AJ14" s="86" t="str">
        <f t="shared" si="3"/>
        <v>NAOI</v>
      </c>
      <c r="AK14" s="93">
        <f>IF(AND(AJ14="NAOI",AJ13="NAOI"),AK13,AD14)</f>
        <v>94.821999999999989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14.5</v>
      </c>
      <c r="B15" s="95">
        <f t="shared" si="1"/>
        <v>94.321999999999989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0.5</v>
      </c>
      <c r="AB15" s="111"/>
      <c r="AC15" s="112" t="str">
        <f t="shared" si="11"/>
        <v/>
      </c>
      <c r="AD15" s="113">
        <f t="shared" si="13"/>
        <v>94.321999999999989</v>
      </c>
      <c r="AE15" s="114">
        <v>0.5</v>
      </c>
      <c r="AF15" s="113">
        <f t="shared" si="12"/>
        <v>14.5</v>
      </c>
      <c r="AG15" s="115"/>
      <c r="AH15" s="86">
        <f t="shared" si="2"/>
        <v>94.821999999999989</v>
      </c>
      <c r="AI15" s="86">
        <f t="shared" si="6"/>
        <v>99.581999999999994</v>
      </c>
      <c r="AJ15" s="86" t="str">
        <f t="shared" si="3"/>
        <v>NAOI</v>
      </c>
      <c r="AK15" s="93">
        <f>IF(AND(AJ15="NAOI",AJ14="NAOI"),AK14,AD15)</f>
        <v>94.821999999999989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15</v>
      </c>
      <c r="B16" s="95">
        <f t="shared" si="1"/>
        <v>94.261999999999986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0.56000000000000005</v>
      </c>
      <c r="AB16" s="111"/>
      <c r="AC16" s="112" t="str">
        <f t="shared" si="11"/>
        <v/>
      </c>
      <c r="AD16" s="113">
        <f t="shared" si="13"/>
        <v>94.261999999999986</v>
      </c>
      <c r="AE16" s="114">
        <v>0.5</v>
      </c>
      <c r="AF16" s="113">
        <f t="shared" si="12"/>
        <v>15</v>
      </c>
      <c r="AG16" s="118"/>
      <c r="AH16" s="86">
        <f t="shared" si="2"/>
        <v>94.821999999999989</v>
      </c>
      <c r="AI16" s="86">
        <f t="shared" si="6"/>
        <v>99.581999999999994</v>
      </c>
      <c r="AJ16" s="86" t="str">
        <f t="shared" si="3"/>
        <v>NAOI</v>
      </c>
      <c r="AK16" s="93">
        <f>IF(AND(AJ16="NAOI",AJ15="NAOI"),AK15,AD16)</f>
        <v>94.821999999999989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15.5</v>
      </c>
      <c r="B17" s="95">
        <f t="shared" si="1"/>
        <v>94.35199999999999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0.47</v>
      </c>
      <c r="AB17" s="111"/>
      <c r="AC17" s="112" t="str">
        <f t="shared" si="11"/>
        <v/>
      </c>
      <c r="AD17" s="113">
        <f t="shared" si="13"/>
        <v>94.35199999999999</v>
      </c>
      <c r="AE17" s="114">
        <v>0.5</v>
      </c>
      <c r="AF17" s="113">
        <f t="shared" si="12"/>
        <v>15.5</v>
      </c>
      <c r="AG17" s="118"/>
      <c r="AH17" s="86">
        <f t="shared" si="2"/>
        <v>94.821999999999989</v>
      </c>
      <c r="AI17" s="86">
        <f t="shared" si="6"/>
        <v>99.581999999999994</v>
      </c>
      <c r="AJ17" s="86" t="str">
        <f t="shared" si="3"/>
        <v>NAOI</v>
      </c>
      <c r="AK17" s="93">
        <f t="shared" ref="AK17:AK46" si="15">IF(AND(AJ17="NAOI",AJ16="NAOI"),AK16,AD17)</f>
        <v>94.821999999999989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16</v>
      </c>
      <c r="B18" s="95">
        <f t="shared" si="1"/>
        <v>94.331999999999994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0.49</v>
      </c>
      <c r="AB18" s="111"/>
      <c r="AC18" s="112" t="str">
        <f t="shared" si="11"/>
        <v/>
      </c>
      <c r="AD18" s="113">
        <f t="shared" si="13"/>
        <v>94.331999999999994</v>
      </c>
      <c r="AE18" s="114">
        <v>0.5</v>
      </c>
      <c r="AF18" s="113">
        <f t="shared" si="12"/>
        <v>16</v>
      </c>
      <c r="AG18" s="118"/>
      <c r="AH18" s="86">
        <f t="shared" si="2"/>
        <v>94.821999999999989</v>
      </c>
      <c r="AI18" s="86">
        <f t="shared" si="6"/>
        <v>99.581999999999994</v>
      </c>
      <c r="AJ18" s="86" t="str">
        <f t="shared" si="3"/>
        <v>NAOI</v>
      </c>
      <c r="AK18" s="93">
        <f t="shared" si="15"/>
        <v>94.821999999999989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16.5</v>
      </c>
      <c r="B19" s="95">
        <f t="shared" si="1"/>
        <v>94.261999999999986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0.56000000000000005</v>
      </c>
      <c r="AB19" s="111"/>
      <c r="AC19" s="112" t="str">
        <f t="shared" si="11"/>
        <v/>
      </c>
      <c r="AD19" s="113">
        <f t="shared" si="13"/>
        <v>94.261999999999986</v>
      </c>
      <c r="AE19" s="114">
        <v>0.5</v>
      </c>
      <c r="AF19" s="113">
        <f t="shared" si="12"/>
        <v>16.5</v>
      </c>
      <c r="AG19" s="118"/>
      <c r="AH19" s="86">
        <f t="shared" si="2"/>
        <v>94.821999999999989</v>
      </c>
      <c r="AI19" s="86">
        <f t="shared" si="6"/>
        <v>99.581999999999994</v>
      </c>
      <c r="AJ19" s="86" t="str">
        <f t="shared" si="3"/>
        <v>NAOI</v>
      </c>
      <c r="AK19" s="93">
        <f t="shared" si="15"/>
        <v>94.821999999999989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17</v>
      </c>
      <c r="B20" s="95">
        <f t="shared" si="1"/>
        <v>94.321999999999989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0.5</v>
      </c>
      <c r="AB20" s="111"/>
      <c r="AC20" s="112" t="str">
        <f t="shared" si="11"/>
        <v/>
      </c>
      <c r="AD20" s="113">
        <f t="shared" si="13"/>
        <v>94.321999999999989</v>
      </c>
      <c r="AE20" s="114">
        <v>0.5</v>
      </c>
      <c r="AF20" s="113">
        <f t="shared" si="12"/>
        <v>17</v>
      </c>
      <c r="AG20" s="118"/>
      <c r="AH20" s="86">
        <f t="shared" si="2"/>
        <v>94.821999999999989</v>
      </c>
      <c r="AI20" s="86">
        <f t="shared" si="6"/>
        <v>99.581999999999994</v>
      </c>
      <c r="AJ20" s="86" t="str">
        <f t="shared" si="3"/>
        <v>NAOI</v>
      </c>
      <c r="AK20" s="93">
        <f t="shared" si="15"/>
        <v>94.821999999999989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17.5</v>
      </c>
      <c r="B21" s="95">
        <f t="shared" si="1"/>
        <v>94.281999999999982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0.54</v>
      </c>
      <c r="AB21" s="111"/>
      <c r="AC21" s="112" t="str">
        <f t="shared" si="11"/>
        <v/>
      </c>
      <c r="AD21" s="113">
        <f t="shared" si="13"/>
        <v>94.281999999999982</v>
      </c>
      <c r="AE21" s="114">
        <v>0.5</v>
      </c>
      <c r="AF21" s="113">
        <f t="shared" si="12"/>
        <v>17.5</v>
      </c>
      <c r="AG21" s="118"/>
      <c r="AH21" s="86">
        <f t="shared" si="2"/>
        <v>94.821999999999989</v>
      </c>
      <c r="AI21" s="86">
        <f t="shared" si="6"/>
        <v>99.581999999999994</v>
      </c>
      <c r="AJ21" s="86" t="str">
        <f t="shared" si="3"/>
        <v>NAOI</v>
      </c>
      <c r="AK21" s="93">
        <f t="shared" si="15"/>
        <v>94.821999999999989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18</v>
      </c>
      <c r="B22" s="95">
        <f t="shared" si="1"/>
        <v>94.321999999999989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0.5</v>
      </c>
      <c r="AB22" s="111"/>
      <c r="AC22" s="112" t="str">
        <f t="shared" si="11"/>
        <v/>
      </c>
      <c r="AD22" s="113">
        <f t="shared" si="13"/>
        <v>94.321999999999989</v>
      </c>
      <c r="AE22" s="114">
        <v>0.5</v>
      </c>
      <c r="AF22" s="113">
        <f t="shared" si="12"/>
        <v>18</v>
      </c>
      <c r="AG22" s="118"/>
      <c r="AH22" s="86">
        <f t="shared" si="2"/>
        <v>94.821999999999989</v>
      </c>
      <c r="AI22" s="86">
        <f t="shared" si="6"/>
        <v>99.581999999999994</v>
      </c>
      <c r="AJ22" s="86" t="str">
        <f t="shared" si="3"/>
        <v>NAOI</v>
      </c>
      <c r="AK22" s="93">
        <f t="shared" si="15"/>
        <v>94.821999999999989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18.5</v>
      </c>
      <c r="B23" s="95">
        <f t="shared" si="1"/>
        <v>94.341999999999985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0.48</v>
      </c>
      <c r="AB23" s="111"/>
      <c r="AC23" s="112" t="str">
        <f t="shared" si="11"/>
        <v/>
      </c>
      <c r="AD23" s="113">
        <f t="shared" si="13"/>
        <v>94.341999999999985</v>
      </c>
      <c r="AE23" s="114">
        <v>0.5</v>
      </c>
      <c r="AF23" s="113">
        <f t="shared" si="12"/>
        <v>18.5</v>
      </c>
      <c r="AG23" s="118"/>
      <c r="AH23" s="86">
        <f t="shared" si="2"/>
        <v>94.821999999999989</v>
      </c>
      <c r="AI23" s="86">
        <f t="shared" si="6"/>
        <v>99.581999999999994</v>
      </c>
      <c r="AJ23" s="86" t="str">
        <f t="shared" si="3"/>
        <v>NAOI</v>
      </c>
      <c r="AK23" s="93">
        <f t="shared" si="15"/>
        <v>94.821999999999989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19</v>
      </c>
      <c r="B24" s="95">
        <f t="shared" si="1"/>
        <v>94.431999999999988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0.39</v>
      </c>
      <c r="AB24" s="111"/>
      <c r="AC24" s="112" t="str">
        <f t="shared" si="11"/>
        <v/>
      </c>
      <c r="AD24" s="113">
        <f t="shared" si="13"/>
        <v>94.431999999999988</v>
      </c>
      <c r="AE24" s="114">
        <v>0.5</v>
      </c>
      <c r="AF24" s="113">
        <f t="shared" si="12"/>
        <v>19</v>
      </c>
      <c r="AG24" s="118"/>
      <c r="AH24" s="86">
        <f t="shared" si="2"/>
        <v>94.821999999999989</v>
      </c>
      <c r="AI24" s="86">
        <f t="shared" si="6"/>
        <v>99.581999999999994</v>
      </c>
      <c r="AJ24" s="86" t="str">
        <f t="shared" si="3"/>
        <v>NAOI</v>
      </c>
      <c r="AK24" s="93">
        <f t="shared" si="15"/>
        <v>94.821999999999989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19.5</v>
      </c>
      <c r="B25" s="95">
        <f t="shared" si="1"/>
        <v>94.451999999999984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0.37</v>
      </c>
      <c r="AB25" s="111"/>
      <c r="AC25" s="112" t="str">
        <f t="shared" si="11"/>
        <v/>
      </c>
      <c r="AD25" s="113">
        <f t="shared" si="13"/>
        <v>94.451999999999984</v>
      </c>
      <c r="AE25" s="114">
        <v>0.5</v>
      </c>
      <c r="AF25" s="113">
        <f t="shared" si="12"/>
        <v>19.5</v>
      </c>
      <c r="AG25" s="118"/>
      <c r="AH25" s="86">
        <f t="shared" si="2"/>
        <v>94.821999999999989</v>
      </c>
      <c r="AI25" s="86">
        <f t="shared" si="6"/>
        <v>99.581999999999994</v>
      </c>
      <c r="AJ25" s="86" t="str">
        <f t="shared" si="3"/>
        <v>NAOI</v>
      </c>
      <c r="AK25" s="93">
        <f t="shared" si="15"/>
        <v>94.821999999999989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20</v>
      </c>
      <c r="B26" s="95">
        <f t="shared" si="1"/>
        <v>94.521999999999991</v>
      </c>
      <c r="C26" s="96" t="str">
        <f t="shared" si="5"/>
        <v/>
      </c>
      <c r="D26" s="190"/>
      <c r="E26" s="117">
        <v>1.7</v>
      </c>
      <c r="X26" s="107"/>
      <c r="Y26" s="108"/>
      <c r="Z26" s="109"/>
      <c r="AA26" s="110">
        <v>0.3</v>
      </c>
      <c r="AB26" s="111"/>
      <c r="AC26" s="112" t="str">
        <f t="shared" si="11"/>
        <v/>
      </c>
      <c r="AD26" s="113">
        <f t="shared" si="13"/>
        <v>94.521999999999991</v>
      </c>
      <c r="AE26" s="114">
        <v>0.5</v>
      </c>
      <c r="AF26" s="113">
        <f t="shared" si="12"/>
        <v>20</v>
      </c>
      <c r="AG26" s="118"/>
      <c r="AH26" s="86">
        <f t="shared" si="2"/>
        <v>94.821999999999989</v>
      </c>
      <c r="AI26" s="86">
        <f t="shared" si="6"/>
        <v>99.581999999999994</v>
      </c>
      <c r="AJ26" s="86" t="str">
        <f t="shared" si="3"/>
        <v>NAOI</v>
      </c>
      <c r="AK26" s="93">
        <f t="shared" si="15"/>
        <v>94.821999999999989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20.5</v>
      </c>
      <c r="B27" s="95">
        <f t="shared" si="1"/>
        <v>94.521999999999991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0.3</v>
      </c>
      <c r="AB27" s="111"/>
      <c r="AC27" s="112" t="str">
        <f t="shared" si="11"/>
        <v/>
      </c>
      <c r="AD27" s="113">
        <f t="shared" si="13"/>
        <v>94.521999999999991</v>
      </c>
      <c r="AE27" s="114">
        <v>0.5</v>
      </c>
      <c r="AF27" s="113">
        <f t="shared" si="12"/>
        <v>20.5</v>
      </c>
      <c r="AG27" s="118"/>
      <c r="AH27" s="86">
        <f t="shared" si="2"/>
        <v>94.821999999999989</v>
      </c>
      <c r="AI27" s="86">
        <f t="shared" si="6"/>
        <v>99.581999999999994</v>
      </c>
      <c r="AJ27" s="86" t="str">
        <f t="shared" si="3"/>
        <v>NAOI</v>
      </c>
      <c r="AK27" s="93">
        <f t="shared" si="15"/>
        <v>94.821999999999989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21</v>
      </c>
      <c r="B28" s="95">
        <f t="shared" si="1"/>
        <v>94.471999999999994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0.35</v>
      </c>
      <c r="AB28" s="111"/>
      <c r="AC28" s="112" t="str">
        <f t="shared" si="11"/>
        <v/>
      </c>
      <c r="AD28" s="113">
        <f t="shared" si="13"/>
        <v>94.471999999999994</v>
      </c>
      <c r="AE28" s="114">
        <v>0.5</v>
      </c>
      <c r="AF28" s="113">
        <f t="shared" si="12"/>
        <v>21</v>
      </c>
      <c r="AG28" s="118"/>
      <c r="AH28" s="86">
        <f t="shared" si="2"/>
        <v>94.821999999999989</v>
      </c>
      <c r="AI28" s="86">
        <f t="shared" si="6"/>
        <v>99.581999999999994</v>
      </c>
      <c r="AJ28" s="86" t="str">
        <f t="shared" si="3"/>
        <v>NAOI</v>
      </c>
      <c r="AK28" s="93">
        <f t="shared" si="15"/>
        <v>94.821999999999989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23</v>
      </c>
      <c r="B29" s="95">
        <f t="shared" si="1"/>
        <v>94.771999999999991</v>
      </c>
      <c r="C29" s="96" t="str">
        <f t="shared" si="5"/>
        <v/>
      </c>
      <c r="D29" s="190"/>
      <c r="E29" s="117">
        <v>1.2</v>
      </c>
      <c r="X29" s="107"/>
      <c r="Y29" s="108"/>
      <c r="Z29" s="109"/>
      <c r="AA29" s="110">
        <v>0.05</v>
      </c>
      <c r="AB29" s="111"/>
      <c r="AC29" s="112" t="str">
        <f t="shared" si="11"/>
        <v/>
      </c>
      <c r="AD29" s="113">
        <f t="shared" si="13"/>
        <v>94.771999999999991</v>
      </c>
      <c r="AE29" s="114">
        <v>2</v>
      </c>
      <c r="AF29" s="113">
        <f t="shared" si="12"/>
        <v>23</v>
      </c>
      <c r="AG29" s="118"/>
      <c r="AH29" s="86">
        <f t="shared" si="2"/>
        <v>99.581999999999994</v>
      </c>
      <c r="AI29" s="86">
        <f t="shared" si="6"/>
        <v>99.581999999999994</v>
      </c>
      <c r="AJ29" s="86" t="str">
        <f t="shared" si="3"/>
        <v>NAOI</v>
      </c>
      <c r="AK29" s="93">
        <f t="shared" si="15"/>
        <v>94.821999999999989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23</v>
      </c>
      <c r="B30" s="95">
        <f t="shared" si="1"/>
        <v>94.801999999999992</v>
      </c>
      <c r="C30" s="96" t="str">
        <f t="shared" si="5"/>
        <v>NAOD</v>
      </c>
      <c r="D30" s="190"/>
      <c r="E30" s="117">
        <v>0.8</v>
      </c>
      <c r="X30" s="107"/>
      <c r="Y30" s="108"/>
      <c r="Z30" s="109"/>
      <c r="AA30" s="110">
        <v>4.78</v>
      </c>
      <c r="AB30" s="111"/>
      <c r="AC30" s="112" t="str">
        <f t="shared" si="11"/>
        <v/>
      </c>
      <c r="AD30" s="113">
        <f t="shared" si="13"/>
        <v>94.801999999999992</v>
      </c>
      <c r="AE30" s="114">
        <v>0</v>
      </c>
      <c r="AF30" s="113">
        <f t="shared" si="12"/>
        <v>23</v>
      </c>
      <c r="AG30" s="115" t="s">
        <v>10</v>
      </c>
      <c r="AH30" s="86">
        <f t="shared" si="2"/>
        <v>99.581999999999994</v>
      </c>
      <c r="AI30" s="86">
        <f t="shared" si="6"/>
        <v>99.581999999999994</v>
      </c>
      <c r="AJ30" s="86" t="str">
        <f t="shared" si="3"/>
        <v>NAOD</v>
      </c>
      <c r="AK30" s="93">
        <f t="shared" si="15"/>
        <v>94.801999999999992</v>
      </c>
      <c r="AL30" s="86" t="str">
        <f t="shared" si="7"/>
        <v/>
      </c>
      <c r="AM30" s="93" t="str">
        <f t="shared" si="8"/>
        <v/>
      </c>
      <c r="AN30" s="86">
        <f t="shared" si="9"/>
        <v>94.801999999999992</v>
      </c>
      <c r="AO30" s="86">
        <f t="shared" si="10"/>
        <v>23</v>
      </c>
      <c r="AP30" s="86">
        <f t="shared" si="14"/>
        <v>0</v>
      </c>
    </row>
    <row r="31" spans="1:42" ht="15.75" x14ac:dyDescent="0.25">
      <c r="A31" s="94">
        <f t="shared" si="0"/>
        <v>25</v>
      </c>
      <c r="B31" s="95">
        <f t="shared" si="1"/>
        <v>96.512</v>
      </c>
      <c r="C31" s="96" t="str">
        <f t="shared" si="5"/>
        <v/>
      </c>
      <c r="D31" s="190"/>
      <c r="E31" s="117">
        <v>0.55000000000000004</v>
      </c>
      <c r="X31" s="107"/>
      <c r="Y31" s="108"/>
      <c r="Z31" s="109"/>
      <c r="AA31" s="110">
        <v>3.07</v>
      </c>
      <c r="AB31" s="111"/>
      <c r="AC31" s="112" t="str">
        <f t="shared" si="11"/>
        <v/>
      </c>
      <c r="AD31" s="113">
        <f t="shared" si="13"/>
        <v>96.512</v>
      </c>
      <c r="AE31" s="114">
        <v>2</v>
      </c>
      <c r="AF31" s="113">
        <f t="shared" si="12"/>
        <v>25</v>
      </c>
      <c r="AG31" s="118"/>
      <c r="AH31" s="86">
        <f t="shared" si="2"/>
        <v>99.581999999999994</v>
      </c>
      <c r="AI31" s="86">
        <f t="shared" si="6"/>
        <v>99.581999999999994</v>
      </c>
      <c r="AJ31" s="86" t="str">
        <f t="shared" si="3"/>
        <v>NAOD</v>
      </c>
      <c r="AK31" s="93">
        <f t="shared" si="15"/>
        <v>96.512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26</v>
      </c>
      <c r="B32" s="95">
        <f t="shared" si="1"/>
        <v>98.012</v>
      </c>
      <c r="C32" s="96" t="str">
        <f t="shared" si="5"/>
        <v/>
      </c>
      <c r="D32" s="190"/>
      <c r="E32" s="117">
        <v>0.35</v>
      </c>
      <c r="X32" s="107"/>
      <c r="Y32" s="108"/>
      <c r="Z32" s="109"/>
      <c r="AA32" s="110">
        <v>1.57</v>
      </c>
      <c r="AB32" s="111"/>
      <c r="AC32" s="112" t="str">
        <f t="shared" si="11"/>
        <v/>
      </c>
      <c r="AD32" s="113">
        <f t="shared" si="13"/>
        <v>98.012</v>
      </c>
      <c r="AE32" s="114">
        <v>1</v>
      </c>
      <c r="AF32" s="113">
        <f t="shared" si="12"/>
        <v>26</v>
      </c>
      <c r="AG32" s="118"/>
      <c r="AH32" s="86">
        <f t="shared" si="2"/>
        <v>99.581999999999994</v>
      </c>
      <c r="AI32" s="86">
        <f t="shared" si="6"/>
        <v>99.581999999999994</v>
      </c>
      <c r="AJ32" s="86" t="str">
        <f t="shared" si="3"/>
        <v>NAOD</v>
      </c>
      <c r="AK32" s="93">
        <f t="shared" si="15"/>
        <v>98.012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0"/>
        <v>28</v>
      </c>
      <c r="B33" s="95">
        <f t="shared" si="1"/>
        <v>98.122</v>
      </c>
      <c r="C33" s="96" t="str">
        <f t="shared" si="5"/>
        <v/>
      </c>
      <c r="D33" s="190"/>
      <c r="X33" s="107" t="s">
        <v>47</v>
      </c>
      <c r="Y33" s="108"/>
      <c r="Z33" s="109">
        <v>0.497</v>
      </c>
      <c r="AA33" s="110"/>
      <c r="AB33" s="111">
        <v>1.46</v>
      </c>
      <c r="AC33" s="112">
        <f t="shared" si="11"/>
        <v>98.619</v>
      </c>
      <c r="AD33" s="113">
        <f t="shared" si="13"/>
        <v>98.122</v>
      </c>
      <c r="AE33" s="114">
        <v>2</v>
      </c>
      <c r="AF33" s="113">
        <f t="shared" si="12"/>
        <v>28</v>
      </c>
      <c r="AG33" s="118"/>
      <c r="AH33" s="86">
        <f t="shared" si="2"/>
        <v>98.619</v>
      </c>
      <c r="AI33" s="86">
        <f t="shared" si="6"/>
        <v>98.619</v>
      </c>
      <c r="AJ33" s="86" t="str">
        <f t="shared" si="3"/>
        <v>NAOD</v>
      </c>
      <c r="AK33" s="93">
        <f t="shared" si="15"/>
        <v>98.122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>
        <f t="shared" si="0"/>
        <v>30</v>
      </c>
      <c r="B34" s="95">
        <f t="shared" si="1"/>
        <v>98.221000000000004</v>
      </c>
      <c r="C34" s="96" t="str">
        <f t="shared" si="5"/>
        <v>PRD</v>
      </c>
      <c r="D34" s="190"/>
      <c r="X34" s="107" t="s">
        <v>48</v>
      </c>
      <c r="Y34" s="108"/>
      <c r="Z34" s="109">
        <v>1.91</v>
      </c>
      <c r="AA34" s="110"/>
      <c r="AB34" s="111">
        <v>0.39800000000000002</v>
      </c>
      <c r="AC34" s="112">
        <f t="shared" si="11"/>
        <v>100.131</v>
      </c>
      <c r="AD34" s="113">
        <f t="shared" si="13"/>
        <v>98.221000000000004</v>
      </c>
      <c r="AE34" s="114">
        <v>2</v>
      </c>
      <c r="AF34" s="113">
        <f t="shared" si="12"/>
        <v>30</v>
      </c>
      <c r="AG34" s="115" t="s">
        <v>5</v>
      </c>
      <c r="AH34" s="86">
        <f t="shared" si="2"/>
        <v>100.131</v>
      </c>
      <c r="AI34" s="86">
        <f t="shared" si="6"/>
        <v>100.131</v>
      </c>
      <c r="AJ34" s="86" t="str">
        <f t="shared" si="3"/>
        <v>PRD</v>
      </c>
      <c r="AK34" s="93">
        <f t="shared" si="15"/>
        <v>98.221000000000004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>
        <f t="shared" si="0"/>
        <v>32</v>
      </c>
      <c r="B35" s="95">
        <f t="shared" si="1"/>
        <v>98.694000000000003</v>
      </c>
      <c r="C35" s="96" t="str">
        <f t="shared" si="5"/>
        <v>S/BM</v>
      </c>
      <c r="D35" s="190"/>
      <c r="X35" s="107"/>
      <c r="Y35" s="108"/>
      <c r="Z35" s="109"/>
      <c r="AA35" s="110">
        <v>1.4370000000000001</v>
      </c>
      <c r="AB35" s="111"/>
      <c r="AC35" s="112" t="str">
        <f t="shared" si="11"/>
        <v/>
      </c>
      <c r="AD35" s="113">
        <f t="shared" si="13"/>
        <v>98.694000000000003</v>
      </c>
      <c r="AE35" s="114">
        <v>2</v>
      </c>
      <c r="AF35" s="113">
        <f t="shared" si="12"/>
        <v>32</v>
      </c>
      <c r="AG35" s="116" t="s">
        <v>19</v>
      </c>
      <c r="AH35" s="86">
        <f t="shared" si="2"/>
        <v>100.131</v>
      </c>
      <c r="AI35" s="86">
        <f t="shared" si="6"/>
        <v>100.131</v>
      </c>
      <c r="AJ35" s="86" t="str">
        <f t="shared" si="3"/>
        <v>S/BM</v>
      </c>
      <c r="AK35" s="93">
        <f t="shared" si="15"/>
        <v>98.694000000000003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>
        <f t="shared" si="0"/>
        <v>33.5</v>
      </c>
      <c r="B36" s="95">
        <f t="shared" si="1"/>
        <v>98.694000000000003</v>
      </c>
      <c r="C36" s="96" t="str">
        <f t="shared" si="5"/>
        <v/>
      </c>
      <c r="D36" s="190"/>
      <c r="X36" s="107"/>
      <c r="Y36" s="108"/>
      <c r="Z36" s="109"/>
      <c r="AA36" s="110"/>
      <c r="AB36" s="111"/>
      <c r="AC36" s="112">
        <f t="shared" si="11"/>
        <v>98.694000000000003</v>
      </c>
      <c r="AD36" s="113">
        <f t="shared" si="13"/>
        <v>98.694000000000003</v>
      </c>
      <c r="AE36" s="114">
        <v>1.5</v>
      </c>
      <c r="AF36" s="113">
        <f t="shared" si="12"/>
        <v>33.5</v>
      </c>
      <c r="AG36" s="115"/>
      <c r="AH36" s="86">
        <f t="shared" si="2"/>
        <v>98.694000000000003</v>
      </c>
      <c r="AI36" s="86">
        <f t="shared" si="6"/>
        <v>98.694000000000003</v>
      </c>
      <c r="AJ36" s="86" t="str">
        <f t="shared" si="3"/>
        <v>S/BM</v>
      </c>
      <c r="AK36" s="93">
        <f t="shared" si="15"/>
        <v>98.694000000000003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1</v>
      </c>
    </row>
    <row r="37" spans="1:42" ht="15.75" x14ac:dyDescent="0.25">
      <c r="A37" s="94">
        <f t="shared" si="0"/>
        <v>33.5</v>
      </c>
      <c r="B37" s="95">
        <f t="shared" si="1"/>
        <v>98.694000000000003</v>
      </c>
      <c r="C37" s="96" t="str">
        <f t="shared" si="5"/>
        <v/>
      </c>
      <c r="D37" s="190"/>
      <c r="X37" s="107"/>
      <c r="Y37" s="108"/>
      <c r="Z37" s="109"/>
      <c r="AA37" s="110"/>
      <c r="AB37" s="111"/>
      <c r="AC37" s="112">
        <f t="shared" si="11"/>
        <v>98.694000000000003</v>
      </c>
      <c r="AD37" s="113">
        <f t="shared" si="13"/>
        <v>98.694000000000003</v>
      </c>
      <c r="AE37" s="114">
        <v>0</v>
      </c>
      <c r="AF37" s="113">
        <f t="shared" si="12"/>
        <v>33.5</v>
      </c>
      <c r="AG37" s="115"/>
      <c r="AH37" s="86">
        <f t="shared" si="2"/>
        <v>98.694000000000003</v>
      </c>
      <c r="AI37" s="86">
        <f t="shared" si="6"/>
        <v>98.694000000000003</v>
      </c>
      <c r="AJ37" s="86" t="str">
        <f t="shared" si="3"/>
        <v>S/BM</v>
      </c>
      <c r="AK37" s="93">
        <f t="shared" si="15"/>
        <v>98.694000000000003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1</v>
      </c>
    </row>
    <row r="38" spans="1:42" ht="15.75" x14ac:dyDescent="0.25">
      <c r="A38" s="94">
        <f t="shared" si="0"/>
        <v>35.5</v>
      </c>
      <c r="B38" s="95">
        <f t="shared" si="1"/>
        <v>98.694000000000003</v>
      </c>
      <c r="C38" s="96" t="str">
        <f t="shared" si="5"/>
        <v/>
      </c>
      <c r="D38" s="190"/>
      <c r="X38" s="107"/>
      <c r="Y38" s="108"/>
      <c r="Z38" s="109"/>
      <c r="AA38" s="110"/>
      <c r="AB38" s="111"/>
      <c r="AC38" s="112">
        <f t="shared" si="11"/>
        <v>98.694000000000003</v>
      </c>
      <c r="AD38" s="113">
        <f t="shared" si="13"/>
        <v>98.694000000000003</v>
      </c>
      <c r="AE38" s="114">
        <v>2</v>
      </c>
      <c r="AF38" s="113">
        <f t="shared" si="12"/>
        <v>35.5</v>
      </c>
      <c r="AG38" s="116"/>
      <c r="AH38" s="86">
        <f t="shared" si="2"/>
        <v>98.694000000000003</v>
      </c>
      <c r="AI38" s="86">
        <f t="shared" si="6"/>
        <v>98.694000000000003</v>
      </c>
      <c r="AJ38" s="86" t="str">
        <f t="shared" si="3"/>
        <v>S/BM</v>
      </c>
      <c r="AK38" s="93">
        <f t="shared" si="15"/>
        <v>98.694000000000003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1</v>
      </c>
    </row>
    <row r="39" spans="1:42" ht="15.75" x14ac:dyDescent="0.25">
      <c r="A39" s="94">
        <f t="shared" si="0"/>
        <v>37.200000000000003</v>
      </c>
      <c r="B39" s="95">
        <f t="shared" si="1"/>
        <v>98.694000000000003</v>
      </c>
      <c r="C39" s="96" t="str">
        <f t="shared" si="5"/>
        <v/>
      </c>
      <c r="D39" s="190"/>
      <c r="X39" s="107"/>
      <c r="Y39" s="108"/>
      <c r="Z39" s="109"/>
      <c r="AA39" s="110"/>
      <c r="AB39" s="111"/>
      <c r="AC39" s="112">
        <f t="shared" si="11"/>
        <v>98.694000000000003</v>
      </c>
      <c r="AD39" s="113">
        <f t="shared" si="13"/>
        <v>98.694000000000003</v>
      </c>
      <c r="AE39" s="114">
        <v>1.7</v>
      </c>
      <c r="AF39" s="113">
        <f t="shared" si="12"/>
        <v>37.200000000000003</v>
      </c>
      <c r="AG39" s="116"/>
      <c r="AH39" s="86">
        <f t="shared" si="2"/>
        <v>98.694000000000003</v>
      </c>
      <c r="AI39" s="86">
        <f t="shared" si="6"/>
        <v>98.694000000000003</v>
      </c>
      <c r="AJ39" s="86" t="str">
        <f t="shared" si="3"/>
        <v>S/BM</v>
      </c>
      <c r="AK39" s="93">
        <f t="shared" si="15"/>
        <v>98.694000000000003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1</v>
      </c>
    </row>
    <row r="40" spans="1:42" ht="15.75" x14ac:dyDescent="0.25">
      <c r="A40" s="94">
        <f t="shared" si="0"/>
        <v>37.200000000000003</v>
      </c>
      <c r="B40" s="95">
        <f t="shared" si="1"/>
        <v>98.694000000000003</v>
      </c>
      <c r="C40" s="96" t="str">
        <f t="shared" si="5"/>
        <v/>
      </c>
      <c r="D40" s="190"/>
      <c r="X40" s="107"/>
      <c r="Y40" s="108"/>
      <c r="Z40" s="109"/>
      <c r="AA40" s="110"/>
      <c r="AB40" s="111"/>
      <c r="AC40" s="112">
        <f t="shared" si="11"/>
        <v>98.694000000000003</v>
      </c>
      <c r="AD40" s="113">
        <f t="shared" si="13"/>
        <v>98.694000000000003</v>
      </c>
      <c r="AE40" s="114">
        <v>0</v>
      </c>
      <c r="AF40" s="113">
        <f t="shared" si="12"/>
        <v>37.200000000000003</v>
      </c>
      <c r="AG40" s="116"/>
      <c r="AH40" s="86">
        <f t="shared" si="2"/>
        <v>98.694000000000003</v>
      </c>
      <c r="AI40" s="86">
        <f t="shared" si="6"/>
        <v>98.694000000000003</v>
      </c>
      <c r="AJ40" s="86" t="str">
        <f t="shared" si="3"/>
        <v>S/BM</v>
      </c>
      <c r="AK40" s="93">
        <f t="shared" si="15"/>
        <v>98.694000000000003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1</v>
      </c>
    </row>
    <row r="41" spans="1:42" ht="15.75" x14ac:dyDescent="0.25">
      <c r="A41" s="94">
        <f t="shared" si="0"/>
        <v>37.200000000000003</v>
      </c>
      <c r="B41" s="95">
        <f t="shared" si="1"/>
        <v>98.694000000000003</v>
      </c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>
        <f t="shared" si="11"/>
        <v>98.694000000000003</v>
      </c>
      <c r="AD41" s="113">
        <f t="shared" si="13"/>
        <v>98.694000000000003</v>
      </c>
      <c r="AE41" s="114">
        <v>0</v>
      </c>
      <c r="AF41" s="113">
        <f t="shared" si="12"/>
        <v>37.200000000000003</v>
      </c>
      <c r="AG41" s="116"/>
      <c r="AH41" s="86">
        <f t="shared" si="2"/>
        <v>98.694000000000003</v>
      </c>
      <c r="AI41" s="86">
        <f t="shared" si="6"/>
        <v>98.694000000000003</v>
      </c>
      <c r="AJ41" s="86" t="str">
        <f>IF(AG41="",AJ40,AG41)</f>
        <v>S/BM</v>
      </c>
      <c r="AK41" s="93">
        <f t="shared" si="15"/>
        <v>98.694000000000003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1</v>
      </c>
    </row>
    <row r="42" spans="1:42" ht="15.75" x14ac:dyDescent="0.25">
      <c r="A42" s="94">
        <f t="shared" si="0"/>
        <v>42.2</v>
      </c>
      <c r="B42" s="95">
        <f t="shared" si="1"/>
        <v>98.694000000000003</v>
      </c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>
        <f t="shared" si="11"/>
        <v>98.694000000000003</v>
      </c>
      <c r="AD42" s="113">
        <f t="shared" si="13"/>
        <v>98.694000000000003</v>
      </c>
      <c r="AE42" s="114">
        <v>5</v>
      </c>
      <c r="AF42" s="113">
        <f t="shared" si="12"/>
        <v>42.2</v>
      </c>
      <c r="AG42" s="116"/>
      <c r="AH42" s="86">
        <f t="shared" si="2"/>
        <v>98.694000000000003</v>
      </c>
      <c r="AI42" s="86">
        <f t="shared" si="6"/>
        <v>98.694000000000003</v>
      </c>
      <c r="AJ42" s="86" t="str">
        <f>IF(AG42="",AJ41,AG42)</f>
        <v>S/BM</v>
      </c>
      <c r="AK42" s="93">
        <f t="shared" si="15"/>
        <v>98.694000000000003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1</v>
      </c>
    </row>
    <row r="43" spans="1:42" ht="15.75" x14ac:dyDescent="0.25">
      <c r="A43" s="94">
        <f t="shared" si="0"/>
        <v>52.2</v>
      </c>
      <c r="B43" s="95">
        <f t="shared" si="1"/>
        <v>98.694000000000003</v>
      </c>
      <c r="C43" s="96" t="str">
        <f t="shared" si="5"/>
        <v/>
      </c>
      <c r="D43" s="190"/>
      <c r="X43" s="107"/>
      <c r="Y43" s="108"/>
      <c r="Z43" s="109"/>
      <c r="AA43" s="110"/>
      <c r="AB43" s="111"/>
      <c r="AC43" s="112">
        <f t="shared" si="11"/>
        <v>98.694000000000003</v>
      </c>
      <c r="AD43" s="113">
        <f t="shared" si="13"/>
        <v>98.694000000000003</v>
      </c>
      <c r="AE43" s="114">
        <v>10</v>
      </c>
      <c r="AF43" s="113">
        <f t="shared" si="12"/>
        <v>52.2</v>
      </c>
      <c r="AG43" s="116"/>
      <c r="AH43" s="86">
        <f t="shared" si="2"/>
        <v>98.694000000000003</v>
      </c>
      <c r="AI43" s="86">
        <f t="shared" si="6"/>
        <v>98.694000000000003</v>
      </c>
      <c r="AJ43" s="86" t="str">
        <f t="shared" si="3"/>
        <v>S/BM</v>
      </c>
      <c r="AK43" s="93">
        <f t="shared" si="15"/>
        <v>98.694000000000003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1</v>
      </c>
    </row>
    <row r="44" spans="1:42" ht="15.75" x14ac:dyDescent="0.25">
      <c r="A44" s="94">
        <f t="shared" si="0"/>
        <v>56.1</v>
      </c>
      <c r="B44" s="95">
        <f t="shared" si="1"/>
        <v>98.694000000000003</v>
      </c>
      <c r="C44" s="96" t="str">
        <f t="shared" si="5"/>
        <v/>
      </c>
      <c r="D44" s="190"/>
      <c r="X44" s="107"/>
      <c r="Y44" s="108"/>
      <c r="Z44" s="109"/>
      <c r="AA44" s="110"/>
      <c r="AB44" s="111"/>
      <c r="AC44" s="112">
        <f t="shared" si="11"/>
        <v>98.694000000000003</v>
      </c>
      <c r="AD44" s="113">
        <f t="shared" si="13"/>
        <v>98.694000000000003</v>
      </c>
      <c r="AE44" s="114">
        <v>3.9</v>
      </c>
      <c r="AF44" s="113">
        <f t="shared" si="12"/>
        <v>56.1</v>
      </c>
      <c r="AG44" s="115"/>
      <c r="AH44" s="86">
        <f t="shared" si="2"/>
        <v>98.694000000000003</v>
      </c>
      <c r="AI44" s="86">
        <f t="shared" si="6"/>
        <v>98.694000000000003</v>
      </c>
      <c r="AJ44" s="86" t="str">
        <f t="shared" si="3"/>
        <v>S/BM</v>
      </c>
      <c r="AK44" s="93">
        <f t="shared" si="15"/>
        <v>98.694000000000003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1</v>
      </c>
    </row>
    <row r="45" spans="1:42" ht="15.75" x14ac:dyDescent="0.25">
      <c r="A45" s="94">
        <f t="shared" si="0"/>
        <v>56.1</v>
      </c>
      <c r="B45" s="95">
        <f t="shared" si="1"/>
        <v>98.694000000000003</v>
      </c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>
        <f t="shared" si="11"/>
        <v>98.694000000000003</v>
      </c>
      <c r="AD45" s="113">
        <f t="shared" si="13"/>
        <v>98.694000000000003</v>
      </c>
      <c r="AE45" s="121">
        <v>0</v>
      </c>
      <c r="AF45" s="113">
        <f t="shared" si="12"/>
        <v>56.1</v>
      </c>
      <c r="AG45" s="115"/>
      <c r="AH45" s="86">
        <f t="shared" si="2"/>
        <v>98.694000000000003</v>
      </c>
      <c r="AI45" s="86">
        <f t="shared" si="6"/>
        <v>98.694000000000003</v>
      </c>
      <c r="AJ45" s="86" t="str">
        <f t="shared" si="3"/>
        <v>S/BM</v>
      </c>
      <c r="AK45" s="93">
        <f t="shared" si="15"/>
        <v>98.694000000000003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1</v>
      </c>
    </row>
    <row r="46" spans="1:42" ht="15.75" x14ac:dyDescent="0.25">
      <c r="A46" s="94">
        <f t="shared" si="0"/>
        <v>56.1</v>
      </c>
      <c r="B46" s="95">
        <f t="shared" si="1"/>
        <v>98.694000000000003</v>
      </c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>
        <f t="shared" si="11"/>
        <v>98.694000000000003</v>
      </c>
      <c r="AD46" s="113">
        <f t="shared" si="13"/>
        <v>98.694000000000003</v>
      </c>
      <c r="AE46" s="121">
        <v>0</v>
      </c>
      <c r="AF46" s="113">
        <f t="shared" si="12"/>
        <v>56.1</v>
      </c>
      <c r="AG46" s="116"/>
      <c r="AH46" s="86">
        <f t="shared" si="2"/>
        <v>98.694000000000003</v>
      </c>
      <c r="AI46" s="86">
        <f t="shared" si="6"/>
        <v>98.694000000000003</v>
      </c>
      <c r="AJ46" s="86" t="str">
        <f t="shared" si="3"/>
        <v>S/BM</v>
      </c>
      <c r="AK46" s="93">
        <f t="shared" si="15"/>
        <v>98.694000000000003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1</v>
      </c>
    </row>
    <row r="47" spans="1:42" ht="15.75" x14ac:dyDescent="0.25">
      <c r="A47" s="94">
        <f t="shared" si="0"/>
        <v>56.1</v>
      </c>
      <c r="B47" s="95">
        <f t="shared" si="1"/>
        <v>98.694000000000003</v>
      </c>
      <c r="C47" s="96" t="str">
        <f t="shared" ref="C47:C51" si="16">IF(AG47="","",AG47)</f>
        <v/>
      </c>
      <c r="D47" s="190"/>
      <c r="X47" s="107"/>
      <c r="Y47" s="108"/>
      <c r="Z47" s="109"/>
      <c r="AA47" s="119"/>
      <c r="AB47" s="120"/>
      <c r="AC47" s="112">
        <f>IF(AA47="",AD47+Z47,"")</f>
        <v>98.694000000000003</v>
      </c>
      <c r="AD47" s="113">
        <f t="shared" si="13"/>
        <v>98.694000000000003</v>
      </c>
      <c r="AE47" s="121"/>
      <c r="AF47" s="113">
        <f>+AF46+AE47</f>
        <v>56.1</v>
      </c>
      <c r="AG47" s="116"/>
      <c r="AH47" s="86">
        <f>IF(AND(AJ47="NAOI",AJ47=AJ48),AK47,AI47)</f>
        <v>98.694000000000003</v>
      </c>
      <c r="AI47" s="86">
        <f>IF(AA47="",AC47,AI46)</f>
        <v>98.694000000000003</v>
      </c>
      <c r="AJ47" s="86" t="str">
        <f t="shared" si="3"/>
        <v>S/BM</v>
      </c>
      <c r="AK47" s="93">
        <f>IF(AND(AJ47="NAOI",AJ46="NAOI"),AK46,AD47)</f>
        <v>98.694000000000003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1</v>
      </c>
    </row>
    <row r="48" spans="1:42" ht="15.75" x14ac:dyDescent="0.25">
      <c r="A48" s="94">
        <f t="shared" si="0"/>
        <v>56.1</v>
      </c>
      <c r="B48" s="95">
        <f t="shared" si="1"/>
        <v>98.694000000000003</v>
      </c>
      <c r="C48" s="96" t="str">
        <f t="shared" si="16"/>
        <v/>
      </c>
      <c r="D48" s="190"/>
      <c r="X48" s="107"/>
      <c r="Y48" s="108"/>
      <c r="Z48" s="109"/>
      <c r="AA48" s="119"/>
      <c r="AB48" s="120"/>
      <c r="AC48" s="112">
        <f t="shared" ref="AC48:AC51" si="17">IF(AA48="",AD48+Z48,"")</f>
        <v>98.694000000000003</v>
      </c>
      <c r="AD48" s="113">
        <f t="shared" si="13"/>
        <v>98.694000000000003</v>
      </c>
      <c r="AE48" s="121"/>
      <c r="AF48" s="113">
        <f t="shared" ref="AF48:AF51" si="18">+AF47+AE48</f>
        <v>56.1</v>
      </c>
      <c r="AG48" s="116"/>
      <c r="AH48" s="86">
        <f>IF(AND(AJ48="NAOI",AJ48=AJ49),AK48,AI48)</f>
        <v>98.694000000000003</v>
      </c>
      <c r="AI48" s="86">
        <f>IF(AA48="",AC48,AI47)</f>
        <v>98.694000000000003</v>
      </c>
      <c r="AJ48" s="86" t="str">
        <f t="shared" si="3"/>
        <v>S/BM</v>
      </c>
      <c r="AK48" s="93">
        <f>IF(AND(AJ48="NAOI",AJ47="NAOI"),AK47,AD48)</f>
        <v>98.694000000000003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9">IF(AJ47="S/BM",1,0)</f>
        <v>1</v>
      </c>
    </row>
    <row r="49" spans="1:42" ht="15.75" x14ac:dyDescent="0.25">
      <c r="A49" s="94">
        <f t="shared" si="0"/>
        <v>56.1</v>
      </c>
      <c r="B49" s="95">
        <f t="shared" si="1"/>
        <v>98.694000000000003</v>
      </c>
      <c r="C49" s="96" t="str">
        <f t="shared" si="16"/>
        <v/>
      </c>
      <c r="D49" s="190"/>
      <c r="X49" s="107"/>
      <c r="Y49" s="108"/>
      <c r="Z49" s="109"/>
      <c r="AA49" s="119"/>
      <c r="AB49" s="120"/>
      <c r="AC49" s="112">
        <f t="shared" si="17"/>
        <v>98.694000000000003</v>
      </c>
      <c r="AD49" s="113">
        <f t="shared" si="13"/>
        <v>98.694000000000003</v>
      </c>
      <c r="AE49" s="121"/>
      <c r="AF49" s="113">
        <f t="shared" si="18"/>
        <v>56.1</v>
      </c>
      <c r="AG49" s="116"/>
      <c r="AH49" s="86">
        <f>IF(AND(AJ49="NAOI",AJ49=AJ50),AK49,AI49)</f>
        <v>98.694000000000003</v>
      </c>
      <c r="AI49" s="86">
        <f>IF(AA49="",AC49,AI48)</f>
        <v>98.694000000000003</v>
      </c>
      <c r="AJ49" s="86" t="str">
        <f t="shared" si="3"/>
        <v>S/BM</v>
      </c>
      <c r="AK49" s="93">
        <f>IF(AND(AJ49="NAOI",AJ48="NAOI"),AK48,AD49)</f>
        <v>98.694000000000003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9"/>
        <v>1</v>
      </c>
    </row>
    <row r="50" spans="1:42" ht="15.75" x14ac:dyDescent="0.25">
      <c r="A50" s="94">
        <f t="shared" si="0"/>
        <v>56.1</v>
      </c>
      <c r="B50" s="95">
        <f t="shared" si="1"/>
        <v>98.694000000000003</v>
      </c>
      <c r="C50" s="96" t="str">
        <f t="shared" si="16"/>
        <v/>
      </c>
      <c r="D50" s="190"/>
      <c r="X50" s="107"/>
      <c r="Y50" s="108"/>
      <c r="Z50" s="109"/>
      <c r="AA50" s="119"/>
      <c r="AB50" s="120"/>
      <c r="AC50" s="112">
        <f t="shared" si="17"/>
        <v>98.694000000000003</v>
      </c>
      <c r="AD50" s="113">
        <f t="shared" si="13"/>
        <v>98.694000000000003</v>
      </c>
      <c r="AE50" s="121"/>
      <c r="AF50" s="113">
        <f t="shared" si="18"/>
        <v>56.1</v>
      </c>
      <c r="AG50" s="116"/>
      <c r="AH50" s="86">
        <f>IF(AND(AJ50="NAOI",AJ50=AJ51),AK50,AI50)</f>
        <v>98.694000000000003</v>
      </c>
      <c r="AI50" s="86">
        <f>IF(AA50="",AC50,AI49)</f>
        <v>98.694000000000003</v>
      </c>
      <c r="AJ50" s="86" t="str">
        <f t="shared" si="3"/>
        <v>S/BM</v>
      </c>
      <c r="AK50" s="93">
        <f>IF(AND(AJ50="NAOI",AJ49="NAOI"),AK49,AD50)</f>
        <v>98.694000000000003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9"/>
        <v>1</v>
      </c>
    </row>
    <row r="51" spans="1:42" ht="16.5" thickBot="1" x14ac:dyDescent="0.3">
      <c r="A51" s="122">
        <f t="shared" si="0"/>
        <v>56.1</v>
      </c>
      <c r="B51" s="123">
        <f t="shared" si="1"/>
        <v>98.694000000000003</v>
      </c>
      <c r="C51" s="96" t="str">
        <f t="shared" si="16"/>
        <v/>
      </c>
      <c r="D51" s="190"/>
      <c r="X51" s="124"/>
      <c r="Y51" s="125"/>
      <c r="Z51" s="126"/>
      <c r="AA51" s="127"/>
      <c r="AB51" s="128"/>
      <c r="AC51" s="129">
        <f t="shared" si="17"/>
        <v>98.694000000000003</v>
      </c>
      <c r="AD51" s="130">
        <f t="shared" si="13"/>
        <v>98.694000000000003</v>
      </c>
      <c r="AE51" s="131"/>
      <c r="AF51" s="130">
        <f t="shared" si="18"/>
        <v>56.1</v>
      </c>
      <c r="AG51" s="132"/>
      <c r="AH51" s="86">
        <f>IF(AND(AJ51="NAOI",AJ51=AJ52),AK51,AI51)</f>
        <v>98.694000000000003</v>
      </c>
      <c r="AI51" s="86">
        <f>IF(AA51="",AC51,AI50)</f>
        <v>98.694000000000003</v>
      </c>
      <c r="AJ51" s="86" t="str">
        <f t="shared" si="3"/>
        <v>S/BM</v>
      </c>
      <c r="AK51" s="93">
        <f>IF(AND(AJ51="NAOI",AJ50="NAOI"),AK50,AD51)</f>
        <v>98.694000000000003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9"/>
        <v>1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10.5</v>
      </c>
      <c r="B53" s="136">
        <f>AL4</f>
        <v>94.821999999999989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23</v>
      </c>
      <c r="B54" s="136">
        <f>AN4</f>
        <v>94.801999999999992</v>
      </c>
      <c r="C54" s="139" t="s">
        <v>10</v>
      </c>
      <c r="D54" s="178"/>
    </row>
    <row r="55" spans="1:42" ht="20.100000000000001" customHeight="1" x14ac:dyDescent="0.2">
      <c r="A55" s="140">
        <v>23</v>
      </c>
      <c r="B55" s="141">
        <v>93.302999999999997</v>
      </c>
      <c r="C55" s="142" t="s">
        <v>8</v>
      </c>
      <c r="D55" s="178"/>
    </row>
    <row r="56" spans="1:42" ht="20.100000000000001" customHeight="1" x14ac:dyDescent="0.2">
      <c r="A56" s="140">
        <v>23</v>
      </c>
      <c r="B56" s="143">
        <f>B55+4</f>
        <v>97.302999999999997</v>
      </c>
      <c r="C56" s="142" t="s">
        <v>8</v>
      </c>
      <c r="D56" s="178"/>
    </row>
    <row r="57" spans="1:42" ht="20.100000000000001" customHeight="1" x14ac:dyDescent="0.2">
      <c r="A57" s="144">
        <v>23.5</v>
      </c>
      <c r="B57" s="143">
        <v>96.317999999999998</v>
      </c>
      <c r="C57" s="145" t="s">
        <v>2</v>
      </c>
      <c r="D57" s="178"/>
    </row>
    <row r="58" spans="1:42" ht="20.100000000000001" customHeight="1" thickBot="1" x14ac:dyDescent="0.25">
      <c r="A58" s="140">
        <f>A57</f>
        <v>23.5</v>
      </c>
      <c r="B58" s="143">
        <f>B57+1.5</f>
        <v>97.817999999999998</v>
      </c>
      <c r="C58" s="146" t="s">
        <v>2</v>
      </c>
      <c r="D58" s="178"/>
    </row>
    <row r="59" spans="1:42" ht="13.5" thickBot="1" x14ac:dyDescent="0.25">
      <c r="A59" s="147"/>
      <c r="B59" s="148"/>
      <c r="C59" s="149" t="s">
        <v>7</v>
      </c>
      <c r="D59" s="150"/>
    </row>
    <row r="60" spans="1:42" ht="13.5" thickBot="1" x14ac:dyDescent="0.25">
      <c r="A60" s="151"/>
      <c r="B60" s="148"/>
      <c r="C60" s="149" t="s">
        <v>7</v>
      </c>
      <c r="D60" s="150"/>
    </row>
    <row r="61" spans="1:42" ht="18" x14ac:dyDescent="0.25">
      <c r="A61" s="152" t="s">
        <v>49</v>
      </c>
      <c r="B61" s="153"/>
      <c r="C61" s="154"/>
      <c r="D61" s="150"/>
    </row>
    <row r="62" spans="1:42" ht="18" x14ac:dyDescent="0.25">
      <c r="A62" s="152" t="s">
        <v>50</v>
      </c>
      <c r="B62" s="153"/>
      <c r="C62" s="155">
        <f>B55</f>
        <v>93.302999999999997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59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56</v>
      </c>
      <c r="C69" s="175"/>
    </row>
    <row r="70" spans="1:4" ht="14.25" x14ac:dyDescent="0.2">
      <c r="A70" s="158" t="s">
        <v>57</v>
      </c>
      <c r="B70" s="175" t="s">
        <v>58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42765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726" priority="84" stopIfTrue="1">
      <formula>$AP$47=1</formula>
    </cfRule>
  </conditionalFormatting>
  <conditionalFormatting sqref="AC46:AF46">
    <cfRule type="expression" dxfId="725" priority="83" stopIfTrue="1">
      <formula>$AP$46</formula>
    </cfRule>
  </conditionalFormatting>
  <conditionalFormatting sqref="AC50:AF50">
    <cfRule type="expression" dxfId="724" priority="82" stopIfTrue="1">
      <formula>$AP$50=1</formula>
    </cfRule>
  </conditionalFormatting>
  <conditionalFormatting sqref="AC51:AF51">
    <cfRule type="expression" dxfId="723" priority="81" stopIfTrue="1">
      <formula>$AP$51=1</formula>
    </cfRule>
  </conditionalFormatting>
  <conditionalFormatting sqref="AC49:AF49">
    <cfRule type="expression" dxfId="722" priority="80" stopIfTrue="1">
      <formula>$AP$49=1</formula>
    </cfRule>
  </conditionalFormatting>
  <conditionalFormatting sqref="AC48:AF48">
    <cfRule type="expression" dxfId="721" priority="79" stopIfTrue="1">
      <formula>$AP$48=1</formula>
    </cfRule>
  </conditionalFormatting>
  <conditionalFormatting sqref="AC45:AF45">
    <cfRule type="expression" dxfId="720" priority="78" stopIfTrue="1">
      <formula>$AP$45=1</formula>
    </cfRule>
  </conditionalFormatting>
  <conditionalFormatting sqref="AC44:AF44">
    <cfRule type="expression" dxfId="719" priority="77" stopIfTrue="1">
      <formula>$AP$44=1</formula>
    </cfRule>
  </conditionalFormatting>
  <conditionalFormatting sqref="AC43:AF43">
    <cfRule type="expression" dxfId="718" priority="76" stopIfTrue="1">
      <formula>$AP$43=1</formula>
    </cfRule>
  </conditionalFormatting>
  <conditionalFormatting sqref="AC42:AF42">
    <cfRule type="expression" dxfId="717" priority="75" stopIfTrue="1">
      <formula>$AP$42=1</formula>
    </cfRule>
  </conditionalFormatting>
  <conditionalFormatting sqref="AC41:AF41">
    <cfRule type="expression" dxfId="716" priority="74" stopIfTrue="1">
      <formula>$AP$41=1</formula>
    </cfRule>
  </conditionalFormatting>
  <conditionalFormatting sqref="AC40:AF40">
    <cfRule type="expression" dxfId="715" priority="73" stopIfTrue="1">
      <formula>$AP$40=1</formula>
    </cfRule>
  </conditionalFormatting>
  <conditionalFormatting sqref="AC39:AF39">
    <cfRule type="expression" dxfId="714" priority="72" stopIfTrue="1">
      <formula>$AP$39=1</formula>
    </cfRule>
  </conditionalFormatting>
  <conditionalFormatting sqref="AC38:AF38">
    <cfRule type="expression" dxfId="713" priority="71" stopIfTrue="1">
      <formula>$AP$38=1</formula>
    </cfRule>
  </conditionalFormatting>
  <conditionalFormatting sqref="AC37:AF37">
    <cfRule type="expression" dxfId="712" priority="70" stopIfTrue="1">
      <formula>$AP$37=1</formula>
    </cfRule>
  </conditionalFormatting>
  <conditionalFormatting sqref="AC36:AF36">
    <cfRule type="expression" dxfId="711" priority="69" stopIfTrue="1">
      <formula>$AP$36=1</formula>
    </cfRule>
  </conditionalFormatting>
  <conditionalFormatting sqref="AC35:AF35">
    <cfRule type="expression" dxfId="710" priority="67" stopIfTrue="1">
      <formula>$AP$35=1</formula>
    </cfRule>
    <cfRule type="expression" dxfId="709" priority="68" stopIfTrue="1">
      <formula>$AP$35=1</formula>
    </cfRule>
  </conditionalFormatting>
  <conditionalFormatting sqref="AC34:AF34">
    <cfRule type="expression" dxfId="708" priority="66" stopIfTrue="1">
      <formula>$AP$34=1</formula>
    </cfRule>
  </conditionalFormatting>
  <conditionalFormatting sqref="AC33:AF33">
    <cfRule type="expression" dxfId="707" priority="65" stopIfTrue="1">
      <formula>$AP$33=1</formula>
    </cfRule>
  </conditionalFormatting>
  <conditionalFormatting sqref="AC32:AF32">
    <cfRule type="expression" dxfId="706" priority="64" stopIfTrue="1">
      <formula>$AP$32=1</formula>
    </cfRule>
  </conditionalFormatting>
  <conditionalFormatting sqref="AC31:AF31">
    <cfRule type="expression" dxfId="705" priority="63" stopIfTrue="1">
      <formula>$AP$31=1</formula>
    </cfRule>
  </conditionalFormatting>
  <conditionalFormatting sqref="AC30:AF30">
    <cfRule type="expression" dxfId="704" priority="62" stopIfTrue="1">
      <formula>$AP$30</formula>
    </cfRule>
  </conditionalFormatting>
  <conditionalFormatting sqref="AC29:AD29 AF29">
    <cfRule type="expression" dxfId="703" priority="61" stopIfTrue="1">
      <formula>$AP$29=1</formula>
    </cfRule>
  </conditionalFormatting>
  <conditionalFormatting sqref="AC28:AD28 AF28">
    <cfRule type="expression" dxfId="702" priority="60" stopIfTrue="1">
      <formula>$AP$28=1</formula>
    </cfRule>
  </conditionalFormatting>
  <conditionalFormatting sqref="AC27:AD27 AF27">
    <cfRule type="expression" dxfId="701" priority="59" stopIfTrue="1">
      <formula>$AP$27=1</formula>
    </cfRule>
  </conditionalFormatting>
  <conditionalFormatting sqref="AC26:AD26 AF26">
    <cfRule type="expression" dxfId="700" priority="58" stopIfTrue="1">
      <formula>$AP$26=1</formula>
    </cfRule>
  </conditionalFormatting>
  <conditionalFormatting sqref="AC25:AD25 AF25">
    <cfRule type="expression" dxfId="699" priority="57" stopIfTrue="1">
      <formula>$AP$25=1</formula>
    </cfRule>
  </conditionalFormatting>
  <conditionalFormatting sqref="AC24:AD24 AF24">
    <cfRule type="expression" dxfId="698" priority="56" stopIfTrue="1">
      <formula>$AP$24=1</formula>
    </cfRule>
  </conditionalFormatting>
  <conditionalFormatting sqref="AC23:AD23 AF23">
    <cfRule type="expression" dxfId="697" priority="55" stopIfTrue="1">
      <formula>$AP$23=1</formula>
    </cfRule>
  </conditionalFormatting>
  <conditionalFormatting sqref="AC22:AD22 AF22">
    <cfRule type="expression" dxfId="696" priority="54" stopIfTrue="1">
      <formula>$AP$22=1</formula>
    </cfRule>
  </conditionalFormatting>
  <conditionalFormatting sqref="AC21:AD21 AF21">
    <cfRule type="expression" dxfId="695" priority="53" stopIfTrue="1">
      <formula>$AP$21=1</formula>
    </cfRule>
  </conditionalFormatting>
  <conditionalFormatting sqref="AC20:AD20 AF20">
    <cfRule type="expression" dxfId="694" priority="52" stopIfTrue="1">
      <formula>$AP$20=1</formula>
    </cfRule>
  </conditionalFormatting>
  <conditionalFormatting sqref="AC19:AD19 AF19">
    <cfRule type="expression" dxfId="693" priority="51" stopIfTrue="1">
      <formula>$AP$19=1</formula>
    </cfRule>
  </conditionalFormatting>
  <conditionalFormatting sqref="AC18:AD18 AF18">
    <cfRule type="expression" dxfId="692" priority="50" stopIfTrue="1">
      <formula>$AP$18=1</formula>
    </cfRule>
  </conditionalFormatting>
  <conditionalFormatting sqref="AC17:AD17 AF17">
    <cfRule type="expression" dxfId="691" priority="49" stopIfTrue="1">
      <formula>$AP$17=1</formula>
    </cfRule>
  </conditionalFormatting>
  <conditionalFormatting sqref="AC16:AD16 AF16">
    <cfRule type="expression" dxfId="690" priority="48" stopIfTrue="1">
      <formula>$AP$16=1</formula>
    </cfRule>
  </conditionalFormatting>
  <conditionalFormatting sqref="AC15:AD15 AF15">
    <cfRule type="expression" dxfId="689" priority="47" stopIfTrue="1">
      <formula>$AP$15=1</formula>
    </cfRule>
  </conditionalFormatting>
  <conditionalFormatting sqref="AC14:AD14 AF14">
    <cfRule type="expression" dxfId="688" priority="46" stopIfTrue="1">
      <formula>$AP$14=1</formula>
    </cfRule>
  </conditionalFormatting>
  <conditionalFormatting sqref="AC13:AD13 AF13">
    <cfRule type="expression" dxfId="687" priority="45" stopIfTrue="1">
      <formula>$AP$13=1</formula>
    </cfRule>
  </conditionalFormatting>
  <conditionalFormatting sqref="AC12:AF12 AE13:AE29">
    <cfRule type="expression" dxfId="686" priority="44" stopIfTrue="1">
      <formula>$AP$12=1</formula>
    </cfRule>
  </conditionalFormatting>
  <conditionalFormatting sqref="AC11:AF11">
    <cfRule type="expression" dxfId="685" priority="43" stopIfTrue="1">
      <formula>$AP$11=1</formula>
    </cfRule>
  </conditionalFormatting>
  <conditionalFormatting sqref="A51:B51">
    <cfRule type="expression" dxfId="684" priority="42" stopIfTrue="1">
      <formula>$AP$51=1</formula>
    </cfRule>
  </conditionalFormatting>
  <conditionalFormatting sqref="A50:B50">
    <cfRule type="expression" dxfId="683" priority="41" stopIfTrue="1">
      <formula>$AP$50=1</formula>
    </cfRule>
  </conditionalFormatting>
  <conditionalFormatting sqref="A49:B49">
    <cfRule type="expression" dxfId="682" priority="40" stopIfTrue="1">
      <formula>$AP$49=1</formula>
    </cfRule>
  </conditionalFormatting>
  <conditionalFormatting sqref="A48:B48">
    <cfRule type="expression" dxfId="681" priority="39" stopIfTrue="1">
      <formula>$AP$48=1</formula>
    </cfRule>
  </conditionalFormatting>
  <conditionalFormatting sqref="A47:B47">
    <cfRule type="expression" dxfId="680" priority="38" stopIfTrue="1">
      <formula>$AP$47=1</formula>
    </cfRule>
  </conditionalFormatting>
  <conditionalFormatting sqref="A46:B46">
    <cfRule type="expression" dxfId="679" priority="37" stopIfTrue="1">
      <formula>$AP$46=1</formula>
    </cfRule>
  </conditionalFormatting>
  <conditionalFormatting sqref="A45:B45">
    <cfRule type="expression" dxfId="678" priority="36" stopIfTrue="1">
      <formula>$AP$45=1</formula>
    </cfRule>
  </conditionalFormatting>
  <conditionalFormatting sqref="A44:B44">
    <cfRule type="expression" dxfId="677" priority="35" stopIfTrue="1">
      <formula>$AP$44=1</formula>
    </cfRule>
  </conditionalFormatting>
  <conditionalFormatting sqref="A43:B43">
    <cfRule type="expression" dxfId="676" priority="34" stopIfTrue="1">
      <formula>$AP$43=1</formula>
    </cfRule>
  </conditionalFormatting>
  <conditionalFormatting sqref="A42:B42">
    <cfRule type="expression" dxfId="675" priority="33" stopIfTrue="1">
      <formula>$AP$42=1</formula>
    </cfRule>
  </conditionalFormatting>
  <conditionalFormatting sqref="A41:B41">
    <cfRule type="expression" dxfId="674" priority="32" stopIfTrue="1">
      <formula>$AP$41=1</formula>
    </cfRule>
  </conditionalFormatting>
  <conditionalFormatting sqref="A40:B40">
    <cfRule type="expression" dxfId="673" priority="31" stopIfTrue="1">
      <formula>$AP$40=1</formula>
    </cfRule>
  </conditionalFormatting>
  <conditionalFormatting sqref="A39:B39">
    <cfRule type="expression" dxfId="672" priority="30" stopIfTrue="1">
      <formula>$AP$39=1</formula>
    </cfRule>
  </conditionalFormatting>
  <conditionalFormatting sqref="A38:B38">
    <cfRule type="expression" dxfId="671" priority="29" stopIfTrue="1">
      <formula>$AP$38=1</formula>
    </cfRule>
  </conditionalFormatting>
  <conditionalFormatting sqref="A37:B37">
    <cfRule type="expression" dxfId="670" priority="28" stopIfTrue="1">
      <formula>$AP$37=1</formula>
    </cfRule>
  </conditionalFormatting>
  <conditionalFormatting sqref="A36:B36">
    <cfRule type="expression" dxfId="669" priority="27" stopIfTrue="1">
      <formula>$AP$36=1</formula>
    </cfRule>
  </conditionalFormatting>
  <conditionalFormatting sqref="A35:B35">
    <cfRule type="expression" dxfId="668" priority="26" stopIfTrue="1">
      <formula>$AP$35=1</formula>
    </cfRule>
  </conditionalFormatting>
  <conditionalFormatting sqref="A34:B34">
    <cfRule type="expression" dxfId="667" priority="25" stopIfTrue="1">
      <formula>$AP$34=1</formula>
    </cfRule>
  </conditionalFormatting>
  <conditionalFormatting sqref="A33:B33">
    <cfRule type="expression" dxfId="666" priority="24" stopIfTrue="1">
      <formula>$AP$33=1</formula>
    </cfRule>
  </conditionalFormatting>
  <conditionalFormatting sqref="A32:B32">
    <cfRule type="expression" dxfId="665" priority="23" stopIfTrue="1">
      <formula>$AP$32=1</formula>
    </cfRule>
  </conditionalFormatting>
  <conditionalFormatting sqref="A31:B31">
    <cfRule type="expression" dxfId="664" priority="22" stopIfTrue="1">
      <formula>$AP$31=1</formula>
    </cfRule>
  </conditionalFormatting>
  <conditionalFormatting sqref="A30:B30">
    <cfRule type="expression" dxfId="663" priority="21" stopIfTrue="1">
      <formula>$AP$30=1</formula>
    </cfRule>
  </conditionalFormatting>
  <conditionalFormatting sqref="A29:B29">
    <cfRule type="expression" dxfId="662" priority="20" stopIfTrue="1">
      <formula>$AP$29=1</formula>
    </cfRule>
  </conditionalFormatting>
  <conditionalFormatting sqref="A28:B28">
    <cfRule type="expression" dxfId="661" priority="19" stopIfTrue="1">
      <formula>$AP$28=1</formula>
    </cfRule>
  </conditionalFormatting>
  <conditionalFormatting sqref="A27:B27">
    <cfRule type="expression" dxfId="660" priority="18" stopIfTrue="1">
      <formula>$AP$27=1</formula>
    </cfRule>
  </conditionalFormatting>
  <conditionalFormatting sqref="A26:B26">
    <cfRule type="expression" dxfId="659" priority="17" stopIfTrue="1">
      <formula>$AP$26=1</formula>
    </cfRule>
  </conditionalFormatting>
  <conditionalFormatting sqref="A25:B25">
    <cfRule type="expression" dxfId="658" priority="16" stopIfTrue="1">
      <formula>$AP$25=1</formula>
    </cfRule>
  </conditionalFormatting>
  <conditionalFormatting sqref="A24:B24">
    <cfRule type="expression" dxfId="657" priority="15" stopIfTrue="1">
      <formula>$AP$24=1</formula>
    </cfRule>
  </conditionalFormatting>
  <conditionalFormatting sqref="A23:B23">
    <cfRule type="expression" dxfId="656" priority="14" stopIfTrue="1">
      <formula>$AP$23=1</formula>
    </cfRule>
  </conditionalFormatting>
  <conditionalFormatting sqref="A22:B22">
    <cfRule type="expression" dxfId="655" priority="13" stopIfTrue="1">
      <formula>$AP$22=1</formula>
    </cfRule>
  </conditionalFormatting>
  <conditionalFormatting sqref="A21:B21">
    <cfRule type="expression" dxfId="654" priority="12" stopIfTrue="1">
      <formula>$AP$21=1</formula>
    </cfRule>
  </conditionalFormatting>
  <conditionalFormatting sqref="A20:B20">
    <cfRule type="expression" dxfId="653" priority="11" stopIfTrue="1">
      <formula>$AP$20=1</formula>
    </cfRule>
  </conditionalFormatting>
  <conditionalFormatting sqref="A19:B19">
    <cfRule type="expression" dxfId="652" priority="10" stopIfTrue="1">
      <formula>$AP$19=1</formula>
    </cfRule>
  </conditionalFormatting>
  <conditionalFormatting sqref="A18:B18">
    <cfRule type="expression" dxfId="651" priority="9" stopIfTrue="1">
      <formula>$AP$18=1</formula>
    </cfRule>
  </conditionalFormatting>
  <conditionalFormatting sqref="A17:B17">
    <cfRule type="expression" dxfId="650" priority="8" stopIfTrue="1">
      <formula>$AP$17=1</formula>
    </cfRule>
  </conditionalFormatting>
  <conditionalFormatting sqref="A16:B16">
    <cfRule type="expression" dxfId="649" priority="7" stopIfTrue="1">
      <formula>$AP$16=1</formula>
    </cfRule>
  </conditionalFormatting>
  <conditionalFormatting sqref="A15:B15">
    <cfRule type="expression" dxfId="648" priority="6" stopIfTrue="1">
      <formula>$AP$15=1</formula>
    </cfRule>
  </conditionalFormatting>
  <conditionalFormatting sqref="A14:B14">
    <cfRule type="expression" dxfId="647" priority="5" stopIfTrue="1">
      <formula>$AP$14=1</formula>
    </cfRule>
  </conditionalFormatting>
  <conditionalFormatting sqref="A13:B13">
    <cfRule type="expression" dxfId="646" priority="4" stopIfTrue="1">
      <formula>$AP$13=1</formula>
    </cfRule>
  </conditionalFormatting>
  <conditionalFormatting sqref="A12:B12">
    <cfRule type="expression" dxfId="645" priority="3" stopIfTrue="1">
      <formula>$AP$12=1</formula>
    </cfRule>
  </conditionalFormatting>
  <conditionalFormatting sqref="A11:B11">
    <cfRule type="expression" dxfId="644" priority="2" stopIfTrue="1">
      <formula>$AP$11=1</formula>
    </cfRule>
  </conditionalFormatting>
  <conditionalFormatting sqref="A10:B10">
    <cfRule type="expression" dxfId="643" priority="1" stopIfTrue="1">
      <formula>$AP$10=1</formula>
    </cfRule>
  </conditionalFormatting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AP75"/>
  <sheetViews>
    <sheetView topLeftCell="A10" zoomScale="70" zoomScaleNormal="70" workbookViewId="0">
      <selection activeCell="B56" sqref="B56"/>
    </sheetView>
  </sheetViews>
  <sheetFormatPr baseColWidth="10" defaultColWidth="11.42578125" defaultRowHeight="12.75" x14ac:dyDescent="0.2"/>
  <cols>
    <col min="1" max="1" width="9.7109375" style="84" customWidth="1"/>
    <col min="2" max="2" width="8.570312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1" t="s">
        <v>67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478.88099999999997</v>
      </c>
      <c r="AM4" s="93">
        <f>SUM(AM5:AM46)</f>
        <v>13.5</v>
      </c>
      <c r="AN4" s="93">
        <f>SUM(AN5:AN46)</f>
        <v>478.88099999999997</v>
      </c>
      <c r="AO4" s="93">
        <f>SUM(AO5:AO46)</f>
        <v>21.999999999999989</v>
      </c>
      <c r="AP4" s="86"/>
    </row>
    <row r="5" spans="1:42" ht="15.75" x14ac:dyDescent="0.25">
      <c r="A5" s="94">
        <f t="shared" ref="A5:A51" si="0">AF5</f>
        <v>0</v>
      </c>
      <c r="B5" s="95">
        <f t="shared" ref="B5:B51" si="1">AD5</f>
        <v>480.02</v>
      </c>
      <c r="C5" s="96" t="str">
        <f>IF(AG5="","",AG5)</f>
        <v xml:space="preserve">S/BM </v>
      </c>
      <c r="D5" s="190"/>
      <c r="X5" s="97"/>
      <c r="Y5" s="98"/>
      <c r="Z5" s="99">
        <v>0.99099999999999999</v>
      </c>
      <c r="AA5" s="100"/>
      <c r="AB5" s="101"/>
      <c r="AC5" s="102">
        <f>IF(AA5="",AD5+Z5,"")</f>
        <v>481.01099999999997</v>
      </c>
      <c r="AD5" s="103">
        <v>480.02</v>
      </c>
      <c r="AE5" s="104">
        <v>0</v>
      </c>
      <c r="AF5" s="105"/>
      <c r="AG5" s="106" t="s">
        <v>46</v>
      </c>
      <c r="AH5" s="86">
        <f t="shared" ref="AH5:AH46" si="2">IF(AND(AJ5="NAOI",AJ5=AJ6),AK5,AI5)</f>
        <v>481.01099999999997</v>
      </c>
      <c r="AI5" s="86">
        <f>IF(AA5="",AC5,AI4)</f>
        <v>481.01099999999997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479.78099999999995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1.23</v>
      </c>
      <c r="AB6" s="111"/>
      <c r="AC6" s="112" t="str">
        <f>IF(AA6="",AD6+Z6,"")</f>
        <v/>
      </c>
      <c r="AD6" s="113">
        <f>IF(AA6="",AH5-AB6,AH5-AA6)</f>
        <v>479.78099999999995</v>
      </c>
      <c r="AE6" s="114">
        <v>0</v>
      </c>
      <c r="AF6" s="113">
        <f>AE6</f>
        <v>0</v>
      </c>
      <c r="AG6" s="115" t="s">
        <v>4</v>
      </c>
      <c r="AH6" s="86">
        <f t="shared" si="2"/>
        <v>481.01099999999997</v>
      </c>
      <c r="AI6" s="86">
        <f t="shared" ref="AI6:AI46" si="6">IF(AA6="",AC6,AI5)</f>
        <v>481.01099999999997</v>
      </c>
      <c r="AJ6" s="86" t="str">
        <f t="shared" si="3"/>
        <v>PRI</v>
      </c>
      <c r="AK6" s="93">
        <f t="shared" si="4"/>
        <v>479.78099999999995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10</v>
      </c>
      <c r="B7" s="95">
        <f t="shared" si="1"/>
        <v>480.26699999999994</v>
      </c>
      <c r="C7" s="96" t="str">
        <f t="shared" si="5"/>
        <v/>
      </c>
      <c r="D7" s="190"/>
      <c r="X7" s="107"/>
      <c r="Y7" s="108"/>
      <c r="Z7" s="109"/>
      <c r="AA7" s="110">
        <v>0.74399999999999999</v>
      </c>
      <c r="AB7" s="111"/>
      <c r="AC7" s="112" t="str">
        <f t="shared" ref="AC7:AC46" si="11">IF(AA7="",AD7+Z7,"")</f>
        <v/>
      </c>
      <c r="AD7" s="113">
        <f>IF(AA7="",AH6-AB7,AH6-AA7)</f>
        <v>480.26699999999994</v>
      </c>
      <c r="AE7" s="114">
        <v>10</v>
      </c>
      <c r="AF7" s="113">
        <f t="shared" ref="AF7:AF46" si="12">+AF6+AE7</f>
        <v>10</v>
      </c>
      <c r="AG7" s="116"/>
      <c r="AH7" s="86">
        <f t="shared" si="2"/>
        <v>481.01099999999997</v>
      </c>
      <c r="AI7" s="86">
        <f t="shared" si="6"/>
        <v>481.01099999999997</v>
      </c>
      <c r="AJ7" s="86" t="str">
        <f t="shared" si="3"/>
        <v>PRI</v>
      </c>
      <c r="AK7" s="93">
        <f t="shared" si="4"/>
        <v>480.26699999999994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11.5</v>
      </c>
      <c r="B8" s="95">
        <f t="shared" si="1"/>
        <v>480.07399999999996</v>
      </c>
      <c r="C8" s="96" t="str">
        <f t="shared" si="5"/>
        <v/>
      </c>
      <c r="D8" s="190"/>
      <c r="X8" s="107"/>
      <c r="Y8" s="108"/>
      <c r="Z8" s="109"/>
      <c r="AA8" s="110">
        <v>0.93700000000000006</v>
      </c>
      <c r="AB8" s="111"/>
      <c r="AC8" s="112" t="str">
        <f t="shared" si="11"/>
        <v/>
      </c>
      <c r="AD8" s="113">
        <f>IF(AA8="",AH7-AB8,AH7-AA8)</f>
        <v>480.07399999999996</v>
      </c>
      <c r="AE8" s="114">
        <v>1.5</v>
      </c>
      <c r="AF8" s="113">
        <f t="shared" si="12"/>
        <v>11.5</v>
      </c>
      <c r="AG8" s="116"/>
      <c r="AH8" s="86">
        <f t="shared" si="2"/>
        <v>481.01099999999997</v>
      </c>
      <c r="AI8" s="86">
        <f t="shared" si="6"/>
        <v>481.01099999999997</v>
      </c>
      <c r="AJ8" s="86" t="str">
        <f t="shared" si="3"/>
        <v>PRI</v>
      </c>
      <c r="AK8" s="93">
        <f t="shared" si="4"/>
        <v>480.07399999999996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11.5</v>
      </c>
      <c r="B9" s="95">
        <f t="shared" si="1"/>
        <v>479.72099999999995</v>
      </c>
      <c r="C9" s="96" t="str">
        <f t="shared" si="5"/>
        <v/>
      </c>
      <c r="D9" s="190"/>
      <c r="X9" s="107"/>
      <c r="Y9" s="108"/>
      <c r="Z9" s="109"/>
      <c r="AA9" s="110">
        <v>1.29</v>
      </c>
      <c r="AB9" s="111"/>
      <c r="AC9" s="112" t="str">
        <f t="shared" si="11"/>
        <v/>
      </c>
      <c r="AD9" s="113">
        <f>IF(AA9="",AH8-AB9,AH8-AA9)</f>
        <v>479.72099999999995</v>
      </c>
      <c r="AE9" s="114">
        <v>0</v>
      </c>
      <c r="AF9" s="113">
        <f t="shared" si="12"/>
        <v>11.5</v>
      </c>
      <c r="AG9" s="115"/>
      <c r="AH9" s="86">
        <f t="shared" si="2"/>
        <v>481.01099999999997</v>
      </c>
      <c r="AI9" s="86">
        <f t="shared" si="6"/>
        <v>481.01099999999997</v>
      </c>
      <c r="AJ9" s="86" t="str">
        <f t="shared" si="3"/>
        <v>PRI</v>
      </c>
      <c r="AK9" s="93">
        <f t="shared" si="4"/>
        <v>479.72099999999995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12.4</v>
      </c>
      <c r="B10" s="95">
        <f t="shared" si="1"/>
        <v>480.19099999999997</v>
      </c>
      <c r="C10" s="96" t="str">
        <f t="shared" si="5"/>
        <v/>
      </c>
      <c r="D10" s="190"/>
      <c r="E10" s="84">
        <f>(B12+B35)/2</f>
        <v>479.351</v>
      </c>
      <c r="X10" s="107"/>
      <c r="Y10" s="108"/>
      <c r="Z10" s="109"/>
      <c r="AA10" s="110">
        <v>0.82</v>
      </c>
      <c r="AB10" s="111"/>
      <c r="AC10" s="112" t="str">
        <f t="shared" si="11"/>
        <v/>
      </c>
      <c r="AD10" s="113">
        <f t="shared" ref="AD10:AD51" si="13">IF(AJ9="S/BM",AD9,IF(AA10="",AH9-AB10,AH9-AA10))</f>
        <v>480.19099999999997</v>
      </c>
      <c r="AE10" s="114">
        <v>0.9</v>
      </c>
      <c r="AF10" s="113">
        <f t="shared" si="12"/>
        <v>12.4</v>
      </c>
      <c r="AG10" s="116"/>
      <c r="AH10" s="86">
        <f t="shared" si="2"/>
        <v>481.01099999999997</v>
      </c>
      <c r="AI10" s="86">
        <f t="shared" si="6"/>
        <v>481.01099999999997</v>
      </c>
      <c r="AJ10" s="86" t="str">
        <f t="shared" si="3"/>
        <v>PRI</v>
      </c>
      <c r="AK10" s="93">
        <f t="shared" si="4"/>
        <v>480.19099999999997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13.5</v>
      </c>
      <c r="B11" s="95">
        <f t="shared" si="1"/>
        <v>478.88099999999997</v>
      </c>
      <c r="C11" s="96" t="str">
        <f t="shared" si="5"/>
        <v>NAOI</v>
      </c>
      <c r="D11" s="190"/>
      <c r="E11" s="117">
        <v>0.33</v>
      </c>
      <c r="X11" s="107"/>
      <c r="Y11" s="108"/>
      <c r="Z11" s="109"/>
      <c r="AA11" s="110">
        <v>2.13</v>
      </c>
      <c r="AB11" s="111"/>
      <c r="AC11" s="112" t="str">
        <f t="shared" si="11"/>
        <v/>
      </c>
      <c r="AD11" s="113">
        <f t="shared" si="13"/>
        <v>478.88099999999997</v>
      </c>
      <c r="AE11" s="114">
        <v>1.1000000000000001</v>
      </c>
      <c r="AF11" s="113">
        <f t="shared" si="12"/>
        <v>13.5</v>
      </c>
      <c r="AG11" s="115" t="s">
        <v>9</v>
      </c>
      <c r="AH11" s="86">
        <f t="shared" si="2"/>
        <v>478.88099999999997</v>
      </c>
      <c r="AI11" s="86">
        <f t="shared" si="6"/>
        <v>481.01099999999997</v>
      </c>
      <c r="AJ11" s="86" t="str">
        <f t="shared" si="3"/>
        <v>NAOI</v>
      </c>
      <c r="AK11" s="93">
        <f t="shared" si="4"/>
        <v>478.88099999999997</v>
      </c>
      <c r="AL11" s="86">
        <f t="shared" si="7"/>
        <v>478.88099999999997</v>
      </c>
      <c r="AM11" s="93">
        <f t="shared" si="8"/>
        <v>13.5</v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14</v>
      </c>
      <c r="B12" s="95">
        <f t="shared" si="1"/>
        <v>478.68099999999998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0.2</v>
      </c>
      <c r="AB12" s="111"/>
      <c r="AC12" s="112" t="str">
        <f>IF(AA12="",AD12+Z12,"")</f>
        <v/>
      </c>
      <c r="AD12" s="113">
        <f t="shared" si="13"/>
        <v>478.68099999999998</v>
      </c>
      <c r="AE12" s="114">
        <v>0.5</v>
      </c>
      <c r="AF12" s="113">
        <f t="shared" si="12"/>
        <v>14</v>
      </c>
      <c r="AG12" s="115"/>
      <c r="AH12" s="86">
        <f t="shared" si="2"/>
        <v>478.88099999999997</v>
      </c>
      <c r="AI12" s="86">
        <f t="shared" si="6"/>
        <v>481.01099999999997</v>
      </c>
      <c r="AJ12" s="86" t="str">
        <f t="shared" si="3"/>
        <v>NAOI</v>
      </c>
      <c r="AK12" s="93">
        <f t="shared" si="4"/>
        <v>478.88099999999997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14.5</v>
      </c>
      <c r="B13" s="95">
        <f t="shared" si="1"/>
        <v>478.68099999999998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0.2</v>
      </c>
      <c r="AB13" s="111"/>
      <c r="AC13" s="112" t="str">
        <f t="shared" si="11"/>
        <v/>
      </c>
      <c r="AD13" s="113">
        <f t="shared" si="13"/>
        <v>478.68099999999998</v>
      </c>
      <c r="AE13" s="114">
        <v>0.5</v>
      </c>
      <c r="AF13" s="113">
        <f t="shared" si="12"/>
        <v>14.5</v>
      </c>
      <c r="AG13" s="116"/>
      <c r="AH13" s="86">
        <f t="shared" si="2"/>
        <v>478.88099999999997</v>
      </c>
      <c r="AI13" s="86">
        <f t="shared" si="6"/>
        <v>481.01099999999997</v>
      </c>
      <c r="AJ13" s="86" t="str">
        <f t="shared" si="3"/>
        <v>NAOI</v>
      </c>
      <c r="AK13" s="93">
        <f t="shared" si="4"/>
        <v>478.88099999999997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15</v>
      </c>
      <c r="B14" s="95">
        <f t="shared" si="1"/>
        <v>478.71099999999996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0.17</v>
      </c>
      <c r="AB14" s="111"/>
      <c r="AC14" s="112" t="str">
        <f t="shared" si="11"/>
        <v/>
      </c>
      <c r="AD14" s="113">
        <f t="shared" si="13"/>
        <v>478.71099999999996</v>
      </c>
      <c r="AE14" s="114">
        <v>0.5</v>
      </c>
      <c r="AF14" s="113">
        <f t="shared" si="12"/>
        <v>15</v>
      </c>
      <c r="AG14" s="116"/>
      <c r="AH14" s="86">
        <f t="shared" si="2"/>
        <v>478.88099999999997</v>
      </c>
      <c r="AI14" s="86">
        <f t="shared" si="6"/>
        <v>481.01099999999997</v>
      </c>
      <c r="AJ14" s="86" t="str">
        <f t="shared" si="3"/>
        <v>NAOI</v>
      </c>
      <c r="AK14" s="93">
        <f>IF(AND(AJ14="NAOI",AJ13="NAOI"),AK13,AD14)</f>
        <v>478.88099999999997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15.5</v>
      </c>
      <c r="B15" s="95">
        <f t="shared" si="1"/>
        <v>478.67099999999999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0.21</v>
      </c>
      <c r="AB15" s="111"/>
      <c r="AC15" s="112" t="str">
        <f t="shared" si="11"/>
        <v/>
      </c>
      <c r="AD15" s="113">
        <f t="shared" si="13"/>
        <v>478.67099999999999</v>
      </c>
      <c r="AE15" s="114">
        <v>0.5</v>
      </c>
      <c r="AF15" s="113">
        <f t="shared" si="12"/>
        <v>15.5</v>
      </c>
      <c r="AG15" s="115"/>
      <c r="AH15" s="86">
        <f t="shared" si="2"/>
        <v>478.88099999999997</v>
      </c>
      <c r="AI15" s="86">
        <f t="shared" si="6"/>
        <v>481.01099999999997</v>
      </c>
      <c r="AJ15" s="86" t="str">
        <f t="shared" si="3"/>
        <v>NAOI</v>
      </c>
      <c r="AK15" s="93">
        <f>IF(AND(AJ15="NAOI",AJ14="NAOI"),AK14,AD15)</f>
        <v>478.88099999999997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15.9</v>
      </c>
      <c r="B16" s="95">
        <f t="shared" si="1"/>
        <v>478.70099999999996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0.18</v>
      </c>
      <c r="AB16" s="111"/>
      <c r="AC16" s="112" t="str">
        <f t="shared" si="11"/>
        <v/>
      </c>
      <c r="AD16" s="113">
        <f t="shared" si="13"/>
        <v>478.70099999999996</v>
      </c>
      <c r="AE16" s="114">
        <v>0.4</v>
      </c>
      <c r="AF16" s="113">
        <f t="shared" si="12"/>
        <v>15.9</v>
      </c>
      <c r="AG16" s="118"/>
      <c r="AH16" s="86">
        <f t="shared" si="2"/>
        <v>478.88099999999997</v>
      </c>
      <c r="AI16" s="86">
        <f t="shared" si="6"/>
        <v>481.01099999999997</v>
      </c>
      <c r="AJ16" s="86" t="str">
        <f t="shared" si="3"/>
        <v>NAOI</v>
      </c>
      <c r="AK16" s="93">
        <f>IF(AND(AJ16="NAOI",AJ15="NAOI"),AK15,AD16)</f>
        <v>478.88099999999997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16.3</v>
      </c>
      <c r="B17" s="95">
        <f t="shared" si="1"/>
        <v>478.68099999999998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0.2</v>
      </c>
      <c r="AB17" s="111"/>
      <c r="AC17" s="112" t="str">
        <f t="shared" si="11"/>
        <v/>
      </c>
      <c r="AD17" s="113">
        <f t="shared" si="13"/>
        <v>478.68099999999998</v>
      </c>
      <c r="AE17" s="114">
        <v>0.4</v>
      </c>
      <c r="AF17" s="113">
        <f t="shared" si="12"/>
        <v>16.3</v>
      </c>
      <c r="AG17" s="118"/>
      <c r="AH17" s="86">
        <f t="shared" si="2"/>
        <v>478.88099999999997</v>
      </c>
      <c r="AI17" s="86">
        <f t="shared" si="6"/>
        <v>481.01099999999997</v>
      </c>
      <c r="AJ17" s="86" t="str">
        <f t="shared" si="3"/>
        <v>NAOI</v>
      </c>
      <c r="AK17" s="93">
        <f t="shared" ref="AK17:AK46" si="15">IF(AND(AJ17="NAOI",AJ16="NAOI"),AK16,AD17)</f>
        <v>478.88099999999997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16.7</v>
      </c>
      <c r="B18" s="95">
        <f t="shared" si="1"/>
        <v>478.64099999999996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0.24</v>
      </c>
      <c r="AB18" s="111"/>
      <c r="AC18" s="112" t="str">
        <f t="shared" si="11"/>
        <v/>
      </c>
      <c r="AD18" s="113">
        <f t="shared" si="13"/>
        <v>478.64099999999996</v>
      </c>
      <c r="AE18" s="114">
        <v>0.4</v>
      </c>
      <c r="AF18" s="113">
        <f t="shared" si="12"/>
        <v>16.7</v>
      </c>
      <c r="AG18" s="118"/>
      <c r="AH18" s="86">
        <f t="shared" si="2"/>
        <v>478.88099999999997</v>
      </c>
      <c r="AI18" s="86">
        <f t="shared" si="6"/>
        <v>481.01099999999997</v>
      </c>
      <c r="AJ18" s="86" t="str">
        <f t="shared" si="3"/>
        <v>NAOI</v>
      </c>
      <c r="AK18" s="93">
        <f t="shared" si="15"/>
        <v>478.88099999999997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17.099999999999998</v>
      </c>
      <c r="B19" s="95">
        <f t="shared" si="1"/>
        <v>478.67099999999999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0.21</v>
      </c>
      <c r="AB19" s="111"/>
      <c r="AC19" s="112" t="str">
        <f t="shared" si="11"/>
        <v/>
      </c>
      <c r="AD19" s="113">
        <f t="shared" si="13"/>
        <v>478.67099999999999</v>
      </c>
      <c r="AE19" s="114">
        <v>0.4</v>
      </c>
      <c r="AF19" s="113">
        <f t="shared" si="12"/>
        <v>17.099999999999998</v>
      </c>
      <c r="AG19" s="118"/>
      <c r="AH19" s="86">
        <f t="shared" si="2"/>
        <v>478.88099999999997</v>
      </c>
      <c r="AI19" s="86">
        <f t="shared" si="6"/>
        <v>481.01099999999997</v>
      </c>
      <c r="AJ19" s="86" t="str">
        <f t="shared" si="3"/>
        <v>NAOI</v>
      </c>
      <c r="AK19" s="93">
        <f t="shared" si="15"/>
        <v>478.88099999999997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17.499999999999996</v>
      </c>
      <c r="B20" s="95">
        <f t="shared" si="1"/>
        <v>478.57099999999997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0.31</v>
      </c>
      <c r="AB20" s="111"/>
      <c r="AC20" s="112" t="str">
        <f t="shared" si="11"/>
        <v/>
      </c>
      <c r="AD20" s="113">
        <f t="shared" si="13"/>
        <v>478.57099999999997</v>
      </c>
      <c r="AE20" s="114">
        <v>0.4</v>
      </c>
      <c r="AF20" s="113">
        <f t="shared" si="12"/>
        <v>17.499999999999996</v>
      </c>
      <c r="AG20" s="118"/>
      <c r="AH20" s="86">
        <f t="shared" si="2"/>
        <v>478.88099999999997</v>
      </c>
      <c r="AI20" s="86">
        <f t="shared" si="6"/>
        <v>481.01099999999997</v>
      </c>
      <c r="AJ20" s="86" t="str">
        <f t="shared" si="3"/>
        <v>NAOI</v>
      </c>
      <c r="AK20" s="93">
        <f t="shared" si="15"/>
        <v>478.88099999999997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17.899999999999995</v>
      </c>
      <c r="B21" s="95">
        <f t="shared" si="1"/>
        <v>478.48099999999999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0.4</v>
      </c>
      <c r="AB21" s="111"/>
      <c r="AC21" s="112" t="str">
        <f t="shared" si="11"/>
        <v/>
      </c>
      <c r="AD21" s="113">
        <f t="shared" si="13"/>
        <v>478.48099999999999</v>
      </c>
      <c r="AE21" s="114">
        <v>0.4</v>
      </c>
      <c r="AF21" s="113">
        <f t="shared" si="12"/>
        <v>17.899999999999995</v>
      </c>
      <c r="AG21" s="118"/>
      <c r="AH21" s="86">
        <f t="shared" si="2"/>
        <v>478.88099999999997</v>
      </c>
      <c r="AI21" s="86">
        <f t="shared" si="6"/>
        <v>481.01099999999997</v>
      </c>
      <c r="AJ21" s="86" t="str">
        <f t="shared" si="3"/>
        <v>NAOI</v>
      </c>
      <c r="AK21" s="93">
        <f t="shared" si="15"/>
        <v>478.88099999999997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18.299999999999994</v>
      </c>
      <c r="B22" s="95">
        <f t="shared" si="1"/>
        <v>478.50099999999998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0.38</v>
      </c>
      <c r="AB22" s="111"/>
      <c r="AC22" s="112" t="str">
        <f t="shared" si="11"/>
        <v/>
      </c>
      <c r="AD22" s="113">
        <f t="shared" si="13"/>
        <v>478.50099999999998</v>
      </c>
      <c r="AE22" s="114">
        <v>0.4</v>
      </c>
      <c r="AF22" s="113">
        <f t="shared" si="12"/>
        <v>18.299999999999994</v>
      </c>
      <c r="AG22" s="118"/>
      <c r="AH22" s="86">
        <f t="shared" si="2"/>
        <v>478.88099999999997</v>
      </c>
      <c r="AI22" s="86">
        <f t="shared" si="6"/>
        <v>481.01099999999997</v>
      </c>
      <c r="AJ22" s="86" t="str">
        <f t="shared" si="3"/>
        <v>NAOI</v>
      </c>
      <c r="AK22" s="93">
        <f t="shared" si="15"/>
        <v>478.88099999999997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18.699999999999992</v>
      </c>
      <c r="B23" s="95">
        <f t="shared" si="1"/>
        <v>478.51099999999997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0.37</v>
      </c>
      <c r="AB23" s="111"/>
      <c r="AC23" s="112" t="str">
        <f t="shared" si="11"/>
        <v/>
      </c>
      <c r="AD23" s="113">
        <f t="shared" si="13"/>
        <v>478.51099999999997</v>
      </c>
      <c r="AE23" s="114">
        <v>0.4</v>
      </c>
      <c r="AF23" s="113">
        <f t="shared" si="12"/>
        <v>18.699999999999992</v>
      </c>
      <c r="AG23" s="118"/>
      <c r="AH23" s="86">
        <f t="shared" si="2"/>
        <v>478.88099999999997</v>
      </c>
      <c r="AI23" s="86">
        <f t="shared" si="6"/>
        <v>481.01099999999997</v>
      </c>
      <c r="AJ23" s="86" t="str">
        <f t="shared" si="3"/>
        <v>NAOI</v>
      </c>
      <c r="AK23" s="93">
        <f t="shared" si="15"/>
        <v>478.88099999999997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19.099999999999991</v>
      </c>
      <c r="B24" s="95">
        <f t="shared" si="1"/>
        <v>478.51099999999997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0.37</v>
      </c>
      <c r="AB24" s="111"/>
      <c r="AC24" s="112" t="str">
        <f t="shared" si="11"/>
        <v/>
      </c>
      <c r="AD24" s="113">
        <f t="shared" si="13"/>
        <v>478.51099999999997</v>
      </c>
      <c r="AE24" s="114">
        <v>0.4</v>
      </c>
      <c r="AF24" s="113">
        <f t="shared" si="12"/>
        <v>19.099999999999991</v>
      </c>
      <c r="AG24" s="118"/>
      <c r="AH24" s="86">
        <f t="shared" si="2"/>
        <v>478.88099999999997</v>
      </c>
      <c r="AI24" s="86">
        <f t="shared" si="6"/>
        <v>481.01099999999997</v>
      </c>
      <c r="AJ24" s="86" t="str">
        <f t="shared" si="3"/>
        <v>NAOI</v>
      </c>
      <c r="AK24" s="93">
        <f t="shared" si="15"/>
        <v>478.88099999999997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19.499999999999989</v>
      </c>
      <c r="B25" s="95">
        <f t="shared" si="1"/>
        <v>478.51099999999997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0.37</v>
      </c>
      <c r="AB25" s="111"/>
      <c r="AC25" s="112" t="str">
        <f t="shared" si="11"/>
        <v/>
      </c>
      <c r="AD25" s="113">
        <f t="shared" si="13"/>
        <v>478.51099999999997</v>
      </c>
      <c r="AE25" s="114">
        <v>0.4</v>
      </c>
      <c r="AF25" s="113">
        <f t="shared" si="12"/>
        <v>19.499999999999989</v>
      </c>
      <c r="AG25" s="118"/>
      <c r="AH25" s="86">
        <f t="shared" si="2"/>
        <v>478.88099999999997</v>
      </c>
      <c r="AI25" s="86">
        <f t="shared" si="6"/>
        <v>481.01099999999997</v>
      </c>
      <c r="AJ25" s="86" t="str">
        <f t="shared" si="3"/>
        <v>NAOI</v>
      </c>
      <c r="AK25" s="93">
        <f t="shared" si="15"/>
        <v>478.88099999999997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19.999999999999989</v>
      </c>
      <c r="B26" s="95">
        <f t="shared" si="1"/>
        <v>478.56099999999998</v>
      </c>
      <c r="C26" s="96" t="str">
        <f t="shared" si="5"/>
        <v/>
      </c>
      <c r="D26" s="190"/>
      <c r="E26" s="117">
        <v>1.7</v>
      </c>
      <c r="X26" s="107"/>
      <c r="Y26" s="108"/>
      <c r="Z26" s="109"/>
      <c r="AA26" s="110">
        <v>0.32</v>
      </c>
      <c r="AB26" s="111"/>
      <c r="AC26" s="112" t="str">
        <f t="shared" si="11"/>
        <v/>
      </c>
      <c r="AD26" s="113">
        <f t="shared" si="13"/>
        <v>478.56099999999998</v>
      </c>
      <c r="AE26" s="114">
        <v>0.5</v>
      </c>
      <c r="AF26" s="113">
        <f t="shared" si="12"/>
        <v>19.999999999999989</v>
      </c>
      <c r="AG26" s="118"/>
      <c r="AH26" s="86">
        <f t="shared" si="2"/>
        <v>478.88099999999997</v>
      </c>
      <c r="AI26" s="86">
        <f t="shared" si="6"/>
        <v>481.01099999999997</v>
      </c>
      <c r="AJ26" s="86" t="str">
        <f t="shared" si="3"/>
        <v>NAOI</v>
      </c>
      <c r="AK26" s="93">
        <f t="shared" si="15"/>
        <v>478.88099999999997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20.499999999999989</v>
      </c>
      <c r="B27" s="95">
        <f t="shared" si="1"/>
        <v>478.61099999999999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0.27</v>
      </c>
      <c r="AB27" s="111"/>
      <c r="AC27" s="112" t="str">
        <f t="shared" si="11"/>
        <v/>
      </c>
      <c r="AD27" s="113">
        <f t="shared" si="13"/>
        <v>478.61099999999999</v>
      </c>
      <c r="AE27" s="114">
        <v>0.5</v>
      </c>
      <c r="AF27" s="113">
        <f t="shared" si="12"/>
        <v>20.499999999999989</v>
      </c>
      <c r="AG27" s="118"/>
      <c r="AH27" s="86">
        <f t="shared" si="2"/>
        <v>478.88099999999997</v>
      </c>
      <c r="AI27" s="86">
        <f t="shared" si="6"/>
        <v>481.01099999999997</v>
      </c>
      <c r="AJ27" s="86" t="str">
        <f t="shared" si="3"/>
        <v>NAOI</v>
      </c>
      <c r="AK27" s="93">
        <f t="shared" si="15"/>
        <v>478.88099999999997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20.999999999999989</v>
      </c>
      <c r="B28" s="95">
        <f t="shared" si="1"/>
        <v>478.73099999999999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0.15</v>
      </c>
      <c r="AB28" s="111"/>
      <c r="AC28" s="112" t="str">
        <f t="shared" si="11"/>
        <v/>
      </c>
      <c r="AD28" s="113">
        <f t="shared" si="13"/>
        <v>478.73099999999999</v>
      </c>
      <c r="AE28" s="114">
        <v>0.5</v>
      </c>
      <c r="AF28" s="113">
        <f t="shared" si="12"/>
        <v>20.999999999999989</v>
      </c>
      <c r="AG28" s="118"/>
      <c r="AH28" s="86">
        <f t="shared" si="2"/>
        <v>481.01099999999997</v>
      </c>
      <c r="AI28" s="86">
        <f t="shared" si="6"/>
        <v>481.01099999999997</v>
      </c>
      <c r="AJ28" s="86" t="str">
        <f t="shared" si="3"/>
        <v>NAOI</v>
      </c>
      <c r="AK28" s="93">
        <f t="shared" si="15"/>
        <v>478.88099999999997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21.999999999999989</v>
      </c>
      <c r="B29" s="95">
        <f t="shared" si="1"/>
        <v>478.88099999999997</v>
      </c>
      <c r="C29" s="96" t="str">
        <f t="shared" si="5"/>
        <v>NAOD</v>
      </c>
      <c r="D29" s="190"/>
      <c r="E29" s="117">
        <v>1.2</v>
      </c>
      <c r="X29" s="107"/>
      <c r="Y29" s="108"/>
      <c r="Z29" s="109"/>
      <c r="AA29" s="110">
        <v>2.13</v>
      </c>
      <c r="AB29" s="111"/>
      <c r="AC29" s="112" t="str">
        <f t="shared" si="11"/>
        <v/>
      </c>
      <c r="AD29" s="113">
        <f t="shared" si="13"/>
        <v>478.88099999999997</v>
      </c>
      <c r="AE29" s="114">
        <v>1</v>
      </c>
      <c r="AF29" s="113">
        <f t="shared" si="12"/>
        <v>21.999999999999989</v>
      </c>
      <c r="AG29" s="115" t="s">
        <v>10</v>
      </c>
      <c r="AH29" s="86">
        <f t="shared" si="2"/>
        <v>481.01099999999997</v>
      </c>
      <c r="AI29" s="86">
        <f t="shared" si="6"/>
        <v>481.01099999999997</v>
      </c>
      <c r="AJ29" s="86" t="str">
        <f t="shared" si="3"/>
        <v>NAOD</v>
      </c>
      <c r="AK29" s="93">
        <f t="shared" si="15"/>
        <v>478.88099999999997</v>
      </c>
      <c r="AL29" s="86" t="str">
        <f t="shared" si="7"/>
        <v/>
      </c>
      <c r="AM29" s="93" t="str">
        <f t="shared" si="8"/>
        <v/>
      </c>
      <c r="AN29" s="86">
        <f t="shared" si="9"/>
        <v>478.88099999999997</v>
      </c>
      <c r="AO29" s="86">
        <f t="shared" si="10"/>
        <v>21.999999999999989</v>
      </c>
      <c r="AP29" s="86">
        <f t="shared" si="14"/>
        <v>0</v>
      </c>
    </row>
    <row r="30" spans="1:42" ht="15.75" x14ac:dyDescent="0.25">
      <c r="A30" s="94">
        <f t="shared" si="0"/>
        <v>23.999999999999989</v>
      </c>
      <c r="B30" s="95">
        <f t="shared" si="1"/>
        <v>479.26099999999997</v>
      </c>
      <c r="C30" s="96" t="str">
        <f t="shared" si="5"/>
        <v/>
      </c>
      <c r="D30" s="190"/>
      <c r="E30" s="117">
        <v>0.8</v>
      </c>
      <c r="X30" s="107"/>
      <c r="Y30" s="108"/>
      <c r="Z30" s="109"/>
      <c r="AA30" s="110">
        <v>1.75</v>
      </c>
      <c r="AB30" s="111"/>
      <c r="AC30" s="112" t="str">
        <f t="shared" si="11"/>
        <v/>
      </c>
      <c r="AD30" s="113">
        <f t="shared" si="13"/>
        <v>479.26099999999997</v>
      </c>
      <c r="AE30" s="114">
        <v>2</v>
      </c>
      <c r="AF30" s="113">
        <f t="shared" si="12"/>
        <v>23.999999999999989</v>
      </c>
      <c r="AG30" s="115"/>
      <c r="AH30" s="86">
        <f t="shared" si="2"/>
        <v>481.01099999999997</v>
      </c>
      <c r="AI30" s="86">
        <f t="shared" si="6"/>
        <v>481.01099999999997</v>
      </c>
      <c r="AJ30" s="86" t="str">
        <f t="shared" si="3"/>
        <v>NAOD</v>
      </c>
      <c r="AK30" s="93">
        <f t="shared" si="15"/>
        <v>479.26099999999997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26.599999999999991</v>
      </c>
      <c r="B31" s="95">
        <f t="shared" si="1"/>
        <v>480.15899999999999</v>
      </c>
      <c r="C31" s="96" t="str">
        <f t="shared" si="5"/>
        <v/>
      </c>
      <c r="D31" s="190"/>
      <c r="E31" s="117">
        <v>0.55000000000000004</v>
      </c>
      <c r="X31" s="107"/>
      <c r="Y31" s="108"/>
      <c r="Z31" s="109"/>
      <c r="AA31" s="110">
        <v>0.85199999999999998</v>
      </c>
      <c r="AB31" s="111"/>
      <c r="AC31" s="112" t="str">
        <f t="shared" si="11"/>
        <v/>
      </c>
      <c r="AD31" s="113">
        <f t="shared" si="13"/>
        <v>480.15899999999999</v>
      </c>
      <c r="AE31" s="114">
        <v>2.6</v>
      </c>
      <c r="AF31" s="113">
        <f t="shared" si="12"/>
        <v>26.599999999999991</v>
      </c>
      <c r="AG31" s="118"/>
      <c r="AH31" s="86">
        <f t="shared" si="2"/>
        <v>481.01099999999997</v>
      </c>
      <c r="AI31" s="86">
        <f t="shared" si="6"/>
        <v>481.01099999999997</v>
      </c>
      <c r="AJ31" s="86" t="str">
        <f t="shared" si="3"/>
        <v>NAOD</v>
      </c>
      <c r="AK31" s="93">
        <f t="shared" si="15"/>
        <v>480.15899999999999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26.599999999999991</v>
      </c>
      <c r="B32" s="95">
        <f t="shared" si="1"/>
        <v>482.15099999999995</v>
      </c>
      <c r="C32" s="96" t="str">
        <f t="shared" si="5"/>
        <v>PRD</v>
      </c>
      <c r="D32" s="190"/>
      <c r="E32" s="117">
        <v>0.35</v>
      </c>
      <c r="X32" s="107"/>
      <c r="Y32" s="108"/>
      <c r="Z32" s="109"/>
      <c r="AA32" s="110">
        <v>-1.1399999999999999</v>
      </c>
      <c r="AB32" s="111"/>
      <c r="AC32" s="112" t="str">
        <f t="shared" si="11"/>
        <v/>
      </c>
      <c r="AD32" s="113">
        <f t="shared" si="13"/>
        <v>482.15099999999995</v>
      </c>
      <c r="AE32" s="114">
        <v>0</v>
      </c>
      <c r="AF32" s="113">
        <f t="shared" si="12"/>
        <v>26.599999999999991</v>
      </c>
      <c r="AG32" s="115" t="s">
        <v>5</v>
      </c>
      <c r="AH32" s="86">
        <f t="shared" si="2"/>
        <v>481.01099999999997</v>
      </c>
      <c r="AI32" s="86">
        <f t="shared" si="6"/>
        <v>481.01099999999997</v>
      </c>
      <c r="AJ32" s="86" t="str">
        <f t="shared" si="3"/>
        <v>PRD</v>
      </c>
      <c r="AK32" s="93">
        <f t="shared" si="15"/>
        <v>482.15099999999995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0"/>
        <v>26.599999999999991</v>
      </c>
      <c r="B33" s="95">
        <f t="shared" si="1"/>
        <v>480.02099999999996</v>
      </c>
      <c r="C33" s="96" t="str">
        <f t="shared" si="5"/>
        <v>S/BM</v>
      </c>
      <c r="D33" s="190"/>
      <c r="X33" s="107"/>
      <c r="Y33" s="108"/>
      <c r="Z33" s="109"/>
      <c r="AA33" s="110">
        <v>0.99</v>
      </c>
      <c r="AB33" s="111"/>
      <c r="AC33" s="112" t="str">
        <f t="shared" si="11"/>
        <v/>
      </c>
      <c r="AD33" s="113">
        <f t="shared" si="13"/>
        <v>480.02099999999996</v>
      </c>
      <c r="AE33" s="114">
        <v>0</v>
      </c>
      <c r="AF33" s="113">
        <f t="shared" si="12"/>
        <v>26.599999999999991</v>
      </c>
      <c r="AG33" s="116" t="s">
        <v>19</v>
      </c>
      <c r="AH33" s="86">
        <f t="shared" si="2"/>
        <v>481.01099999999997</v>
      </c>
      <c r="AI33" s="86">
        <f t="shared" si="6"/>
        <v>481.01099999999997</v>
      </c>
      <c r="AJ33" s="86" t="str">
        <f t="shared" si="3"/>
        <v>S/BM</v>
      </c>
      <c r="AK33" s="93">
        <f t="shared" si="15"/>
        <v>480.02099999999996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>
        <f t="shared" si="0"/>
        <v>28.599999999999991</v>
      </c>
      <c r="B34" s="95">
        <f t="shared" si="1"/>
        <v>480.02099999999996</v>
      </c>
      <c r="C34" s="96" t="str">
        <f t="shared" si="5"/>
        <v/>
      </c>
      <c r="D34" s="190"/>
      <c r="X34" s="107"/>
      <c r="Y34" s="108"/>
      <c r="Z34" s="109"/>
      <c r="AA34" s="110"/>
      <c r="AB34" s="111"/>
      <c r="AC34" s="112">
        <f t="shared" si="11"/>
        <v>480.02099999999996</v>
      </c>
      <c r="AD34" s="113">
        <f t="shared" si="13"/>
        <v>480.02099999999996</v>
      </c>
      <c r="AE34" s="114">
        <v>2</v>
      </c>
      <c r="AF34" s="113">
        <f t="shared" si="12"/>
        <v>28.599999999999991</v>
      </c>
      <c r="AG34" s="115"/>
      <c r="AH34" s="86">
        <f t="shared" si="2"/>
        <v>480.02099999999996</v>
      </c>
      <c r="AI34" s="86">
        <f t="shared" si="6"/>
        <v>480.02099999999996</v>
      </c>
      <c r="AJ34" s="86" t="str">
        <f t="shared" si="3"/>
        <v>S/BM</v>
      </c>
      <c r="AK34" s="93">
        <f t="shared" si="15"/>
        <v>480.02099999999996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1</v>
      </c>
    </row>
    <row r="35" spans="1:42" ht="15.75" x14ac:dyDescent="0.25">
      <c r="A35" s="94">
        <f t="shared" si="0"/>
        <v>30.599999999999991</v>
      </c>
      <c r="B35" s="95">
        <f t="shared" si="1"/>
        <v>480.02099999999996</v>
      </c>
      <c r="C35" s="96" t="str">
        <f t="shared" si="5"/>
        <v/>
      </c>
      <c r="D35" s="190"/>
      <c r="X35" s="107"/>
      <c r="Y35" s="108"/>
      <c r="Z35" s="109"/>
      <c r="AA35" s="110"/>
      <c r="AB35" s="111"/>
      <c r="AC35" s="112">
        <f t="shared" si="11"/>
        <v>480.02099999999996</v>
      </c>
      <c r="AD35" s="113">
        <f t="shared" si="13"/>
        <v>480.02099999999996</v>
      </c>
      <c r="AE35" s="114">
        <v>2</v>
      </c>
      <c r="AF35" s="113">
        <f t="shared" si="12"/>
        <v>30.599999999999991</v>
      </c>
      <c r="AG35" s="116"/>
      <c r="AH35" s="86">
        <f t="shared" si="2"/>
        <v>480.02099999999996</v>
      </c>
      <c r="AI35" s="86">
        <f t="shared" si="6"/>
        <v>480.02099999999996</v>
      </c>
      <c r="AJ35" s="86" t="str">
        <f t="shared" si="3"/>
        <v>S/BM</v>
      </c>
      <c r="AK35" s="93">
        <f t="shared" si="15"/>
        <v>480.02099999999996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1</v>
      </c>
    </row>
    <row r="36" spans="1:42" ht="15.75" x14ac:dyDescent="0.25">
      <c r="A36" s="94">
        <f t="shared" si="0"/>
        <v>32.099999999999994</v>
      </c>
      <c r="B36" s="95">
        <f t="shared" si="1"/>
        <v>480.02099999999996</v>
      </c>
      <c r="C36" s="96" t="str">
        <f t="shared" si="5"/>
        <v/>
      </c>
      <c r="D36" s="190"/>
      <c r="X36" s="107"/>
      <c r="Y36" s="108"/>
      <c r="Z36" s="109"/>
      <c r="AA36" s="110"/>
      <c r="AB36" s="111"/>
      <c r="AC36" s="112">
        <f t="shared" si="11"/>
        <v>480.02099999999996</v>
      </c>
      <c r="AD36" s="113">
        <f t="shared" si="13"/>
        <v>480.02099999999996</v>
      </c>
      <c r="AE36" s="114">
        <v>1.5</v>
      </c>
      <c r="AF36" s="113">
        <f t="shared" si="12"/>
        <v>32.099999999999994</v>
      </c>
      <c r="AG36" s="115"/>
      <c r="AH36" s="86">
        <f t="shared" si="2"/>
        <v>480.02099999999996</v>
      </c>
      <c r="AI36" s="86">
        <f t="shared" si="6"/>
        <v>480.02099999999996</v>
      </c>
      <c r="AJ36" s="86" t="str">
        <f t="shared" si="3"/>
        <v>S/BM</v>
      </c>
      <c r="AK36" s="93">
        <f t="shared" si="15"/>
        <v>480.02099999999996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1</v>
      </c>
    </row>
    <row r="37" spans="1:42" ht="15.75" x14ac:dyDescent="0.25">
      <c r="A37" s="94">
        <f t="shared" si="0"/>
        <v>32.099999999999994</v>
      </c>
      <c r="B37" s="95">
        <f t="shared" si="1"/>
        <v>480.02099999999996</v>
      </c>
      <c r="C37" s="96" t="str">
        <f t="shared" si="5"/>
        <v/>
      </c>
      <c r="D37" s="190"/>
      <c r="X37" s="107"/>
      <c r="Y37" s="108"/>
      <c r="Z37" s="109"/>
      <c r="AA37" s="110"/>
      <c r="AB37" s="111"/>
      <c r="AC37" s="112">
        <f t="shared" si="11"/>
        <v>480.02099999999996</v>
      </c>
      <c r="AD37" s="113">
        <f t="shared" si="13"/>
        <v>480.02099999999996</v>
      </c>
      <c r="AE37" s="114">
        <v>0</v>
      </c>
      <c r="AF37" s="113">
        <f t="shared" si="12"/>
        <v>32.099999999999994</v>
      </c>
      <c r="AG37" s="115"/>
      <c r="AH37" s="86">
        <f t="shared" si="2"/>
        <v>480.02099999999996</v>
      </c>
      <c r="AI37" s="86">
        <f t="shared" si="6"/>
        <v>480.02099999999996</v>
      </c>
      <c r="AJ37" s="86" t="str">
        <f t="shared" si="3"/>
        <v>S/BM</v>
      </c>
      <c r="AK37" s="93">
        <f t="shared" si="15"/>
        <v>480.02099999999996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1</v>
      </c>
    </row>
    <row r="38" spans="1:42" ht="15.75" x14ac:dyDescent="0.25">
      <c r="A38" s="94">
        <f t="shared" si="0"/>
        <v>34.099999999999994</v>
      </c>
      <c r="B38" s="95">
        <f t="shared" si="1"/>
        <v>480.02099999999996</v>
      </c>
      <c r="C38" s="96" t="str">
        <f t="shared" si="5"/>
        <v/>
      </c>
      <c r="D38" s="190"/>
      <c r="X38" s="107"/>
      <c r="Y38" s="108"/>
      <c r="Z38" s="109"/>
      <c r="AA38" s="110"/>
      <c r="AB38" s="111"/>
      <c r="AC38" s="112">
        <f t="shared" si="11"/>
        <v>480.02099999999996</v>
      </c>
      <c r="AD38" s="113">
        <f t="shared" si="13"/>
        <v>480.02099999999996</v>
      </c>
      <c r="AE38" s="114">
        <v>2</v>
      </c>
      <c r="AF38" s="113">
        <f t="shared" si="12"/>
        <v>34.099999999999994</v>
      </c>
      <c r="AG38" s="116"/>
      <c r="AH38" s="86">
        <f t="shared" si="2"/>
        <v>480.02099999999996</v>
      </c>
      <c r="AI38" s="86">
        <f t="shared" si="6"/>
        <v>480.02099999999996</v>
      </c>
      <c r="AJ38" s="86" t="str">
        <f t="shared" si="3"/>
        <v>S/BM</v>
      </c>
      <c r="AK38" s="93">
        <f t="shared" si="15"/>
        <v>480.02099999999996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1</v>
      </c>
    </row>
    <row r="39" spans="1:42" ht="15.75" x14ac:dyDescent="0.25">
      <c r="A39" s="94">
        <f t="shared" si="0"/>
        <v>35.799999999999997</v>
      </c>
      <c r="B39" s="95">
        <f t="shared" si="1"/>
        <v>480.02099999999996</v>
      </c>
      <c r="C39" s="96" t="str">
        <f t="shared" si="5"/>
        <v/>
      </c>
      <c r="D39" s="190"/>
      <c r="X39" s="107"/>
      <c r="Y39" s="108"/>
      <c r="Z39" s="109"/>
      <c r="AA39" s="110"/>
      <c r="AB39" s="111"/>
      <c r="AC39" s="112">
        <f t="shared" si="11"/>
        <v>480.02099999999996</v>
      </c>
      <c r="AD39" s="113">
        <f t="shared" si="13"/>
        <v>480.02099999999996</v>
      </c>
      <c r="AE39" s="114">
        <v>1.7</v>
      </c>
      <c r="AF39" s="113">
        <f t="shared" si="12"/>
        <v>35.799999999999997</v>
      </c>
      <c r="AG39" s="116"/>
      <c r="AH39" s="86">
        <f t="shared" si="2"/>
        <v>480.02099999999996</v>
      </c>
      <c r="AI39" s="86">
        <f t="shared" si="6"/>
        <v>480.02099999999996</v>
      </c>
      <c r="AJ39" s="86" t="str">
        <f t="shared" si="3"/>
        <v>S/BM</v>
      </c>
      <c r="AK39" s="93">
        <f t="shared" si="15"/>
        <v>480.02099999999996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1</v>
      </c>
    </row>
    <row r="40" spans="1:42" ht="15.75" x14ac:dyDescent="0.25">
      <c r="A40" s="94">
        <f t="shared" si="0"/>
        <v>35.799999999999997</v>
      </c>
      <c r="B40" s="95">
        <f t="shared" si="1"/>
        <v>480.02099999999996</v>
      </c>
      <c r="C40" s="96" t="str">
        <f t="shared" si="5"/>
        <v/>
      </c>
      <c r="D40" s="190"/>
      <c r="X40" s="107"/>
      <c r="Y40" s="108"/>
      <c r="Z40" s="109"/>
      <c r="AA40" s="110"/>
      <c r="AB40" s="111"/>
      <c r="AC40" s="112">
        <f t="shared" si="11"/>
        <v>480.02099999999996</v>
      </c>
      <c r="AD40" s="113">
        <f t="shared" si="13"/>
        <v>480.02099999999996</v>
      </c>
      <c r="AE40" s="114">
        <v>0</v>
      </c>
      <c r="AF40" s="113">
        <f t="shared" si="12"/>
        <v>35.799999999999997</v>
      </c>
      <c r="AG40" s="116"/>
      <c r="AH40" s="86">
        <f t="shared" si="2"/>
        <v>480.02099999999996</v>
      </c>
      <c r="AI40" s="86">
        <f t="shared" si="6"/>
        <v>480.02099999999996</v>
      </c>
      <c r="AJ40" s="86" t="str">
        <f t="shared" si="3"/>
        <v>S/BM</v>
      </c>
      <c r="AK40" s="93">
        <f t="shared" si="15"/>
        <v>480.02099999999996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1</v>
      </c>
    </row>
    <row r="41" spans="1:42" ht="15.75" x14ac:dyDescent="0.25">
      <c r="A41" s="94">
        <f t="shared" si="0"/>
        <v>35.799999999999997</v>
      </c>
      <c r="B41" s="95">
        <f t="shared" si="1"/>
        <v>480.02099999999996</v>
      </c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>
        <f t="shared" si="11"/>
        <v>480.02099999999996</v>
      </c>
      <c r="AD41" s="113">
        <f t="shared" si="13"/>
        <v>480.02099999999996</v>
      </c>
      <c r="AE41" s="114">
        <v>0</v>
      </c>
      <c r="AF41" s="113">
        <f t="shared" si="12"/>
        <v>35.799999999999997</v>
      </c>
      <c r="AG41" s="116"/>
      <c r="AH41" s="86">
        <f t="shared" si="2"/>
        <v>480.02099999999996</v>
      </c>
      <c r="AI41" s="86">
        <f t="shared" si="6"/>
        <v>480.02099999999996</v>
      </c>
      <c r="AJ41" s="86" t="str">
        <f>IF(AG41="",AJ40,AG41)</f>
        <v>S/BM</v>
      </c>
      <c r="AK41" s="93">
        <f t="shared" si="15"/>
        <v>480.02099999999996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1</v>
      </c>
    </row>
    <row r="42" spans="1:42" ht="15.75" x14ac:dyDescent="0.25">
      <c r="A42" s="94">
        <f t="shared" si="0"/>
        <v>40.799999999999997</v>
      </c>
      <c r="B42" s="95">
        <f t="shared" si="1"/>
        <v>480.02099999999996</v>
      </c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>
        <f t="shared" si="11"/>
        <v>480.02099999999996</v>
      </c>
      <c r="AD42" s="113">
        <f t="shared" si="13"/>
        <v>480.02099999999996</v>
      </c>
      <c r="AE42" s="114">
        <v>5</v>
      </c>
      <c r="AF42" s="113">
        <f t="shared" si="12"/>
        <v>40.799999999999997</v>
      </c>
      <c r="AG42" s="116"/>
      <c r="AH42" s="86">
        <f t="shared" si="2"/>
        <v>480.02099999999996</v>
      </c>
      <c r="AI42" s="86">
        <f t="shared" si="6"/>
        <v>480.02099999999996</v>
      </c>
      <c r="AJ42" s="86" t="str">
        <f>IF(AG42="",AJ41,AG42)</f>
        <v>S/BM</v>
      </c>
      <c r="AK42" s="93">
        <f t="shared" si="15"/>
        <v>480.02099999999996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1</v>
      </c>
    </row>
    <row r="43" spans="1:42" ht="15.75" x14ac:dyDescent="0.25">
      <c r="A43" s="94">
        <f t="shared" si="0"/>
        <v>50.8</v>
      </c>
      <c r="B43" s="95">
        <f t="shared" si="1"/>
        <v>480.02099999999996</v>
      </c>
      <c r="C43" s="96" t="str">
        <f t="shared" si="5"/>
        <v/>
      </c>
      <c r="D43" s="190"/>
      <c r="X43" s="107"/>
      <c r="Y43" s="108"/>
      <c r="Z43" s="109"/>
      <c r="AA43" s="110"/>
      <c r="AB43" s="111"/>
      <c r="AC43" s="112">
        <f t="shared" si="11"/>
        <v>480.02099999999996</v>
      </c>
      <c r="AD43" s="113">
        <f t="shared" si="13"/>
        <v>480.02099999999996</v>
      </c>
      <c r="AE43" s="114">
        <v>10</v>
      </c>
      <c r="AF43" s="113">
        <f t="shared" si="12"/>
        <v>50.8</v>
      </c>
      <c r="AG43" s="116"/>
      <c r="AH43" s="86">
        <f t="shared" si="2"/>
        <v>480.02099999999996</v>
      </c>
      <c r="AI43" s="86">
        <f t="shared" si="6"/>
        <v>480.02099999999996</v>
      </c>
      <c r="AJ43" s="86" t="str">
        <f t="shared" si="3"/>
        <v>S/BM</v>
      </c>
      <c r="AK43" s="93">
        <f t="shared" si="15"/>
        <v>480.02099999999996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1</v>
      </c>
    </row>
    <row r="44" spans="1:42" ht="15.75" x14ac:dyDescent="0.25">
      <c r="A44" s="94">
        <f t="shared" si="0"/>
        <v>54.699999999999996</v>
      </c>
      <c r="B44" s="95">
        <f t="shared" si="1"/>
        <v>480.02099999999996</v>
      </c>
      <c r="C44" s="96" t="str">
        <f t="shared" si="5"/>
        <v/>
      </c>
      <c r="D44" s="190"/>
      <c r="X44" s="107"/>
      <c r="Y44" s="108"/>
      <c r="Z44" s="109"/>
      <c r="AA44" s="110"/>
      <c r="AB44" s="111"/>
      <c r="AC44" s="112">
        <f t="shared" si="11"/>
        <v>480.02099999999996</v>
      </c>
      <c r="AD44" s="113">
        <f t="shared" si="13"/>
        <v>480.02099999999996</v>
      </c>
      <c r="AE44" s="114">
        <v>3.9</v>
      </c>
      <c r="AF44" s="113">
        <f t="shared" si="12"/>
        <v>54.699999999999996</v>
      </c>
      <c r="AG44" s="115"/>
      <c r="AH44" s="86">
        <f t="shared" si="2"/>
        <v>480.02099999999996</v>
      </c>
      <c r="AI44" s="86">
        <f t="shared" si="6"/>
        <v>480.02099999999996</v>
      </c>
      <c r="AJ44" s="86" t="str">
        <f t="shared" si="3"/>
        <v>S/BM</v>
      </c>
      <c r="AK44" s="93">
        <f t="shared" si="15"/>
        <v>480.02099999999996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1</v>
      </c>
    </row>
    <row r="45" spans="1:42" ht="15.75" x14ac:dyDescent="0.25">
      <c r="A45" s="94">
        <f t="shared" si="0"/>
        <v>54.699999999999996</v>
      </c>
      <c r="B45" s="95">
        <f t="shared" si="1"/>
        <v>480.02099999999996</v>
      </c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>
        <f t="shared" si="11"/>
        <v>480.02099999999996</v>
      </c>
      <c r="AD45" s="113">
        <f t="shared" si="13"/>
        <v>480.02099999999996</v>
      </c>
      <c r="AE45" s="121">
        <v>0</v>
      </c>
      <c r="AF45" s="113">
        <f t="shared" si="12"/>
        <v>54.699999999999996</v>
      </c>
      <c r="AG45" s="115"/>
      <c r="AH45" s="86">
        <f t="shared" si="2"/>
        <v>480.02099999999996</v>
      </c>
      <c r="AI45" s="86">
        <f t="shared" si="6"/>
        <v>480.02099999999996</v>
      </c>
      <c r="AJ45" s="86" t="str">
        <f t="shared" si="3"/>
        <v>S/BM</v>
      </c>
      <c r="AK45" s="93">
        <f t="shared" si="15"/>
        <v>480.02099999999996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1</v>
      </c>
    </row>
    <row r="46" spans="1:42" ht="15.75" x14ac:dyDescent="0.25">
      <c r="A46" s="94">
        <f t="shared" si="0"/>
        <v>54.699999999999996</v>
      </c>
      <c r="B46" s="95">
        <f t="shared" si="1"/>
        <v>480.02099999999996</v>
      </c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>
        <f t="shared" si="11"/>
        <v>480.02099999999996</v>
      </c>
      <c r="AD46" s="113">
        <f t="shared" si="13"/>
        <v>480.02099999999996</v>
      </c>
      <c r="AE46" s="121">
        <v>0</v>
      </c>
      <c r="AF46" s="113">
        <f t="shared" si="12"/>
        <v>54.699999999999996</v>
      </c>
      <c r="AG46" s="116"/>
      <c r="AH46" s="86">
        <f t="shared" si="2"/>
        <v>480.02099999999996</v>
      </c>
      <c r="AI46" s="86">
        <f t="shared" si="6"/>
        <v>480.02099999999996</v>
      </c>
      <c r="AJ46" s="86" t="str">
        <f t="shared" si="3"/>
        <v>S/BM</v>
      </c>
      <c r="AK46" s="93">
        <f t="shared" si="15"/>
        <v>480.02099999999996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1</v>
      </c>
    </row>
    <row r="47" spans="1:42" ht="15.75" x14ac:dyDescent="0.25">
      <c r="A47" s="94">
        <f t="shared" si="0"/>
        <v>54.699999999999996</v>
      </c>
      <c r="B47" s="95">
        <f t="shared" si="1"/>
        <v>480.02099999999996</v>
      </c>
      <c r="C47" s="96" t="str">
        <f t="shared" ref="C47:C51" si="16">IF(AG47="","",AG47)</f>
        <v/>
      </c>
      <c r="D47" s="190"/>
      <c r="X47" s="107"/>
      <c r="Y47" s="108"/>
      <c r="Z47" s="109"/>
      <c r="AA47" s="119"/>
      <c r="AB47" s="120"/>
      <c r="AC47" s="112">
        <f>IF(AA47="",AD47+Z47,"")</f>
        <v>480.02099999999996</v>
      </c>
      <c r="AD47" s="113">
        <f t="shared" si="13"/>
        <v>480.02099999999996</v>
      </c>
      <c r="AE47" s="121"/>
      <c r="AF47" s="113">
        <f>+AF46+AE47</f>
        <v>54.699999999999996</v>
      </c>
      <c r="AG47" s="116"/>
      <c r="AH47" s="86">
        <f>IF(AND(AJ47="NAOI",AJ47=AJ48),AK47,AI47)</f>
        <v>480.02099999999996</v>
      </c>
      <c r="AI47" s="86">
        <f>IF(AA47="",AC47,AI46)</f>
        <v>480.02099999999996</v>
      </c>
      <c r="AJ47" s="86" t="str">
        <f t="shared" si="3"/>
        <v>S/BM</v>
      </c>
      <c r="AK47" s="93">
        <f>IF(AND(AJ47="NAOI",AJ46="NAOI"),AK46,AD47)</f>
        <v>480.02099999999996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1</v>
      </c>
    </row>
    <row r="48" spans="1:42" ht="15.75" x14ac:dyDescent="0.25">
      <c r="A48" s="94">
        <f t="shared" si="0"/>
        <v>54.699999999999996</v>
      </c>
      <c r="B48" s="95">
        <f t="shared" si="1"/>
        <v>480.02099999999996</v>
      </c>
      <c r="C48" s="96" t="str">
        <f t="shared" si="16"/>
        <v/>
      </c>
      <c r="D48" s="190"/>
      <c r="X48" s="107"/>
      <c r="Y48" s="108"/>
      <c r="Z48" s="109"/>
      <c r="AA48" s="119"/>
      <c r="AB48" s="120"/>
      <c r="AC48" s="112">
        <f t="shared" ref="AC48:AC51" si="17">IF(AA48="",AD48+Z48,"")</f>
        <v>480.02099999999996</v>
      </c>
      <c r="AD48" s="113">
        <f t="shared" si="13"/>
        <v>480.02099999999996</v>
      </c>
      <c r="AE48" s="121"/>
      <c r="AF48" s="113">
        <f t="shared" ref="AF48:AF51" si="18">+AF47+AE48</f>
        <v>54.699999999999996</v>
      </c>
      <c r="AG48" s="116"/>
      <c r="AH48" s="86">
        <f>IF(AND(AJ48="NAOI",AJ48=AJ49),AK48,AI48)</f>
        <v>480.02099999999996</v>
      </c>
      <c r="AI48" s="86">
        <f>IF(AA48="",AC48,AI47)</f>
        <v>480.02099999999996</v>
      </c>
      <c r="AJ48" s="86" t="str">
        <f t="shared" si="3"/>
        <v>S/BM</v>
      </c>
      <c r="AK48" s="93">
        <f>IF(AND(AJ48="NAOI",AJ47="NAOI"),AK47,AD48)</f>
        <v>480.02099999999996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9">IF(AJ47="S/BM",1,0)</f>
        <v>1</v>
      </c>
    </row>
    <row r="49" spans="1:42" ht="15.75" x14ac:dyDescent="0.25">
      <c r="A49" s="94">
        <f t="shared" si="0"/>
        <v>54.699999999999996</v>
      </c>
      <c r="B49" s="95">
        <f t="shared" si="1"/>
        <v>480.02099999999996</v>
      </c>
      <c r="C49" s="96" t="str">
        <f t="shared" si="16"/>
        <v/>
      </c>
      <c r="D49" s="190"/>
      <c r="X49" s="107"/>
      <c r="Y49" s="108"/>
      <c r="Z49" s="109"/>
      <c r="AA49" s="119"/>
      <c r="AB49" s="120"/>
      <c r="AC49" s="112">
        <f t="shared" si="17"/>
        <v>480.02099999999996</v>
      </c>
      <c r="AD49" s="113">
        <f t="shared" si="13"/>
        <v>480.02099999999996</v>
      </c>
      <c r="AE49" s="121"/>
      <c r="AF49" s="113">
        <f t="shared" si="18"/>
        <v>54.699999999999996</v>
      </c>
      <c r="AG49" s="116"/>
      <c r="AH49" s="86">
        <f>IF(AND(AJ49="NAOI",AJ49=AJ50),AK49,AI49)</f>
        <v>480.02099999999996</v>
      </c>
      <c r="AI49" s="86">
        <f>IF(AA49="",AC49,AI48)</f>
        <v>480.02099999999996</v>
      </c>
      <c r="AJ49" s="86" t="str">
        <f t="shared" si="3"/>
        <v>S/BM</v>
      </c>
      <c r="AK49" s="93">
        <f>IF(AND(AJ49="NAOI",AJ48="NAOI"),AK48,AD49)</f>
        <v>480.02099999999996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9"/>
        <v>1</v>
      </c>
    </row>
    <row r="50" spans="1:42" ht="15.75" x14ac:dyDescent="0.25">
      <c r="A50" s="94">
        <f t="shared" si="0"/>
        <v>54.699999999999996</v>
      </c>
      <c r="B50" s="95">
        <f t="shared" si="1"/>
        <v>480.02099999999996</v>
      </c>
      <c r="C50" s="96" t="str">
        <f t="shared" si="16"/>
        <v/>
      </c>
      <c r="D50" s="190"/>
      <c r="X50" s="107"/>
      <c r="Y50" s="108"/>
      <c r="Z50" s="109"/>
      <c r="AA50" s="119"/>
      <c r="AB50" s="120"/>
      <c r="AC50" s="112">
        <f t="shared" si="17"/>
        <v>480.02099999999996</v>
      </c>
      <c r="AD50" s="113">
        <f t="shared" si="13"/>
        <v>480.02099999999996</v>
      </c>
      <c r="AE50" s="121"/>
      <c r="AF50" s="113">
        <f t="shared" si="18"/>
        <v>54.699999999999996</v>
      </c>
      <c r="AG50" s="116"/>
      <c r="AH50" s="86">
        <f>IF(AND(AJ50="NAOI",AJ50=AJ51),AK50,AI50)</f>
        <v>480.02099999999996</v>
      </c>
      <c r="AI50" s="86">
        <f>IF(AA50="",AC50,AI49)</f>
        <v>480.02099999999996</v>
      </c>
      <c r="AJ50" s="86" t="str">
        <f t="shared" si="3"/>
        <v>S/BM</v>
      </c>
      <c r="AK50" s="93">
        <f>IF(AND(AJ50="NAOI",AJ49="NAOI"),AK49,AD50)</f>
        <v>480.02099999999996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9"/>
        <v>1</v>
      </c>
    </row>
    <row r="51" spans="1:42" ht="16.5" thickBot="1" x14ac:dyDescent="0.3">
      <c r="A51" s="122">
        <f t="shared" si="0"/>
        <v>54.699999999999996</v>
      </c>
      <c r="B51" s="123">
        <f t="shared" si="1"/>
        <v>480.02099999999996</v>
      </c>
      <c r="C51" s="96" t="str">
        <f t="shared" si="16"/>
        <v/>
      </c>
      <c r="D51" s="190"/>
      <c r="X51" s="124"/>
      <c r="Y51" s="125"/>
      <c r="Z51" s="126"/>
      <c r="AA51" s="127"/>
      <c r="AB51" s="128"/>
      <c r="AC51" s="129">
        <f t="shared" si="17"/>
        <v>480.02099999999996</v>
      </c>
      <c r="AD51" s="130">
        <f t="shared" si="13"/>
        <v>480.02099999999996</v>
      </c>
      <c r="AE51" s="131"/>
      <c r="AF51" s="130">
        <f t="shared" si="18"/>
        <v>54.699999999999996</v>
      </c>
      <c r="AG51" s="132"/>
      <c r="AH51" s="86">
        <f>IF(AND(AJ51="NAOI",AJ51=AJ52),AK51,AI51)</f>
        <v>480.02099999999996</v>
      </c>
      <c r="AI51" s="86">
        <f>IF(AA51="",AC51,AI50)</f>
        <v>480.02099999999996</v>
      </c>
      <c r="AJ51" s="86" t="str">
        <f t="shared" si="3"/>
        <v>S/BM</v>
      </c>
      <c r="AK51" s="93">
        <f>IF(AND(AJ51="NAOI",AJ50="NAOI"),AK50,AD51)</f>
        <v>480.02099999999996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9"/>
        <v>1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13.5</v>
      </c>
      <c r="B53" s="136">
        <f>AL4</f>
        <v>478.88099999999997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21.999999999999989</v>
      </c>
      <c r="B54" s="136">
        <f>AN4</f>
        <v>478.88099999999997</v>
      </c>
      <c r="C54" s="139" t="s">
        <v>10</v>
      </c>
      <c r="D54" s="178"/>
    </row>
    <row r="55" spans="1:42" ht="20.100000000000001" customHeight="1" x14ac:dyDescent="0.2">
      <c r="A55" s="140">
        <v>13.5</v>
      </c>
      <c r="B55" s="141">
        <v>478.32100000000003</v>
      </c>
      <c r="C55" s="142" t="s">
        <v>8</v>
      </c>
      <c r="D55" s="178"/>
    </row>
    <row r="56" spans="1:42" ht="20.100000000000001" customHeight="1" x14ac:dyDescent="0.2">
      <c r="A56" s="140">
        <v>13.5</v>
      </c>
      <c r="B56" s="143">
        <f>B55+4</f>
        <v>482.32100000000003</v>
      </c>
      <c r="C56" s="142" t="s">
        <v>8</v>
      </c>
      <c r="D56" s="178"/>
    </row>
    <row r="57" spans="1:42" ht="20.100000000000001" customHeight="1" x14ac:dyDescent="0.2">
      <c r="A57" s="144">
        <v>14</v>
      </c>
      <c r="B57" s="143">
        <v>479.33</v>
      </c>
      <c r="C57" s="145" t="s">
        <v>2</v>
      </c>
      <c r="D57" s="178"/>
    </row>
    <row r="58" spans="1:42" ht="20.100000000000001" customHeight="1" thickBot="1" x14ac:dyDescent="0.25">
      <c r="A58" s="140">
        <v>14</v>
      </c>
      <c r="B58" s="143">
        <f>B57+1.5</f>
        <v>480.83</v>
      </c>
      <c r="C58" s="146" t="s">
        <v>2</v>
      </c>
      <c r="D58" s="178"/>
    </row>
    <row r="59" spans="1:42" ht="13.5" thickBot="1" x14ac:dyDescent="0.25">
      <c r="A59" s="147"/>
      <c r="B59" s="148"/>
      <c r="C59" s="149" t="s">
        <v>7</v>
      </c>
      <c r="D59" s="150"/>
    </row>
    <row r="60" spans="1:42" ht="13.5" thickBot="1" x14ac:dyDescent="0.25">
      <c r="A60" s="151"/>
      <c r="B60" s="148"/>
      <c r="C60" s="149" t="s">
        <v>7</v>
      </c>
      <c r="D60" s="150"/>
    </row>
    <row r="61" spans="1:42" ht="18" x14ac:dyDescent="0.25">
      <c r="A61" s="152" t="s">
        <v>49</v>
      </c>
      <c r="B61" s="153"/>
      <c r="C61" s="164">
        <v>0.59</v>
      </c>
      <c r="D61" s="150"/>
    </row>
    <row r="62" spans="1:42" ht="18" x14ac:dyDescent="0.25">
      <c r="A62" s="152" t="s">
        <v>50</v>
      </c>
      <c r="B62" s="153"/>
      <c r="C62" s="155">
        <f>B55</f>
        <v>478.32100000000003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62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66</v>
      </c>
      <c r="C69" s="175"/>
    </row>
    <row r="70" spans="1:4" ht="14.25" x14ac:dyDescent="0.2">
      <c r="A70" s="158" t="s">
        <v>57</v>
      </c>
      <c r="B70" s="175" t="s">
        <v>66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42818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642" priority="84" stopIfTrue="1">
      <formula>$AP$47=1</formula>
    </cfRule>
  </conditionalFormatting>
  <conditionalFormatting sqref="AC46:AF46">
    <cfRule type="expression" dxfId="641" priority="83" stopIfTrue="1">
      <formula>$AP$46</formula>
    </cfRule>
  </conditionalFormatting>
  <conditionalFormatting sqref="AC50:AF50">
    <cfRule type="expression" dxfId="640" priority="82" stopIfTrue="1">
      <formula>$AP$50=1</formula>
    </cfRule>
  </conditionalFormatting>
  <conditionalFormatting sqref="AC51:AF51">
    <cfRule type="expression" dxfId="639" priority="81" stopIfTrue="1">
      <formula>$AP$51=1</formula>
    </cfRule>
  </conditionalFormatting>
  <conditionalFormatting sqref="AC49:AF49">
    <cfRule type="expression" dxfId="638" priority="80" stopIfTrue="1">
      <formula>$AP$49=1</formula>
    </cfRule>
  </conditionalFormatting>
  <conditionalFormatting sqref="AC48:AF48">
    <cfRule type="expression" dxfId="637" priority="79" stopIfTrue="1">
      <formula>$AP$48=1</formula>
    </cfRule>
  </conditionalFormatting>
  <conditionalFormatting sqref="AC45:AF45">
    <cfRule type="expression" dxfId="636" priority="78" stopIfTrue="1">
      <formula>$AP$45=1</formula>
    </cfRule>
  </conditionalFormatting>
  <conditionalFormatting sqref="AC44:AF44">
    <cfRule type="expression" dxfId="635" priority="77" stopIfTrue="1">
      <formula>$AP$44=1</formula>
    </cfRule>
  </conditionalFormatting>
  <conditionalFormatting sqref="AC43:AF43">
    <cfRule type="expression" dxfId="634" priority="76" stopIfTrue="1">
      <formula>$AP$43=1</formula>
    </cfRule>
  </conditionalFormatting>
  <conditionalFormatting sqref="AC42:AF42">
    <cfRule type="expression" dxfId="633" priority="75" stopIfTrue="1">
      <formula>$AP$42=1</formula>
    </cfRule>
  </conditionalFormatting>
  <conditionalFormatting sqref="AC41:AF41">
    <cfRule type="expression" dxfId="632" priority="74" stopIfTrue="1">
      <formula>$AP$41=1</formula>
    </cfRule>
  </conditionalFormatting>
  <conditionalFormatting sqref="AC40:AF40">
    <cfRule type="expression" dxfId="631" priority="73" stopIfTrue="1">
      <formula>$AP$40=1</formula>
    </cfRule>
  </conditionalFormatting>
  <conditionalFormatting sqref="AC39:AF39">
    <cfRule type="expression" dxfId="630" priority="72" stopIfTrue="1">
      <formula>$AP$39=1</formula>
    </cfRule>
  </conditionalFormatting>
  <conditionalFormatting sqref="AC38:AF38">
    <cfRule type="expression" dxfId="629" priority="71" stopIfTrue="1">
      <formula>$AP$38=1</formula>
    </cfRule>
  </conditionalFormatting>
  <conditionalFormatting sqref="AC37:AF37">
    <cfRule type="expression" dxfId="628" priority="70" stopIfTrue="1">
      <formula>$AP$37=1</formula>
    </cfRule>
  </conditionalFormatting>
  <conditionalFormatting sqref="AC36:AF36">
    <cfRule type="expression" dxfId="627" priority="69" stopIfTrue="1">
      <formula>$AP$36=1</formula>
    </cfRule>
  </conditionalFormatting>
  <conditionalFormatting sqref="AC35:AF35">
    <cfRule type="expression" dxfId="626" priority="67" stopIfTrue="1">
      <formula>$AP$35=1</formula>
    </cfRule>
    <cfRule type="expression" dxfId="625" priority="68" stopIfTrue="1">
      <formula>$AP$35=1</formula>
    </cfRule>
  </conditionalFormatting>
  <conditionalFormatting sqref="AC34:AF34">
    <cfRule type="expression" dxfId="624" priority="66" stopIfTrue="1">
      <formula>$AP$34=1</formula>
    </cfRule>
  </conditionalFormatting>
  <conditionalFormatting sqref="AC33:AF33">
    <cfRule type="expression" dxfId="623" priority="65" stopIfTrue="1">
      <formula>$AP$33=1</formula>
    </cfRule>
  </conditionalFormatting>
  <conditionalFormatting sqref="AC32:AF32">
    <cfRule type="expression" dxfId="622" priority="64" stopIfTrue="1">
      <formula>$AP$32=1</formula>
    </cfRule>
  </conditionalFormatting>
  <conditionalFormatting sqref="AC31:AF31">
    <cfRule type="expression" dxfId="621" priority="63" stopIfTrue="1">
      <formula>$AP$31=1</formula>
    </cfRule>
  </conditionalFormatting>
  <conditionalFormatting sqref="AC30:AF30">
    <cfRule type="expression" dxfId="620" priority="62" stopIfTrue="1">
      <formula>$AP$30</formula>
    </cfRule>
  </conditionalFormatting>
  <conditionalFormatting sqref="AC29:AD29 AF29">
    <cfRule type="expression" dxfId="619" priority="61" stopIfTrue="1">
      <formula>$AP$29=1</formula>
    </cfRule>
  </conditionalFormatting>
  <conditionalFormatting sqref="AC28:AD28 AF28">
    <cfRule type="expression" dxfId="618" priority="60" stopIfTrue="1">
      <formula>$AP$28=1</formula>
    </cfRule>
  </conditionalFormatting>
  <conditionalFormatting sqref="AC27:AD27 AF27">
    <cfRule type="expression" dxfId="617" priority="59" stopIfTrue="1">
      <formula>$AP$27=1</formula>
    </cfRule>
  </conditionalFormatting>
  <conditionalFormatting sqref="AC26:AD26 AF26">
    <cfRule type="expression" dxfId="616" priority="58" stopIfTrue="1">
      <formula>$AP$26=1</formula>
    </cfRule>
  </conditionalFormatting>
  <conditionalFormatting sqref="AC25:AD25 AF25">
    <cfRule type="expression" dxfId="615" priority="57" stopIfTrue="1">
      <formula>$AP$25=1</formula>
    </cfRule>
  </conditionalFormatting>
  <conditionalFormatting sqref="AC24:AD24 AF24">
    <cfRule type="expression" dxfId="614" priority="56" stopIfTrue="1">
      <formula>$AP$24=1</formula>
    </cfRule>
  </conditionalFormatting>
  <conditionalFormatting sqref="AC23:AD23 AF23">
    <cfRule type="expression" dxfId="613" priority="55" stopIfTrue="1">
      <formula>$AP$23=1</formula>
    </cfRule>
  </conditionalFormatting>
  <conditionalFormatting sqref="AC22:AD22 AF22">
    <cfRule type="expression" dxfId="612" priority="54" stopIfTrue="1">
      <formula>$AP$22=1</formula>
    </cfRule>
  </conditionalFormatting>
  <conditionalFormatting sqref="AC21:AD21 AF21">
    <cfRule type="expression" dxfId="611" priority="53" stopIfTrue="1">
      <formula>$AP$21=1</formula>
    </cfRule>
  </conditionalFormatting>
  <conditionalFormatting sqref="AC20:AD20 AF20">
    <cfRule type="expression" dxfId="610" priority="52" stopIfTrue="1">
      <formula>$AP$20=1</formula>
    </cfRule>
  </conditionalFormatting>
  <conditionalFormatting sqref="AC19:AD19 AF19">
    <cfRule type="expression" dxfId="609" priority="51" stopIfTrue="1">
      <formula>$AP$19=1</formula>
    </cfRule>
  </conditionalFormatting>
  <conditionalFormatting sqref="AC18:AD18 AF18">
    <cfRule type="expression" dxfId="608" priority="50" stopIfTrue="1">
      <formula>$AP$18=1</formula>
    </cfRule>
  </conditionalFormatting>
  <conditionalFormatting sqref="AC17:AD17 AF17">
    <cfRule type="expression" dxfId="607" priority="49" stopIfTrue="1">
      <formula>$AP$17=1</formula>
    </cfRule>
  </conditionalFormatting>
  <conditionalFormatting sqref="AC16:AD16 AF16">
    <cfRule type="expression" dxfId="606" priority="48" stopIfTrue="1">
      <formula>$AP$16=1</formula>
    </cfRule>
  </conditionalFormatting>
  <conditionalFormatting sqref="AC15:AD15 AF15">
    <cfRule type="expression" dxfId="605" priority="47" stopIfTrue="1">
      <formula>$AP$15=1</formula>
    </cfRule>
  </conditionalFormatting>
  <conditionalFormatting sqref="AC14:AD14 AF14">
    <cfRule type="expression" dxfId="604" priority="46" stopIfTrue="1">
      <formula>$AP$14=1</formula>
    </cfRule>
  </conditionalFormatting>
  <conditionalFormatting sqref="AC13:AD13 AF13">
    <cfRule type="expression" dxfId="603" priority="45" stopIfTrue="1">
      <formula>$AP$13=1</formula>
    </cfRule>
  </conditionalFormatting>
  <conditionalFormatting sqref="AC12:AF12 AE13:AE29">
    <cfRule type="expression" dxfId="602" priority="44" stopIfTrue="1">
      <formula>$AP$12=1</formula>
    </cfRule>
  </conditionalFormatting>
  <conditionalFormatting sqref="AC11:AF11">
    <cfRule type="expression" dxfId="601" priority="43" stopIfTrue="1">
      <formula>$AP$11=1</formula>
    </cfRule>
  </conditionalFormatting>
  <conditionalFormatting sqref="A51:B51">
    <cfRule type="expression" dxfId="600" priority="42" stopIfTrue="1">
      <formula>$AP$51=1</formula>
    </cfRule>
  </conditionalFormatting>
  <conditionalFormatting sqref="A50:B50">
    <cfRule type="expression" dxfId="599" priority="41" stopIfTrue="1">
      <formula>$AP$50=1</formula>
    </cfRule>
  </conditionalFormatting>
  <conditionalFormatting sqref="A49:B49">
    <cfRule type="expression" dxfId="598" priority="40" stopIfTrue="1">
      <formula>$AP$49=1</formula>
    </cfRule>
  </conditionalFormatting>
  <conditionalFormatting sqref="A48:B48">
    <cfRule type="expression" dxfId="597" priority="39" stopIfTrue="1">
      <formula>$AP$48=1</formula>
    </cfRule>
  </conditionalFormatting>
  <conditionalFormatting sqref="A47:B47">
    <cfRule type="expression" dxfId="596" priority="38" stopIfTrue="1">
      <formula>$AP$47=1</formula>
    </cfRule>
  </conditionalFormatting>
  <conditionalFormatting sqref="A46:B46">
    <cfRule type="expression" dxfId="595" priority="37" stopIfTrue="1">
      <formula>$AP$46=1</formula>
    </cfRule>
  </conditionalFormatting>
  <conditionalFormatting sqref="A45:B45">
    <cfRule type="expression" dxfId="594" priority="36" stopIfTrue="1">
      <formula>$AP$45=1</formula>
    </cfRule>
  </conditionalFormatting>
  <conditionalFormatting sqref="A44:B44">
    <cfRule type="expression" dxfId="593" priority="35" stopIfTrue="1">
      <formula>$AP$44=1</formula>
    </cfRule>
  </conditionalFormatting>
  <conditionalFormatting sqref="A43:B43">
    <cfRule type="expression" dxfId="592" priority="34" stopIfTrue="1">
      <formula>$AP$43=1</formula>
    </cfRule>
  </conditionalFormatting>
  <conditionalFormatting sqref="A42:B42">
    <cfRule type="expression" dxfId="591" priority="33" stopIfTrue="1">
      <formula>$AP$42=1</formula>
    </cfRule>
  </conditionalFormatting>
  <conditionalFormatting sqref="A41:B41">
    <cfRule type="expression" dxfId="590" priority="32" stopIfTrue="1">
      <formula>$AP$41=1</formula>
    </cfRule>
  </conditionalFormatting>
  <conditionalFormatting sqref="A40:B40">
    <cfRule type="expression" dxfId="589" priority="31" stopIfTrue="1">
      <formula>$AP$40=1</formula>
    </cfRule>
  </conditionalFormatting>
  <conditionalFormatting sqref="A39:B39">
    <cfRule type="expression" dxfId="588" priority="30" stopIfTrue="1">
      <formula>$AP$39=1</formula>
    </cfRule>
  </conditionalFormatting>
  <conditionalFormatting sqref="A38:B38">
    <cfRule type="expression" dxfId="587" priority="29" stopIfTrue="1">
      <formula>$AP$38=1</formula>
    </cfRule>
  </conditionalFormatting>
  <conditionalFormatting sqref="A37:B37">
    <cfRule type="expression" dxfId="586" priority="28" stopIfTrue="1">
      <formula>$AP$37=1</formula>
    </cfRule>
  </conditionalFormatting>
  <conditionalFormatting sqref="A36:B36">
    <cfRule type="expression" dxfId="585" priority="27" stopIfTrue="1">
      <formula>$AP$36=1</formula>
    </cfRule>
  </conditionalFormatting>
  <conditionalFormatting sqref="A35:B35">
    <cfRule type="expression" dxfId="584" priority="26" stopIfTrue="1">
      <formula>$AP$35=1</formula>
    </cfRule>
  </conditionalFormatting>
  <conditionalFormatting sqref="A34:B34">
    <cfRule type="expression" dxfId="583" priority="25" stopIfTrue="1">
      <formula>$AP$34=1</formula>
    </cfRule>
  </conditionalFormatting>
  <conditionalFormatting sqref="A33:B33">
    <cfRule type="expression" dxfId="582" priority="24" stopIfTrue="1">
      <formula>$AP$33=1</formula>
    </cfRule>
  </conditionalFormatting>
  <conditionalFormatting sqref="A32:B32">
    <cfRule type="expression" dxfId="581" priority="23" stopIfTrue="1">
      <formula>$AP$32=1</formula>
    </cfRule>
  </conditionalFormatting>
  <conditionalFormatting sqref="A31:B31">
    <cfRule type="expression" dxfId="580" priority="22" stopIfTrue="1">
      <formula>$AP$31=1</formula>
    </cfRule>
  </conditionalFormatting>
  <conditionalFormatting sqref="A30:B30">
    <cfRule type="expression" dxfId="579" priority="21" stopIfTrue="1">
      <formula>$AP$30=1</formula>
    </cfRule>
  </conditionalFormatting>
  <conditionalFormatting sqref="A29:B29">
    <cfRule type="expression" dxfId="578" priority="20" stopIfTrue="1">
      <formula>$AP$29=1</formula>
    </cfRule>
  </conditionalFormatting>
  <conditionalFormatting sqref="A28:B28">
    <cfRule type="expression" dxfId="577" priority="19" stopIfTrue="1">
      <formula>$AP$28=1</formula>
    </cfRule>
  </conditionalFormatting>
  <conditionalFormatting sqref="A27:B27">
    <cfRule type="expression" dxfId="576" priority="18" stopIfTrue="1">
      <formula>$AP$27=1</formula>
    </cfRule>
  </conditionalFormatting>
  <conditionalFormatting sqref="A26:B26">
    <cfRule type="expression" dxfId="575" priority="17" stopIfTrue="1">
      <formula>$AP$26=1</formula>
    </cfRule>
  </conditionalFormatting>
  <conditionalFormatting sqref="A25:B25">
    <cfRule type="expression" dxfId="574" priority="16" stopIfTrue="1">
      <formula>$AP$25=1</formula>
    </cfRule>
  </conditionalFormatting>
  <conditionalFormatting sqref="A24:B24">
    <cfRule type="expression" dxfId="573" priority="15" stopIfTrue="1">
      <formula>$AP$24=1</formula>
    </cfRule>
  </conditionalFormatting>
  <conditionalFormatting sqref="A23:B23">
    <cfRule type="expression" dxfId="572" priority="14" stopIfTrue="1">
      <formula>$AP$23=1</formula>
    </cfRule>
  </conditionalFormatting>
  <conditionalFormatting sqref="A22:B22">
    <cfRule type="expression" dxfId="571" priority="13" stopIfTrue="1">
      <formula>$AP$22=1</formula>
    </cfRule>
  </conditionalFormatting>
  <conditionalFormatting sqref="A21:B21">
    <cfRule type="expression" dxfId="570" priority="12" stopIfTrue="1">
      <formula>$AP$21=1</formula>
    </cfRule>
  </conditionalFormatting>
  <conditionalFormatting sqref="A20:B20">
    <cfRule type="expression" dxfId="569" priority="11" stopIfTrue="1">
      <formula>$AP$20=1</formula>
    </cfRule>
  </conditionalFormatting>
  <conditionalFormatting sqref="A19:B19">
    <cfRule type="expression" dxfId="568" priority="10" stopIfTrue="1">
      <formula>$AP$19=1</formula>
    </cfRule>
  </conditionalFormatting>
  <conditionalFormatting sqref="A18:B18">
    <cfRule type="expression" dxfId="567" priority="9" stopIfTrue="1">
      <formula>$AP$18=1</formula>
    </cfRule>
  </conditionalFormatting>
  <conditionalFormatting sqref="A17:B17">
    <cfRule type="expression" dxfId="566" priority="8" stopIfTrue="1">
      <formula>$AP$17=1</formula>
    </cfRule>
  </conditionalFormatting>
  <conditionalFormatting sqref="A16:B16">
    <cfRule type="expression" dxfId="565" priority="7" stopIfTrue="1">
      <formula>$AP$16=1</formula>
    </cfRule>
  </conditionalFormatting>
  <conditionalFormatting sqref="A15:B15">
    <cfRule type="expression" dxfId="564" priority="6" stopIfTrue="1">
      <formula>$AP$15=1</formula>
    </cfRule>
  </conditionalFormatting>
  <conditionalFormatting sqref="A14:B14">
    <cfRule type="expression" dxfId="563" priority="5" stopIfTrue="1">
      <formula>$AP$14=1</formula>
    </cfRule>
  </conditionalFormatting>
  <conditionalFormatting sqref="A13:B13">
    <cfRule type="expression" dxfId="562" priority="4" stopIfTrue="1">
      <formula>$AP$13=1</formula>
    </cfRule>
  </conditionalFormatting>
  <conditionalFormatting sqref="A12:B12">
    <cfRule type="expression" dxfId="561" priority="3" stopIfTrue="1">
      <formula>$AP$12=1</formula>
    </cfRule>
  </conditionalFormatting>
  <conditionalFormatting sqref="A11:B11">
    <cfRule type="expression" dxfId="560" priority="2" stopIfTrue="1">
      <formula>$AP$11=1</formula>
    </cfRule>
  </conditionalFormatting>
  <conditionalFormatting sqref="A10:B10">
    <cfRule type="expression" dxfId="559" priority="1" stopIfTrue="1">
      <formula>$AP$10=1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AP75"/>
  <sheetViews>
    <sheetView zoomScale="70" zoomScaleNormal="70" workbookViewId="0">
      <selection activeCell="H70" sqref="H70"/>
    </sheetView>
  </sheetViews>
  <sheetFormatPr baseColWidth="10" defaultColWidth="11.42578125" defaultRowHeight="12.75" x14ac:dyDescent="0.2"/>
  <cols>
    <col min="1" max="1" width="9.7109375" style="84" customWidth="1"/>
    <col min="2" max="2" width="12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1" t="s">
        <v>69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478.88299999999998</v>
      </c>
      <c r="AM4" s="93">
        <f>SUM(AM5:AM46)</f>
        <v>14.6</v>
      </c>
      <c r="AN4" s="93">
        <f>SUM(AN5:AN46)</f>
        <v>478.88299999999998</v>
      </c>
      <c r="AO4" s="93">
        <f>SUM(AO5:AO46)</f>
        <v>22.000000000000011</v>
      </c>
      <c r="AP4" s="86"/>
    </row>
    <row r="5" spans="1:42" ht="15.75" x14ac:dyDescent="0.25">
      <c r="A5" s="94">
        <f t="shared" ref="A5:A51" si="0">AF5</f>
        <v>0</v>
      </c>
      <c r="B5" s="95">
        <f t="shared" ref="B5:B51" si="1">AD5</f>
        <v>480.02</v>
      </c>
      <c r="C5" s="96" t="str">
        <f>IF(AG5="","",AG5)</f>
        <v xml:space="preserve">S/BM </v>
      </c>
      <c r="D5" s="190"/>
      <c r="X5" s="97"/>
      <c r="Y5" s="98"/>
      <c r="Z5" s="99">
        <v>0.98699999999999999</v>
      </c>
      <c r="AA5" s="100"/>
      <c r="AB5" s="101"/>
      <c r="AC5" s="102">
        <f>IF(AA5="",AD5+Z5,"")</f>
        <v>481.00700000000001</v>
      </c>
      <c r="AD5" s="103">
        <v>480.02</v>
      </c>
      <c r="AE5" s="104">
        <v>0</v>
      </c>
      <c r="AF5" s="105"/>
      <c r="AG5" s="106" t="s">
        <v>46</v>
      </c>
      <c r="AH5" s="86">
        <f t="shared" ref="AH5:AH46" si="2">IF(AND(AJ5="NAOI",AJ5=AJ6),AK5,AI5)</f>
        <v>481.00700000000001</v>
      </c>
      <c r="AI5" s="86">
        <f>IF(AA5="",AC5,AI4)</f>
        <v>481.00700000000001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480.20699999999999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0.8</v>
      </c>
      <c r="AB6" s="111"/>
      <c r="AC6" s="112" t="str">
        <f>IF(AA6="",AD6+Z6,"")</f>
        <v/>
      </c>
      <c r="AD6" s="113">
        <f>IF(AA6="",AH5-AB6,AH5-AA6)</f>
        <v>480.20699999999999</v>
      </c>
      <c r="AE6" s="114">
        <v>0</v>
      </c>
      <c r="AF6" s="113">
        <f>AE6</f>
        <v>0</v>
      </c>
      <c r="AG6" s="115" t="s">
        <v>4</v>
      </c>
      <c r="AH6" s="86">
        <f t="shared" si="2"/>
        <v>481.00700000000001</v>
      </c>
      <c r="AI6" s="86">
        <f t="shared" ref="AI6:AI46" si="6">IF(AA6="",AC6,AI5)</f>
        <v>481.00700000000001</v>
      </c>
      <c r="AJ6" s="86" t="str">
        <f t="shared" si="3"/>
        <v>PRI</v>
      </c>
      <c r="AK6" s="93">
        <f t="shared" si="4"/>
        <v>480.20699999999999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2</v>
      </c>
      <c r="B7" s="95">
        <f t="shared" si="1"/>
        <v>480.05700000000002</v>
      </c>
      <c r="C7" s="96" t="str">
        <f t="shared" si="5"/>
        <v/>
      </c>
      <c r="D7" s="190"/>
      <c r="X7" s="107"/>
      <c r="Y7" s="108"/>
      <c r="Z7" s="109"/>
      <c r="AA7" s="110">
        <v>0.95</v>
      </c>
      <c r="AB7" s="111"/>
      <c r="AC7" s="112" t="str">
        <f t="shared" ref="AC7:AC36" si="11">IF(AA7="",AD7+Z7,"")</f>
        <v/>
      </c>
      <c r="AD7" s="113">
        <f>IF(AA7="",AH6-AB7,AH6-AA7)</f>
        <v>480.05700000000002</v>
      </c>
      <c r="AE7" s="114">
        <v>2</v>
      </c>
      <c r="AF7" s="113">
        <f t="shared" ref="AF7:AF36" si="12">+AF6+AE7</f>
        <v>2</v>
      </c>
      <c r="AG7" s="116"/>
      <c r="AH7" s="86">
        <f t="shared" si="2"/>
        <v>481.00700000000001</v>
      </c>
      <c r="AI7" s="86">
        <f t="shared" si="6"/>
        <v>481.00700000000001</v>
      </c>
      <c r="AJ7" s="86" t="str">
        <f t="shared" si="3"/>
        <v>PRI</v>
      </c>
      <c r="AK7" s="93">
        <f t="shared" si="4"/>
        <v>480.05700000000002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6</v>
      </c>
      <c r="B8" s="95">
        <f t="shared" si="1"/>
        <v>480.02499999999998</v>
      </c>
      <c r="C8" s="96" t="str">
        <f t="shared" si="5"/>
        <v/>
      </c>
      <c r="D8" s="190"/>
      <c r="X8" s="107"/>
      <c r="Y8" s="108"/>
      <c r="Z8" s="109"/>
      <c r="AA8" s="110">
        <v>0.98199999999999998</v>
      </c>
      <c r="AB8" s="111"/>
      <c r="AC8" s="112" t="str">
        <f t="shared" si="11"/>
        <v/>
      </c>
      <c r="AD8" s="113">
        <f>IF(AA8="",AH7-AB8,AH7-AA8)</f>
        <v>480.02499999999998</v>
      </c>
      <c r="AE8" s="114">
        <v>4</v>
      </c>
      <c r="AF8" s="113">
        <f t="shared" si="12"/>
        <v>6</v>
      </c>
      <c r="AG8" s="116"/>
      <c r="AH8" s="86">
        <f t="shared" si="2"/>
        <v>481.00700000000001</v>
      </c>
      <c r="AI8" s="86">
        <f t="shared" si="6"/>
        <v>481.00700000000001</v>
      </c>
      <c r="AJ8" s="86" t="str">
        <f t="shared" si="3"/>
        <v>PRI</v>
      </c>
      <c r="AK8" s="93">
        <f t="shared" si="4"/>
        <v>480.02499999999998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9</v>
      </c>
      <c r="B9" s="95">
        <f t="shared" si="1"/>
        <v>480.30700000000002</v>
      </c>
      <c r="C9" s="96" t="str">
        <f t="shared" si="5"/>
        <v/>
      </c>
      <c r="D9" s="190"/>
      <c r="X9" s="107"/>
      <c r="Y9" s="108"/>
      <c r="Z9" s="109"/>
      <c r="AA9" s="110">
        <v>0.7</v>
      </c>
      <c r="AB9" s="111"/>
      <c r="AC9" s="112" t="str">
        <f t="shared" si="11"/>
        <v/>
      </c>
      <c r="AD9" s="113">
        <f>IF(AA9="",AH8-AB9,AH8-AA9)</f>
        <v>480.30700000000002</v>
      </c>
      <c r="AE9" s="114">
        <v>3</v>
      </c>
      <c r="AF9" s="113">
        <f t="shared" si="12"/>
        <v>9</v>
      </c>
      <c r="AG9" s="115"/>
      <c r="AH9" s="86">
        <f t="shared" si="2"/>
        <v>481.00700000000001</v>
      </c>
      <c r="AI9" s="86">
        <f t="shared" si="6"/>
        <v>481.00700000000001</v>
      </c>
      <c r="AJ9" s="86" t="str">
        <f t="shared" si="3"/>
        <v>PRI</v>
      </c>
      <c r="AK9" s="93">
        <f t="shared" si="4"/>
        <v>480.30700000000002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11</v>
      </c>
      <c r="B10" s="95">
        <f t="shared" si="1"/>
        <v>480.197</v>
      </c>
      <c r="C10" s="96" t="str">
        <f t="shared" si="5"/>
        <v/>
      </c>
      <c r="D10" s="190"/>
      <c r="E10" s="84">
        <f>(B12+B35)/2</f>
        <v>481.44550000000004</v>
      </c>
      <c r="X10" s="107"/>
      <c r="Y10" s="108"/>
      <c r="Z10" s="109"/>
      <c r="AA10" s="110">
        <v>0.81</v>
      </c>
      <c r="AB10" s="111"/>
      <c r="AC10" s="112" t="str">
        <f t="shared" si="11"/>
        <v/>
      </c>
      <c r="AD10" s="113">
        <f t="shared" ref="AD10:AD36" si="13">IF(AJ9="S/BM",AD9,IF(AA10="",AH9-AB10,AH9-AA10))</f>
        <v>480.197</v>
      </c>
      <c r="AE10" s="114">
        <v>2</v>
      </c>
      <c r="AF10" s="113">
        <f t="shared" si="12"/>
        <v>11</v>
      </c>
      <c r="AG10" s="116"/>
      <c r="AH10" s="86">
        <f t="shared" si="2"/>
        <v>481.00700000000001</v>
      </c>
      <c r="AI10" s="86">
        <f t="shared" si="6"/>
        <v>481.00700000000001</v>
      </c>
      <c r="AJ10" s="86" t="str">
        <f t="shared" si="3"/>
        <v>PRI</v>
      </c>
      <c r="AK10" s="93">
        <f t="shared" si="4"/>
        <v>480.197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11.6</v>
      </c>
      <c r="B11" s="95">
        <f t="shared" si="1"/>
        <v>479.74799999999999</v>
      </c>
      <c r="C11" s="96" t="str">
        <f t="shared" si="5"/>
        <v/>
      </c>
      <c r="D11" s="190"/>
      <c r="E11" s="117">
        <v>0.33</v>
      </c>
      <c r="X11" s="107"/>
      <c r="Y11" s="108"/>
      <c r="Z11" s="109"/>
      <c r="AA11" s="110">
        <v>1.2589999999999999</v>
      </c>
      <c r="AB11" s="111"/>
      <c r="AC11" s="112" t="str">
        <f t="shared" si="11"/>
        <v/>
      </c>
      <c r="AD11" s="113">
        <f t="shared" si="13"/>
        <v>479.74799999999999</v>
      </c>
      <c r="AE11" s="114">
        <v>0.6</v>
      </c>
      <c r="AF11" s="113">
        <f t="shared" si="12"/>
        <v>11.6</v>
      </c>
      <c r="AG11" s="115"/>
      <c r="AH11" s="86">
        <f t="shared" si="2"/>
        <v>481.00700000000001</v>
      </c>
      <c r="AI11" s="86">
        <f t="shared" si="6"/>
        <v>481.00700000000001</v>
      </c>
      <c r="AJ11" s="86" t="str">
        <f t="shared" si="3"/>
        <v>PRI</v>
      </c>
      <c r="AK11" s="93">
        <f t="shared" si="4"/>
        <v>479.74799999999999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12.6</v>
      </c>
      <c r="B12" s="95">
        <f t="shared" si="1"/>
        <v>479.24900000000002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1.758</v>
      </c>
      <c r="AB12" s="111"/>
      <c r="AC12" s="112" t="str">
        <f>IF(AA12="",AD12+Z12,"")</f>
        <v/>
      </c>
      <c r="AD12" s="113">
        <f t="shared" si="13"/>
        <v>479.24900000000002</v>
      </c>
      <c r="AE12" s="114">
        <v>1</v>
      </c>
      <c r="AF12" s="113">
        <f t="shared" si="12"/>
        <v>12.6</v>
      </c>
      <c r="AG12" s="115"/>
      <c r="AH12" s="86">
        <f t="shared" si="2"/>
        <v>481.00700000000001</v>
      </c>
      <c r="AI12" s="86">
        <f t="shared" si="6"/>
        <v>481.00700000000001</v>
      </c>
      <c r="AJ12" s="86" t="str">
        <f t="shared" si="3"/>
        <v>PRI</v>
      </c>
      <c r="AK12" s="93">
        <f t="shared" si="4"/>
        <v>479.24900000000002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14.6</v>
      </c>
      <c r="B13" s="95">
        <f t="shared" si="1"/>
        <v>478.88299999999998</v>
      </c>
      <c r="C13" s="96" t="str">
        <f t="shared" si="5"/>
        <v>NAOI</v>
      </c>
      <c r="D13" s="190"/>
      <c r="E13" s="117">
        <v>0.35</v>
      </c>
      <c r="X13" s="107"/>
      <c r="Y13" s="108"/>
      <c r="Z13" s="109"/>
      <c r="AA13" s="110">
        <v>2.1240000000000001</v>
      </c>
      <c r="AB13" s="111"/>
      <c r="AC13" s="112" t="str">
        <f t="shared" si="11"/>
        <v/>
      </c>
      <c r="AD13" s="113">
        <f t="shared" si="13"/>
        <v>478.88299999999998</v>
      </c>
      <c r="AE13" s="114">
        <v>2</v>
      </c>
      <c r="AF13" s="113">
        <f t="shared" si="12"/>
        <v>14.6</v>
      </c>
      <c r="AG13" s="116" t="s">
        <v>9</v>
      </c>
      <c r="AH13" s="86">
        <f t="shared" si="2"/>
        <v>478.88299999999998</v>
      </c>
      <c r="AI13" s="86">
        <f t="shared" si="6"/>
        <v>481.00700000000001</v>
      </c>
      <c r="AJ13" s="86" t="str">
        <f t="shared" si="3"/>
        <v>NAOI</v>
      </c>
      <c r="AK13" s="93">
        <f t="shared" si="4"/>
        <v>478.88299999999998</v>
      </c>
      <c r="AL13" s="86">
        <f t="shared" si="7"/>
        <v>478.88299999999998</v>
      </c>
      <c r="AM13" s="93">
        <f t="shared" si="8"/>
        <v>14.6</v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15.6</v>
      </c>
      <c r="B14" s="95">
        <f t="shared" si="1"/>
        <v>478.64299999999997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0.24</v>
      </c>
      <c r="AB14" s="111"/>
      <c r="AC14" s="112" t="str">
        <f t="shared" si="11"/>
        <v/>
      </c>
      <c r="AD14" s="113">
        <f t="shared" si="13"/>
        <v>478.64299999999997</v>
      </c>
      <c r="AE14" s="114">
        <v>1</v>
      </c>
      <c r="AF14" s="113">
        <f t="shared" si="12"/>
        <v>15.6</v>
      </c>
      <c r="AG14" s="116"/>
      <c r="AH14" s="86">
        <f t="shared" si="2"/>
        <v>478.88299999999998</v>
      </c>
      <c r="AI14" s="86">
        <f t="shared" si="6"/>
        <v>481.00700000000001</v>
      </c>
      <c r="AJ14" s="86" t="str">
        <f t="shared" si="3"/>
        <v>NAOI</v>
      </c>
      <c r="AK14" s="93">
        <f>IF(AND(AJ14="NAOI",AJ13="NAOI"),AK13,AD14)</f>
        <v>478.88299999999998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15.9</v>
      </c>
      <c r="B15" s="95">
        <f t="shared" si="1"/>
        <v>478.65299999999996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0.23</v>
      </c>
      <c r="AB15" s="111"/>
      <c r="AC15" s="112" t="str">
        <f t="shared" si="11"/>
        <v/>
      </c>
      <c r="AD15" s="113">
        <f t="shared" si="13"/>
        <v>478.65299999999996</v>
      </c>
      <c r="AE15" s="114">
        <v>0.3</v>
      </c>
      <c r="AF15" s="113">
        <f t="shared" si="12"/>
        <v>15.9</v>
      </c>
      <c r="AG15" s="115"/>
      <c r="AH15" s="86">
        <f t="shared" si="2"/>
        <v>478.88299999999998</v>
      </c>
      <c r="AI15" s="86">
        <f t="shared" si="6"/>
        <v>481.00700000000001</v>
      </c>
      <c r="AJ15" s="86" t="str">
        <f t="shared" si="3"/>
        <v>NAOI</v>
      </c>
      <c r="AK15" s="93">
        <f>IF(AND(AJ15="NAOI",AJ14="NAOI"),AK14,AD15)</f>
        <v>478.88299999999998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16.2</v>
      </c>
      <c r="B16" s="95">
        <f t="shared" si="1"/>
        <v>478.64299999999997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0.24</v>
      </c>
      <c r="AB16" s="111"/>
      <c r="AC16" s="112" t="str">
        <f t="shared" si="11"/>
        <v/>
      </c>
      <c r="AD16" s="113">
        <f t="shared" si="13"/>
        <v>478.64299999999997</v>
      </c>
      <c r="AE16" s="114">
        <v>0.3</v>
      </c>
      <c r="AF16" s="113">
        <f t="shared" si="12"/>
        <v>16.2</v>
      </c>
      <c r="AG16" s="118"/>
      <c r="AH16" s="86">
        <f t="shared" si="2"/>
        <v>478.88299999999998</v>
      </c>
      <c r="AI16" s="86">
        <f t="shared" si="6"/>
        <v>481.00700000000001</v>
      </c>
      <c r="AJ16" s="86" t="str">
        <f t="shared" si="3"/>
        <v>NAOI</v>
      </c>
      <c r="AK16" s="93">
        <f>IF(AND(AJ16="NAOI",AJ15="NAOI"),AK15,AD16)</f>
        <v>478.88299999999998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16.5</v>
      </c>
      <c r="B17" s="95">
        <f t="shared" si="1"/>
        <v>478.553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0.33</v>
      </c>
      <c r="AB17" s="111"/>
      <c r="AC17" s="112" t="str">
        <f t="shared" si="11"/>
        <v/>
      </c>
      <c r="AD17" s="113">
        <f t="shared" si="13"/>
        <v>478.553</v>
      </c>
      <c r="AE17" s="114">
        <v>0.3</v>
      </c>
      <c r="AF17" s="113">
        <f t="shared" si="12"/>
        <v>16.5</v>
      </c>
      <c r="AG17" s="118"/>
      <c r="AH17" s="86">
        <f t="shared" si="2"/>
        <v>478.88299999999998</v>
      </c>
      <c r="AI17" s="86">
        <f t="shared" si="6"/>
        <v>481.00700000000001</v>
      </c>
      <c r="AJ17" s="86" t="str">
        <f t="shared" si="3"/>
        <v>NAOI</v>
      </c>
      <c r="AK17" s="93">
        <f t="shared" ref="AK17:AK46" si="15">IF(AND(AJ17="NAOI",AJ16="NAOI"),AK16,AD17)</f>
        <v>478.88299999999998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16.8</v>
      </c>
      <c r="B18" s="95">
        <f t="shared" si="1"/>
        <v>478.45299999999997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0.43</v>
      </c>
      <c r="AB18" s="111"/>
      <c r="AC18" s="112" t="str">
        <f t="shared" si="11"/>
        <v/>
      </c>
      <c r="AD18" s="113">
        <f t="shared" si="13"/>
        <v>478.45299999999997</v>
      </c>
      <c r="AE18" s="114">
        <v>0.3</v>
      </c>
      <c r="AF18" s="113">
        <f t="shared" si="12"/>
        <v>16.8</v>
      </c>
      <c r="AG18" s="118"/>
      <c r="AH18" s="86">
        <f t="shared" si="2"/>
        <v>478.88299999999998</v>
      </c>
      <c r="AI18" s="86">
        <f t="shared" si="6"/>
        <v>481.00700000000001</v>
      </c>
      <c r="AJ18" s="86" t="str">
        <f t="shared" si="3"/>
        <v>NAOI</v>
      </c>
      <c r="AK18" s="93">
        <f t="shared" si="15"/>
        <v>478.88299999999998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17.100000000000001</v>
      </c>
      <c r="B19" s="95">
        <f t="shared" si="1"/>
        <v>478.423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0.46</v>
      </c>
      <c r="AB19" s="111"/>
      <c r="AC19" s="112" t="str">
        <f t="shared" si="11"/>
        <v/>
      </c>
      <c r="AD19" s="113">
        <f t="shared" si="13"/>
        <v>478.423</v>
      </c>
      <c r="AE19" s="114">
        <v>0.3</v>
      </c>
      <c r="AF19" s="113">
        <f t="shared" si="12"/>
        <v>17.100000000000001</v>
      </c>
      <c r="AG19" s="118"/>
      <c r="AH19" s="86">
        <f t="shared" si="2"/>
        <v>478.88299999999998</v>
      </c>
      <c r="AI19" s="86">
        <f t="shared" si="6"/>
        <v>481.00700000000001</v>
      </c>
      <c r="AJ19" s="86" t="str">
        <f t="shared" si="3"/>
        <v>NAOI</v>
      </c>
      <c r="AK19" s="93">
        <f t="shared" si="15"/>
        <v>478.88299999999998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17.400000000000002</v>
      </c>
      <c r="B20" s="95">
        <f t="shared" si="1"/>
        <v>478.39299999999997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0.49</v>
      </c>
      <c r="AB20" s="111"/>
      <c r="AC20" s="112" t="str">
        <f t="shared" si="11"/>
        <v/>
      </c>
      <c r="AD20" s="113">
        <f t="shared" si="13"/>
        <v>478.39299999999997</v>
      </c>
      <c r="AE20" s="114">
        <v>0.3</v>
      </c>
      <c r="AF20" s="113">
        <f t="shared" si="12"/>
        <v>17.400000000000002</v>
      </c>
      <c r="AG20" s="118"/>
      <c r="AH20" s="86">
        <f t="shared" si="2"/>
        <v>478.88299999999998</v>
      </c>
      <c r="AI20" s="86">
        <f t="shared" si="6"/>
        <v>481.00700000000001</v>
      </c>
      <c r="AJ20" s="86" t="str">
        <f t="shared" si="3"/>
        <v>NAOI</v>
      </c>
      <c r="AK20" s="93">
        <f t="shared" si="15"/>
        <v>478.88299999999998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17.700000000000003</v>
      </c>
      <c r="B21" s="95">
        <f t="shared" si="1"/>
        <v>478.39299999999997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0.49</v>
      </c>
      <c r="AB21" s="111"/>
      <c r="AC21" s="112" t="str">
        <f t="shared" si="11"/>
        <v/>
      </c>
      <c r="AD21" s="113">
        <f t="shared" si="13"/>
        <v>478.39299999999997</v>
      </c>
      <c r="AE21" s="114">
        <v>0.3</v>
      </c>
      <c r="AF21" s="113">
        <f t="shared" si="12"/>
        <v>17.700000000000003</v>
      </c>
      <c r="AG21" s="118"/>
      <c r="AH21" s="86">
        <f t="shared" si="2"/>
        <v>478.88299999999998</v>
      </c>
      <c r="AI21" s="86">
        <f t="shared" si="6"/>
        <v>481.00700000000001</v>
      </c>
      <c r="AJ21" s="86" t="str">
        <f t="shared" si="3"/>
        <v>NAOI</v>
      </c>
      <c r="AK21" s="93">
        <f t="shared" si="15"/>
        <v>478.88299999999998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18.000000000000004</v>
      </c>
      <c r="B22" s="95">
        <f t="shared" si="1"/>
        <v>478.45299999999997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0.43</v>
      </c>
      <c r="AB22" s="111"/>
      <c r="AC22" s="112" t="str">
        <f t="shared" si="11"/>
        <v/>
      </c>
      <c r="AD22" s="113">
        <f t="shared" si="13"/>
        <v>478.45299999999997</v>
      </c>
      <c r="AE22" s="114">
        <v>0.3</v>
      </c>
      <c r="AF22" s="113">
        <f t="shared" si="12"/>
        <v>18.000000000000004</v>
      </c>
      <c r="AG22" s="118"/>
      <c r="AH22" s="86">
        <f t="shared" si="2"/>
        <v>478.88299999999998</v>
      </c>
      <c r="AI22" s="86">
        <f t="shared" si="6"/>
        <v>481.00700000000001</v>
      </c>
      <c r="AJ22" s="86" t="str">
        <f t="shared" si="3"/>
        <v>NAOI</v>
      </c>
      <c r="AK22" s="93">
        <f t="shared" si="15"/>
        <v>478.88299999999998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18.300000000000004</v>
      </c>
      <c r="B23" s="95">
        <f t="shared" si="1"/>
        <v>478.45299999999997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0.43</v>
      </c>
      <c r="AB23" s="111"/>
      <c r="AC23" s="112" t="str">
        <f t="shared" si="11"/>
        <v/>
      </c>
      <c r="AD23" s="113">
        <f t="shared" si="13"/>
        <v>478.45299999999997</v>
      </c>
      <c r="AE23" s="114">
        <v>0.3</v>
      </c>
      <c r="AF23" s="113">
        <f t="shared" si="12"/>
        <v>18.300000000000004</v>
      </c>
      <c r="AG23" s="118"/>
      <c r="AH23" s="86">
        <f t="shared" si="2"/>
        <v>478.88299999999998</v>
      </c>
      <c r="AI23" s="86">
        <f t="shared" si="6"/>
        <v>481.00700000000001</v>
      </c>
      <c r="AJ23" s="86" t="str">
        <f t="shared" si="3"/>
        <v>NAOI</v>
      </c>
      <c r="AK23" s="93">
        <f t="shared" si="15"/>
        <v>478.88299999999998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18.600000000000005</v>
      </c>
      <c r="B24" s="95">
        <f t="shared" si="1"/>
        <v>478.423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0.46</v>
      </c>
      <c r="AB24" s="111"/>
      <c r="AC24" s="112" t="str">
        <f t="shared" si="11"/>
        <v/>
      </c>
      <c r="AD24" s="113">
        <f t="shared" si="13"/>
        <v>478.423</v>
      </c>
      <c r="AE24" s="114">
        <v>0.3</v>
      </c>
      <c r="AF24" s="113">
        <f t="shared" si="12"/>
        <v>18.600000000000005</v>
      </c>
      <c r="AG24" s="118"/>
      <c r="AH24" s="86">
        <f t="shared" si="2"/>
        <v>478.88299999999998</v>
      </c>
      <c r="AI24" s="86">
        <f t="shared" si="6"/>
        <v>481.00700000000001</v>
      </c>
      <c r="AJ24" s="86" t="str">
        <f t="shared" si="3"/>
        <v>NAOI</v>
      </c>
      <c r="AK24" s="93">
        <f t="shared" si="15"/>
        <v>478.88299999999998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18.900000000000006</v>
      </c>
      <c r="B25" s="95">
        <f t="shared" si="1"/>
        <v>478.41299999999995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0.47</v>
      </c>
      <c r="AB25" s="111"/>
      <c r="AC25" s="112" t="str">
        <f t="shared" si="11"/>
        <v/>
      </c>
      <c r="AD25" s="113">
        <f t="shared" si="13"/>
        <v>478.41299999999995</v>
      </c>
      <c r="AE25" s="114">
        <v>0.3</v>
      </c>
      <c r="AF25" s="113">
        <f t="shared" si="12"/>
        <v>18.900000000000006</v>
      </c>
      <c r="AG25" s="118"/>
      <c r="AH25" s="86">
        <f t="shared" si="2"/>
        <v>478.88299999999998</v>
      </c>
      <c r="AI25" s="86">
        <f t="shared" si="6"/>
        <v>481.00700000000001</v>
      </c>
      <c r="AJ25" s="86" t="str">
        <f t="shared" si="3"/>
        <v>NAOI</v>
      </c>
      <c r="AK25" s="93">
        <f t="shared" si="15"/>
        <v>478.88299999999998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19.200000000000006</v>
      </c>
      <c r="B26" s="95">
        <f t="shared" si="1"/>
        <v>478.49299999999999</v>
      </c>
      <c r="C26" s="96" t="str">
        <f t="shared" si="5"/>
        <v/>
      </c>
      <c r="D26" s="190"/>
      <c r="E26" s="117">
        <v>1.7</v>
      </c>
      <c r="X26" s="107"/>
      <c r="Y26" s="108"/>
      <c r="Z26" s="109"/>
      <c r="AA26" s="110">
        <v>0.39</v>
      </c>
      <c r="AB26" s="111"/>
      <c r="AC26" s="112" t="str">
        <f t="shared" si="11"/>
        <v/>
      </c>
      <c r="AD26" s="113">
        <f t="shared" si="13"/>
        <v>478.49299999999999</v>
      </c>
      <c r="AE26" s="114">
        <v>0.3</v>
      </c>
      <c r="AF26" s="113">
        <f t="shared" si="12"/>
        <v>19.200000000000006</v>
      </c>
      <c r="AG26" s="118"/>
      <c r="AH26" s="86">
        <f t="shared" si="2"/>
        <v>478.88299999999998</v>
      </c>
      <c r="AI26" s="86">
        <f t="shared" si="6"/>
        <v>481.00700000000001</v>
      </c>
      <c r="AJ26" s="86" t="str">
        <f t="shared" si="3"/>
        <v>NAOI</v>
      </c>
      <c r="AK26" s="93">
        <f t="shared" si="15"/>
        <v>478.88299999999998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19.500000000000007</v>
      </c>
      <c r="B27" s="95">
        <f t="shared" si="1"/>
        <v>478.56299999999999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0.32</v>
      </c>
      <c r="AB27" s="111"/>
      <c r="AC27" s="112" t="str">
        <f t="shared" si="11"/>
        <v/>
      </c>
      <c r="AD27" s="113">
        <f t="shared" si="13"/>
        <v>478.56299999999999</v>
      </c>
      <c r="AE27" s="114">
        <v>0.3</v>
      </c>
      <c r="AF27" s="113">
        <f t="shared" si="12"/>
        <v>19.500000000000007</v>
      </c>
      <c r="AG27" s="118"/>
      <c r="AH27" s="86">
        <f t="shared" si="2"/>
        <v>478.88299999999998</v>
      </c>
      <c r="AI27" s="86">
        <f t="shared" si="6"/>
        <v>481.00700000000001</v>
      </c>
      <c r="AJ27" s="86" t="str">
        <f t="shared" si="3"/>
        <v>NAOI</v>
      </c>
      <c r="AK27" s="93">
        <f t="shared" si="15"/>
        <v>478.88299999999998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19.800000000000008</v>
      </c>
      <c r="B28" s="95">
        <f t="shared" si="1"/>
        <v>478.56299999999999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0.32</v>
      </c>
      <c r="AB28" s="111"/>
      <c r="AC28" s="112" t="str">
        <f t="shared" si="11"/>
        <v/>
      </c>
      <c r="AD28" s="113">
        <f t="shared" si="13"/>
        <v>478.56299999999999</v>
      </c>
      <c r="AE28" s="114">
        <v>0.3</v>
      </c>
      <c r="AF28" s="113">
        <f t="shared" si="12"/>
        <v>19.800000000000008</v>
      </c>
      <c r="AG28" s="118"/>
      <c r="AH28" s="86">
        <f t="shared" si="2"/>
        <v>478.88299999999998</v>
      </c>
      <c r="AI28" s="86">
        <f t="shared" si="6"/>
        <v>481.00700000000001</v>
      </c>
      <c r="AJ28" s="86" t="str">
        <f t="shared" si="3"/>
        <v>NAOI</v>
      </c>
      <c r="AK28" s="93">
        <f t="shared" si="15"/>
        <v>478.88299999999998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20.100000000000009</v>
      </c>
      <c r="B29" s="95">
        <f t="shared" si="1"/>
        <v>478.60300000000001</v>
      </c>
      <c r="C29" s="96" t="str">
        <f t="shared" si="5"/>
        <v/>
      </c>
      <c r="D29" s="190"/>
      <c r="E29" s="117">
        <v>1.2</v>
      </c>
      <c r="X29" s="107"/>
      <c r="Y29" s="108"/>
      <c r="Z29" s="109"/>
      <c r="AA29" s="110">
        <v>0.28000000000000003</v>
      </c>
      <c r="AB29" s="111"/>
      <c r="AC29" s="112" t="str">
        <f t="shared" si="11"/>
        <v/>
      </c>
      <c r="AD29" s="113">
        <f t="shared" si="13"/>
        <v>478.60300000000001</v>
      </c>
      <c r="AE29" s="114">
        <v>0.3</v>
      </c>
      <c r="AF29" s="113">
        <f t="shared" si="12"/>
        <v>20.100000000000009</v>
      </c>
      <c r="AG29" s="115"/>
      <c r="AH29" s="86">
        <f t="shared" si="2"/>
        <v>478.88299999999998</v>
      </c>
      <c r="AI29" s="86">
        <f t="shared" si="6"/>
        <v>481.00700000000001</v>
      </c>
      <c r="AJ29" s="86" t="str">
        <f t="shared" si="3"/>
        <v>NAOI</v>
      </c>
      <c r="AK29" s="93">
        <f t="shared" si="15"/>
        <v>478.88299999999998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20.400000000000009</v>
      </c>
      <c r="B30" s="95">
        <f t="shared" si="1"/>
        <v>478.57299999999998</v>
      </c>
      <c r="C30" s="96" t="str">
        <f t="shared" si="5"/>
        <v/>
      </c>
      <c r="D30" s="190"/>
      <c r="E30" s="117">
        <v>0.8</v>
      </c>
      <c r="X30" s="107"/>
      <c r="Y30" s="108"/>
      <c r="Z30" s="109"/>
      <c r="AA30" s="110">
        <v>0.31</v>
      </c>
      <c r="AB30" s="111"/>
      <c r="AC30" s="112" t="str">
        <f t="shared" si="11"/>
        <v/>
      </c>
      <c r="AD30" s="113">
        <f t="shared" si="13"/>
        <v>478.57299999999998</v>
      </c>
      <c r="AE30" s="114">
        <v>0.3</v>
      </c>
      <c r="AF30" s="113">
        <f t="shared" si="12"/>
        <v>20.400000000000009</v>
      </c>
      <c r="AG30" s="115"/>
      <c r="AH30" s="86">
        <f t="shared" si="2"/>
        <v>478.88299999999998</v>
      </c>
      <c r="AI30" s="86">
        <f t="shared" si="6"/>
        <v>481.00700000000001</v>
      </c>
      <c r="AJ30" s="86" t="str">
        <f t="shared" si="3"/>
        <v>NAOI</v>
      </c>
      <c r="AK30" s="93">
        <f t="shared" si="15"/>
        <v>478.88299999999998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20.70000000000001</v>
      </c>
      <c r="B31" s="95">
        <f t="shared" si="1"/>
        <v>478.64299999999997</v>
      </c>
      <c r="C31" s="96" t="str">
        <f t="shared" si="5"/>
        <v/>
      </c>
      <c r="D31" s="190"/>
      <c r="E31" s="117">
        <v>0.55000000000000004</v>
      </c>
      <c r="X31" s="107"/>
      <c r="Y31" s="108"/>
      <c r="Z31" s="109"/>
      <c r="AA31" s="110">
        <v>0.24</v>
      </c>
      <c r="AB31" s="111"/>
      <c r="AC31" s="112" t="str">
        <f t="shared" si="11"/>
        <v/>
      </c>
      <c r="AD31" s="113">
        <f t="shared" si="13"/>
        <v>478.64299999999997</v>
      </c>
      <c r="AE31" s="114">
        <v>0.3</v>
      </c>
      <c r="AF31" s="113">
        <f t="shared" si="12"/>
        <v>20.70000000000001</v>
      </c>
      <c r="AG31" s="118"/>
      <c r="AH31" s="86">
        <f t="shared" si="2"/>
        <v>481.00700000000001</v>
      </c>
      <c r="AI31" s="86">
        <f t="shared" si="6"/>
        <v>481.00700000000001</v>
      </c>
      <c r="AJ31" s="86" t="str">
        <f t="shared" si="3"/>
        <v>NAOI</v>
      </c>
      <c r="AK31" s="93">
        <f t="shared" si="15"/>
        <v>478.88299999999998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22.000000000000011</v>
      </c>
      <c r="B32" s="95">
        <f t="shared" si="1"/>
        <v>478.88299999999998</v>
      </c>
      <c r="C32" s="96" t="str">
        <f t="shared" si="5"/>
        <v>NAOD</v>
      </c>
      <c r="D32" s="190"/>
      <c r="E32" s="117">
        <v>0.35</v>
      </c>
      <c r="X32" s="107"/>
      <c r="Y32" s="108"/>
      <c r="Z32" s="109"/>
      <c r="AA32" s="110">
        <v>2.1240000000000001</v>
      </c>
      <c r="AB32" s="111"/>
      <c r="AC32" s="112" t="str">
        <f t="shared" si="11"/>
        <v/>
      </c>
      <c r="AD32" s="113">
        <f t="shared" si="13"/>
        <v>478.88299999999998</v>
      </c>
      <c r="AE32" s="114">
        <v>1.3</v>
      </c>
      <c r="AF32" s="113">
        <f t="shared" si="12"/>
        <v>22.000000000000011</v>
      </c>
      <c r="AG32" s="115" t="s">
        <v>10</v>
      </c>
      <c r="AH32" s="86">
        <f t="shared" si="2"/>
        <v>481.00700000000001</v>
      </c>
      <c r="AI32" s="86">
        <f t="shared" si="6"/>
        <v>481.00700000000001</v>
      </c>
      <c r="AJ32" s="86" t="str">
        <f t="shared" si="3"/>
        <v>NAOD</v>
      </c>
      <c r="AK32" s="93">
        <f t="shared" si="15"/>
        <v>478.88299999999998</v>
      </c>
      <c r="AL32" s="86" t="str">
        <f t="shared" si="7"/>
        <v/>
      </c>
      <c r="AM32" s="93" t="str">
        <f t="shared" si="8"/>
        <v/>
      </c>
      <c r="AN32" s="86">
        <f t="shared" si="9"/>
        <v>478.88299999999998</v>
      </c>
      <c r="AO32" s="86">
        <f t="shared" si="10"/>
        <v>22.000000000000011</v>
      </c>
      <c r="AP32" s="86">
        <f t="shared" si="14"/>
        <v>0</v>
      </c>
    </row>
    <row r="33" spans="1:42" ht="15.75" x14ac:dyDescent="0.25">
      <c r="A33" s="94">
        <f t="shared" si="0"/>
        <v>24.000000000000011</v>
      </c>
      <c r="B33" s="95">
        <f t="shared" si="1"/>
        <v>479.30700000000002</v>
      </c>
      <c r="C33" s="96" t="str">
        <f t="shared" si="5"/>
        <v/>
      </c>
      <c r="D33" s="190"/>
      <c r="X33" s="107"/>
      <c r="Y33" s="108"/>
      <c r="Z33" s="109"/>
      <c r="AA33" s="110">
        <v>1.7</v>
      </c>
      <c r="AB33" s="111"/>
      <c r="AC33" s="112" t="str">
        <f t="shared" si="11"/>
        <v/>
      </c>
      <c r="AD33" s="113">
        <f t="shared" si="13"/>
        <v>479.30700000000002</v>
      </c>
      <c r="AE33" s="114">
        <v>2</v>
      </c>
      <c r="AF33" s="113">
        <f t="shared" si="12"/>
        <v>24.000000000000011</v>
      </c>
      <c r="AG33" s="116"/>
      <c r="AH33" s="86">
        <f t="shared" si="2"/>
        <v>481.00700000000001</v>
      </c>
      <c r="AI33" s="86">
        <f t="shared" si="6"/>
        <v>481.00700000000001</v>
      </c>
      <c r="AJ33" s="86" t="str">
        <f t="shared" si="3"/>
        <v>NAOD</v>
      </c>
      <c r="AK33" s="93">
        <f t="shared" si="15"/>
        <v>479.30700000000002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>
        <f t="shared" si="0"/>
        <v>26.600000000000012</v>
      </c>
      <c r="B34" s="95">
        <f t="shared" si="1"/>
        <v>480.142</v>
      </c>
      <c r="C34" s="96" t="str">
        <f t="shared" si="5"/>
        <v/>
      </c>
      <c r="D34" s="190"/>
      <c r="X34" s="107"/>
      <c r="Y34" s="108"/>
      <c r="Z34" s="109"/>
      <c r="AA34" s="110">
        <v>0.86499999999999999</v>
      </c>
      <c r="AB34" s="111"/>
      <c r="AC34" s="112" t="str">
        <f t="shared" si="11"/>
        <v/>
      </c>
      <c r="AD34" s="113">
        <f t="shared" si="13"/>
        <v>480.142</v>
      </c>
      <c r="AE34" s="114">
        <v>2.6</v>
      </c>
      <c r="AF34" s="113">
        <f t="shared" si="12"/>
        <v>26.600000000000012</v>
      </c>
      <c r="AG34" s="115"/>
      <c r="AH34" s="86">
        <f t="shared" si="2"/>
        <v>481.00700000000001</v>
      </c>
      <c r="AI34" s="86">
        <f t="shared" si="6"/>
        <v>481.00700000000001</v>
      </c>
      <c r="AJ34" s="86" t="str">
        <f t="shared" si="3"/>
        <v>NAOD</v>
      </c>
      <c r="AK34" s="93">
        <f t="shared" si="15"/>
        <v>480.142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>
        <f t="shared" si="0"/>
        <v>28.600000000000012</v>
      </c>
      <c r="B35" s="95">
        <f t="shared" si="1"/>
        <v>483.642</v>
      </c>
      <c r="C35" s="96" t="str">
        <f t="shared" si="5"/>
        <v>PRD</v>
      </c>
      <c r="D35" s="190"/>
      <c r="X35" s="107"/>
      <c r="Y35" s="108"/>
      <c r="Z35" s="109"/>
      <c r="AA35" s="110">
        <v>-2.6349999999999998</v>
      </c>
      <c r="AB35" s="111"/>
      <c r="AC35" s="112" t="str">
        <f t="shared" si="11"/>
        <v/>
      </c>
      <c r="AD35" s="113">
        <f t="shared" si="13"/>
        <v>483.642</v>
      </c>
      <c r="AE35" s="114">
        <v>2</v>
      </c>
      <c r="AF35" s="113">
        <f t="shared" si="12"/>
        <v>28.600000000000012</v>
      </c>
      <c r="AG35" s="116" t="s">
        <v>5</v>
      </c>
      <c r="AH35" s="86">
        <f t="shared" si="2"/>
        <v>481.00700000000001</v>
      </c>
      <c r="AI35" s="86">
        <f t="shared" si="6"/>
        <v>481.00700000000001</v>
      </c>
      <c r="AJ35" s="86" t="str">
        <f t="shared" si="3"/>
        <v>PRD</v>
      </c>
      <c r="AK35" s="93">
        <f t="shared" si="15"/>
        <v>483.642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>
        <f t="shared" si="0"/>
        <v>28.600000000000012</v>
      </c>
      <c r="B36" s="95">
        <f t="shared" si="1"/>
        <v>481.00700000000001</v>
      </c>
      <c r="C36" s="96" t="str">
        <f t="shared" si="5"/>
        <v xml:space="preserve">S/BM </v>
      </c>
      <c r="D36" s="190"/>
      <c r="X36" s="107"/>
      <c r="Y36" s="108"/>
      <c r="Z36" s="109"/>
      <c r="AA36" s="110"/>
      <c r="AB36" s="111"/>
      <c r="AC36" s="112">
        <f t="shared" si="11"/>
        <v>481.00700000000001</v>
      </c>
      <c r="AD36" s="113">
        <f t="shared" si="13"/>
        <v>481.00700000000001</v>
      </c>
      <c r="AE36" s="114">
        <v>0</v>
      </c>
      <c r="AF36" s="113">
        <f t="shared" si="12"/>
        <v>28.600000000000012</v>
      </c>
      <c r="AG36" s="115" t="s">
        <v>46</v>
      </c>
      <c r="AH36" s="86">
        <f t="shared" si="2"/>
        <v>481.00700000000001</v>
      </c>
      <c r="AI36" s="86">
        <f t="shared" si="6"/>
        <v>481.00700000000001</v>
      </c>
      <c r="AJ36" s="86" t="str">
        <f t="shared" si="3"/>
        <v xml:space="preserve">S/BM </v>
      </c>
      <c r="AK36" s="93">
        <f t="shared" si="15"/>
        <v>481.00700000000001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>
        <f t="shared" si="0"/>
        <v>0</v>
      </c>
      <c r="B37" s="95">
        <f t="shared" si="1"/>
        <v>0</v>
      </c>
      <c r="C37" s="96" t="str">
        <f t="shared" si="5"/>
        <v/>
      </c>
      <c r="D37" s="190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 xml:space="preserve">S/BM </v>
      </c>
      <c r="AK37" s="93">
        <f t="shared" si="15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>
        <f t="shared" si="0"/>
        <v>0</v>
      </c>
      <c r="B38" s="95">
        <f t="shared" si="1"/>
        <v>0</v>
      </c>
      <c r="C38" s="96" t="str">
        <f t="shared" si="5"/>
        <v/>
      </c>
      <c r="D38" s="190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 xml:space="preserve">S/BM </v>
      </c>
      <c r="AK38" s="93">
        <f t="shared" si="15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>
        <f t="shared" si="0"/>
        <v>0</v>
      </c>
      <c r="B39" s="95">
        <f t="shared" si="1"/>
        <v>0</v>
      </c>
      <c r="C39" s="96" t="str">
        <f t="shared" si="5"/>
        <v/>
      </c>
      <c r="D39" s="190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6"/>
        <v>0</v>
      </c>
      <c r="AJ39" s="86" t="str">
        <f t="shared" si="3"/>
        <v xml:space="preserve">S/BM </v>
      </c>
      <c r="AK39" s="93">
        <f t="shared" si="15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>
        <f t="shared" si="0"/>
        <v>0</v>
      </c>
      <c r="B40" s="95">
        <f t="shared" si="1"/>
        <v>0</v>
      </c>
      <c r="C40" s="96" t="str">
        <f t="shared" si="5"/>
        <v/>
      </c>
      <c r="D40" s="190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 xml:space="preserve">S/BM </v>
      </c>
      <c r="AK40" s="93">
        <f t="shared" si="15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>
        <f t="shared" si="0"/>
        <v>0</v>
      </c>
      <c r="B41" s="95">
        <f t="shared" si="1"/>
        <v>0</v>
      </c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 xml:space="preserve">S/BM 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>
        <f t="shared" si="0"/>
        <v>0</v>
      </c>
      <c r="B42" s="95">
        <f t="shared" si="1"/>
        <v>0</v>
      </c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 xml:space="preserve">S/BM 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>
        <f t="shared" si="0"/>
        <v>0</v>
      </c>
      <c r="B43" s="95">
        <f t="shared" si="1"/>
        <v>0</v>
      </c>
      <c r="C43" s="96" t="str">
        <f t="shared" si="5"/>
        <v/>
      </c>
      <c r="D43" s="190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 xml:space="preserve">S/BM 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>
        <f t="shared" si="0"/>
        <v>0</v>
      </c>
      <c r="B44" s="95">
        <f t="shared" si="1"/>
        <v>0</v>
      </c>
      <c r="C44" s="96" t="str">
        <f t="shared" si="5"/>
        <v/>
      </c>
      <c r="D44" s="190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 xml:space="preserve">S/BM 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>
        <f t="shared" si="0"/>
        <v>0</v>
      </c>
      <c r="B45" s="95">
        <f t="shared" si="1"/>
        <v>0</v>
      </c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>
        <f t="shared" si="0"/>
        <v>0</v>
      </c>
      <c r="B46" s="95">
        <f t="shared" si="1"/>
        <v>0</v>
      </c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>
        <f t="shared" si="0"/>
        <v>0</v>
      </c>
      <c r="B47" s="95">
        <f t="shared" si="1"/>
        <v>0</v>
      </c>
      <c r="C47" s="96" t="str">
        <f t="shared" ref="C47:C51" si="16">IF(AG47="","",AG47)</f>
        <v/>
      </c>
      <c r="D47" s="190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>
        <f t="shared" si="0"/>
        <v>0</v>
      </c>
      <c r="B48" s="95">
        <f t="shared" si="1"/>
        <v>0</v>
      </c>
      <c r="C48" s="96" t="str">
        <f t="shared" si="16"/>
        <v/>
      </c>
      <c r="D48" s="190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7">IF(AJ47="S/BM",1,0)</f>
        <v>0</v>
      </c>
    </row>
    <row r="49" spans="1:42" ht="15.75" x14ac:dyDescent="0.25">
      <c r="A49" s="94">
        <f t="shared" si="0"/>
        <v>0</v>
      </c>
      <c r="B49" s="95">
        <f t="shared" si="1"/>
        <v>0</v>
      </c>
      <c r="C49" s="96" t="str">
        <f t="shared" si="16"/>
        <v/>
      </c>
      <c r="D49" s="190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7"/>
        <v>0</v>
      </c>
    </row>
    <row r="50" spans="1:42" ht="15.75" x14ac:dyDescent="0.25">
      <c r="A50" s="94">
        <f t="shared" si="0"/>
        <v>0</v>
      </c>
      <c r="B50" s="95">
        <f t="shared" si="1"/>
        <v>0</v>
      </c>
      <c r="C50" s="96" t="str">
        <f t="shared" si="16"/>
        <v/>
      </c>
      <c r="D50" s="190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7"/>
        <v>0</v>
      </c>
    </row>
    <row r="51" spans="1:42" ht="16.5" thickBot="1" x14ac:dyDescent="0.3">
      <c r="A51" s="122">
        <f t="shared" si="0"/>
        <v>0</v>
      </c>
      <c r="B51" s="123">
        <f t="shared" si="1"/>
        <v>0</v>
      </c>
      <c r="C51" s="96" t="str">
        <f t="shared" si="16"/>
        <v/>
      </c>
      <c r="D51" s="190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7"/>
        <v>0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14.6</v>
      </c>
      <c r="B53" s="136">
        <f>AL4</f>
        <v>478.88299999999998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22.000000000000011</v>
      </c>
      <c r="B54" s="136">
        <f>AN4</f>
        <v>478.88299999999998</v>
      </c>
      <c r="C54" s="139" t="s">
        <v>10</v>
      </c>
      <c r="D54" s="178"/>
    </row>
    <row r="55" spans="1:42" ht="20.100000000000001" customHeight="1" x14ac:dyDescent="0.2">
      <c r="A55" s="140">
        <v>14.6</v>
      </c>
      <c r="B55" s="141">
        <v>478.33499999999998</v>
      </c>
      <c r="C55" s="142" t="s">
        <v>8</v>
      </c>
      <c r="D55" s="178"/>
    </row>
    <row r="56" spans="1:42" ht="20.100000000000001" customHeight="1" x14ac:dyDescent="0.2">
      <c r="A56" s="140">
        <v>14.6</v>
      </c>
      <c r="B56" s="143">
        <f>B55+2</f>
        <v>480.33499999999998</v>
      </c>
      <c r="C56" s="142" t="s">
        <v>8</v>
      </c>
      <c r="D56" s="178"/>
    </row>
    <row r="57" spans="1:42" ht="20.100000000000001" customHeight="1" x14ac:dyDescent="0.2">
      <c r="A57" s="144">
        <v>15</v>
      </c>
      <c r="B57" s="143">
        <v>479.33699999999999</v>
      </c>
      <c r="C57" s="145" t="s">
        <v>2</v>
      </c>
      <c r="D57" s="178"/>
    </row>
    <row r="58" spans="1:42" ht="20.100000000000001" customHeight="1" thickBot="1" x14ac:dyDescent="0.25">
      <c r="A58" s="140">
        <v>15</v>
      </c>
      <c r="B58" s="143">
        <f>B57+1.5</f>
        <v>480.83699999999999</v>
      </c>
      <c r="C58" s="146" t="s">
        <v>2</v>
      </c>
      <c r="D58" s="178"/>
    </row>
    <row r="59" spans="1:42" ht="13.5" thickBot="1" x14ac:dyDescent="0.25">
      <c r="A59" s="147"/>
      <c r="B59" s="148"/>
      <c r="C59" s="149" t="s">
        <v>7</v>
      </c>
      <c r="D59" s="150"/>
    </row>
    <row r="60" spans="1:42" ht="13.5" thickBot="1" x14ac:dyDescent="0.25">
      <c r="A60" s="151"/>
      <c r="B60" s="148"/>
      <c r="C60" s="149" t="s">
        <v>7</v>
      </c>
      <c r="D60" s="150"/>
    </row>
    <row r="61" spans="1:42" ht="18" x14ac:dyDescent="0.25">
      <c r="A61" s="152" t="s">
        <v>70</v>
      </c>
      <c r="B61" s="153"/>
      <c r="C61" s="164"/>
      <c r="D61" s="150"/>
    </row>
    <row r="62" spans="1:42" ht="18" x14ac:dyDescent="0.25">
      <c r="A62" s="152" t="s">
        <v>50</v>
      </c>
      <c r="B62" s="153"/>
      <c r="C62" s="155">
        <f>B55</f>
        <v>478.33499999999998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63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68</v>
      </c>
      <c r="C69" s="175"/>
    </row>
    <row r="70" spans="1:4" ht="14.25" x14ac:dyDescent="0.2">
      <c r="A70" s="158" t="s">
        <v>57</v>
      </c>
      <c r="B70" s="175" t="s">
        <v>68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42989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558" priority="84" stopIfTrue="1">
      <formula>$AP$47=1</formula>
    </cfRule>
  </conditionalFormatting>
  <conditionalFormatting sqref="AC46:AF46">
    <cfRule type="expression" dxfId="557" priority="83" stopIfTrue="1">
      <formula>$AP$46</formula>
    </cfRule>
  </conditionalFormatting>
  <conditionalFormatting sqref="AC50:AF50">
    <cfRule type="expression" dxfId="556" priority="82" stopIfTrue="1">
      <formula>$AP$50=1</formula>
    </cfRule>
  </conditionalFormatting>
  <conditionalFormatting sqref="AC51:AF51">
    <cfRule type="expression" dxfId="555" priority="81" stopIfTrue="1">
      <formula>$AP$51=1</formula>
    </cfRule>
  </conditionalFormatting>
  <conditionalFormatting sqref="AC49:AF49">
    <cfRule type="expression" dxfId="554" priority="80" stopIfTrue="1">
      <formula>$AP$49=1</formula>
    </cfRule>
  </conditionalFormatting>
  <conditionalFormatting sqref="AC48:AF48">
    <cfRule type="expression" dxfId="553" priority="79" stopIfTrue="1">
      <formula>$AP$48=1</formula>
    </cfRule>
  </conditionalFormatting>
  <conditionalFormatting sqref="AC45:AF45">
    <cfRule type="expression" dxfId="552" priority="78" stopIfTrue="1">
      <formula>$AP$45=1</formula>
    </cfRule>
  </conditionalFormatting>
  <conditionalFormatting sqref="AC44:AF44">
    <cfRule type="expression" dxfId="551" priority="77" stopIfTrue="1">
      <formula>$AP$44=1</formula>
    </cfRule>
  </conditionalFormatting>
  <conditionalFormatting sqref="AC43:AF43">
    <cfRule type="expression" dxfId="550" priority="76" stopIfTrue="1">
      <formula>$AP$43=1</formula>
    </cfRule>
  </conditionalFormatting>
  <conditionalFormatting sqref="AC42:AF42">
    <cfRule type="expression" dxfId="549" priority="75" stopIfTrue="1">
      <formula>$AP$42=1</formula>
    </cfRule>
  </conditionalFormatting>
  <conditionalFormatting sqref="AC41:AF41">
    <cfRule type="expression" dxfId="548" priority="74" stopIfTrue="1">
      <formula>$AP$41=1</formula>
    </cfRule>
  </conditionalFormatting>
  <conditionalFormatting sqref="AC40:AF40">
    <cfRule type="expression" dxfId="547" priority="73" stopIfTrue="1">
      <formula>$AP$40=1</formula>
    </cfRule>
  </conditionalFormatting>
  <conditionalFormatting sqref="AC39:AF39">
    <cfRule type="expression" dxfId="546" priority="72" stopIfTrue="1">
      <formula>$AP$39=1</formula>
    </cfRule>
  </conditionalFormatting>
  <conditionalFormatting sqref="AC38:AF38">
    <cfRule type="expression" dxfId="545" priority="71" stopIfTrue="1">
      <formula>$AP$38=1</formula>
    </cfRule>
  </conditionalFormatting>
  <conditionalFormatting sqref="AC37:AF37">
    <cfRule type="expression" dxfId="544" priority="70" stopIfTrue="1">
      <formula>$AP$37=1</formula>
    </cfRule>
  </conditionalFormatting>
  <conditionalFormatting sqref="AC36:AF36">
    <cfRule type="expression" dxfId="543" priority="69" stopIfTrue="1">
      <formula>$AP$36=1</formula>
    </cfRule>
  </conditionalFormatting>
  <conditionalFormatting sqref="AC35:AF35">
    <cfRule type="expression" dxfId="542" priority="67" stopIfTrue="1">
      <formula>$AP$35=1</formula>
    </cfRule>
    <cfRule type="expression" dxfId="541" priority="68" stopIfTrue="1">
      <formula>$AP$35=1</formula>
    </cfRule>
  </conditionalFormatting>
  <conditionalFormatting sqref="AC34:AF34">
    <cfRule type="expression" dxfId="540" priority="66" stopIfTrue="1">
      <formula>$AP$34=1</formula>
    </cfRule>
  </conditionalFormatting>
  <conditionalFormatting sqref="AC33:AF33">
    <cfRule type="expression" dxfId="539" priority="65" stopIfTrue="1">
      <formula>$AP$33=1</formula>
    </cfRule>
  </conditionalFormatting>
  <conditionalFormatting sqref="AC32:AF32">
    <cfRule type="expression" dxfId="538" priority="64" stopIfTrue="1">
      <formula>$AP$32=1</formula>
    </cfRule>
  </conditionalFormatting>
  <conditionalFormatting sqref="AC31:AF31">
    <cfRule type="expression" dxfId="537" priority="63" stopIfTrue="1">
      <formula>$AP$31=1</formula>
    </cfRule>
  </conditionalFormatting>
  <conditionalFormatting sqref="AC30:AF30">
    <cfRule type="expression" dxfId="536" priority="62" stopIfTrue="1">
      <formula>$AP$30</formula>
    </cfRule>
  </conditionalFormatting>
  <conditionalFormatting sqref="AC29:AD29 AF29">
    <cfRule type="expression" dxfId="535" priority="61" stopIfTrue="1">
      <formula>$AP$29=1</formula>
    </cfRule>
  </conditionalFormatting>
  <conditionalFormatting sqref="AC28:AD28 AF28">
    <cfRule type="expression" dxfId="534" priority="60" stopIfTrue="1">
      <formula>$AP$28=1</formula>
    </cfRule>
  </conditionalFormatting>
  <conditionalFormatting sqref="AC27:AD27 AF27">
    <cfRule type="expression" dxfId="533" priority="59" stopIfTrue="1">
      <formula>$AP$27=1</formula>
    </cfRule>
  </conditionalFormatting>
  <conditionalFormatting sqref="AC26:AD26 AF26">
    <cfRule type="expression" dxfId="532" priority="58" stopIfTrue="1">
      <formula>$AP$26=1</formula>
    </cfRule>
  </conditionalFormatting>
  <conditionalFormatting sqref="AC25:AD25 AF25">
    <cfRule type="expression" dxfId="531" priority="57" stopIfTrue="1">
      <formula>$AP$25=1</formula>
    </cfRule>
  </conditionalFormatting>
  <conditionalFormatting sqref="AC24:AD24 AF24">
    <cfRule type="expression" dxfId="530" priority="56" stopIfTrue="1">
      <formula>$AP$24=1</formula>
    </cfRule>
  </conditionalFormatting>
  <conditionalFormatting sqref="AC23:AD23 AF23">
    <cfRule type="expression" dxfId="529" priority="55" stopIfTrue="1">
      <formula>$AP$23=1</formula>
    </cfRule>
  </conditionalFormatting>
  <conditionalFormatting sqref="AC22:AD22 AF22">
    <cfRule type="expression" dxfId="528" priority="54" stopIfTrue="1">
      <formula>$AP$22=1</formula>
    </cfRule>
  </conditionalFormatting>
  <conditionalFormatting sqref="AC21:AD21 AF21">
    <cfRule type="expression" dxfId="527" priority="53" stopIfTrue="1">
      <formula>$AP$21=1</formula>
    </cfRule>
  </conditionalFormatting>
  <conditionalFormatting sqref="AC20:AD20 AF20">
    <cfRule type="expression" dxfId="526" priority="52" stopIfTrue="1">
      <formula>$AP$20=1</formula>
    </cfRule>
  </conditionalFormatting>
  <conditionalFormatting sqref="AC19:AD19 AF19">
    <cfRule type="expression" dxfId="525" priority="51" stopIfTrue="1">
      <formula>$AP$19=1</formula>
    </cfRule>
  </conditionalFormatting>
  <conditionalFormatting sqref="AC18:AD18 AF18">
    <cfRule type="expression" dxfId="524" priority="50" stopIfTrue="1">
      <formula>$AP$18=1</formula>
    </cfRule>
  </conditionalFormatting>
  <conditionalFormatting sqref="AC17:AD17 AF17">
    <cfRule type="expression" dxfId="523" priority="49" stopIfTrue="1">
      <formula>$AP$17=1</formula>
    </cfRule>
  </conditionalFormatting>
  <conditionalFormatting sqref="AC16:AD16 AF16">
    <cfRule type="expression" dxfId="522" priority="48" stopIfTrue="1">
      <formula>$AP$16=1</formula>
    </cfRule>
  </conditionalFormatting>
  <conditionalFormatting sqref="AC15:AD15 AF15">
    <cfRule type="expression" dxfId="521" priority="47" stopIfTrue="1">
      <formula>$AP$15=1</formula>
    </cfRule>
  </conditionalFormatting>
  <conditionalFormatting sqref="AC14:AD14 AF14">
    <cfRule type="expression" dxfId="520" priority="46" stopIfTrue="1">
      <formula>$AP$14=1</formula>
    </cfRule>
  </conditionalFormatting>
  <conditionalFormatting sqref="AC13:AD13 AF13">
    <cfRule type="expression" dxfId="519" priority="45" stopIfTrue="1">
      <formula>$AP$13=1</formula>
    </cfRule>
  </conditionalFormatting>
  <conditionalFormatting sqref="AC12:AF12 AE13:AE29">
    <cfRule type="expression" dxfId="518" priority="44" stopIfTrue="1">
      <formula>$AP$12=1</formula>
    </cfRule>
  </conditionalFormatting>
  <conditionalFormatting sqref="AC11:AF11">
    <cfRule type="expression" dxfId="517" priority="43" stopIfTrue="1">
      <formula>$AP$11=1</formula>
    </cfRule>
  </conditionalFormatting>
  <conditionalFormatting sqref="A51:B51">
    <cfRule type="expression" dxfId="516" priority="42" stopIfTrue="1">
      <formula>$AP$51=1</formula>
    </cfRule>
  </conditionalFormatting>
  <conditionalFormatting sqref="A50:B50">
    <cfRule type="expression" dxfId="515" priority="41" stopIfTrue="1">
      <formula>$AP$50=1</formula>
    </cfRule>
  </conditionalFormatting>
  <conditionalFormatting sqref="A49:B49">
    <cfRule type="expression" dxfId="514" priority="40" stopIfTrue="1">
      <formula>$AP$49=1</formula>
    </cfRule>
  </conditionalFormatting>
  <conditionalFormatting sqref="A48:B48">
    <cfRule type="expression" dxfId="513" priority="39" stopIfTrue="1">
      <formula>$AP$48=1</formula>
    </cfRule>
  </conditionalFormatting>
  <conditionalFormatting sqref="A47:B47">
    <cfRule type="expression" dxfId="512" priority="38" stopIfTrue="1">
      <formula>$AP$47=1</formula>
    </cfRule>
  </conditionalFormatting>
  <conditionalFormatting sqref="A46:B46">
    <cfRule type="expression" dxfId="511" priority="37" stopIfTrue="1">
      <formula>$AP$46=1</formula>
    </cfRule>
  </conditionalFormatting>
  <conditionalFormatting sqref="A45:B45">
    <cfRule type="expression" dxfId="510" priority="36" stopIfTrue="1">
      <formula>$AP$45=1</formula>
    </cfRule>
  </conditionalFormatting>
  <conditionalFormatting sqref="A44:B44">
    <cfRule type="expression" dxfId="509" priority="35" stopIfTrue="1">
      <formula>$AP$44=1</formula>
    </cfRule>
  </conditionalFormatting>
  <conditionalFormatting sqref="A43:B43">
    <cfRule type="expression" dxfId="508" priority="34" stopIfTrue="1">
      <formula>$AP$43=1</formula>
    </cfRule>
  </conditionalFormatting>
  <conditionalFormatting sqref="A42:B42">
    <cfRule type="expression" dxfId="507" priority="33" stopIfTrue="1">
      <formula>$AP$42=1</formula>
    </cfRule>
  </conditionalFormatting>
  <conditionalFormatting sqref="A41:B41">
    <cfRule type="expression" dxfId="506" priority="32" stopIfTrue="1">
      <formula>$AP$41=1</formula>
    </cfRule>
  </conditionalFormatting>
  <conditionalFormatting sqref="A40:B40">
    <cfRule type="expression" dxfId="505" priority="31" stopIfTrue="1">
      <formula>$AP$40=1</formula>
    </cfRule>
  </conditionalFormatting>
  <conditionalFormatting sqref="A39:B39">
    <cfRule type="expression" dxfId="504" priority="30" stopIfTrue="1">
      <formula>$AP$39=1</formula>
    </cfRule>
  </conditionalFormatting>
  <conditionalFormatting sqref="A38:B38">
    <cfRule type="expression" dxfId="503" priority="29" stopIfTrue="1">
      <formula>$AP$38=1</formula>
    </cfRule>
  </conditionalFormatting>
  <conditionalFormatting sqref="A37:B37">
    <cfRule type="expression" dxfId="502" priority="28" stopIfTrue="1">
      <formula>$AP$37=1</formula>
    </cfRule>
  </conditionalFormatting>
  <conditionalFormatting sqref="A36:B36">
    <cfRule type="expression" dxfId="501" priority="27" stopIfTrue="1">
      <formula>$AP$36=1</formula>
    </cfRule>
  </conditionalFormatting>
  <conditionalFormatting sqref="A35:B35">
    <cfRule type="expression" dxfId="500" priority="26" stopIfTrue="1">
      <formula>$AP$35=1</formula>
    </cfRule>
  </conditionalFormatting>
  <conditionalFormatting sqref="A34:B34">
    <cfRule type="expression" dxfId="499" priority="25" stopIfTrue="1">
      <formula>$AP$34=1</formula>
    </cfRule>
  </conditionalFormatting>
  <conditionalFormatting sqref="A33:B33">
    <cfRule type="expression" dxfId="498" priority="24" stopIfTrue="1">
      <formula>$AP$33=1</formula>
    </cfRule>
  </conditionalFormatting>
  <conditionalFormatting sqref="A32:B32">
    <cfRule type="expression" dxfId="497" priority="23" stopIfTrue="1">
      <formula>$AP$32=1</formula>
    </cfRule>
  </conditionalFormatting>
  <conditionalFormatting sqref="A31:B31">
    <cfRule type="expression" dxfId="496" priority="22" stopIfTrue="1">
      <formula>$AP$31=1</formula>
    </cfRule>
  </conditionalFormatting>
  <conditionalFormatting sqref="A30:B30">
    <cfRule type="expression" dxfId="495" priority="21" stopIfTrue="1">
      <formula>$AP$30=1</formula>
    </cfRule>
  </conditionalFormatting>
  <conditionalFormatting sqref="A29:B29">
    <cfRule type="expression" dxfId="494" priority="20" stopIfTrue="1">
      <formula>$AP$29=1</formula>
    </cfRule>
  </conditionalFormatting>
  <conditionalFormatting sqref="A28:B28">
    <cfRule type="expression" dxfId="493" priority="19" stopIfTrue="1">
      <formula>$AP$28=1</formula>
    </cfRule>
  </conditionalFormatting>
  <conditionalFormatting sqref="A27:B27">
    <cfRule type="expression" dxfId="492" priority="18" stopIfTrue="1">
      <formula>$AP$27=1</formula>
    </cfRule>
  </conditionalFormatting>
  <conditionalFormatting sqref="A26:B26">
    <cfRule type="expression" dxfId="491" priority="17" stopIfTrue="1">
      <formula>$AP$26=1</formula>
    </cfRule>
  </conditionalFormatting>
  <conditionalFormatting sqref="A25:B25">
    <cfRule type="expression" dxfId="490" priority="16" stopIfTrue="1">
      <formula>$AP$25=1</formula>
    </cfRule>
  </conditionalFormatting>
  <conditionalFormatting sqref="A24:B24">
    <cfRule type="expression" dxfId="489" priority="15" stopIfTrue="1">
      <formula>$AP$24=1</formula>
    </cfRule>
  </conditionalFormatting>
  <conditionalFormatting sqref="A23:B23">
    <cfRule type="expression" dxfId="488" priority="14" stopIfTrue="1">
      <formula>$AP$23=1</formula>
    </cfRule>
  </conditionalFormatting>
  <conditionalFormatting sqref="A22:B22">
    <cfRule type="expression" dxfId="487" priority="13" stopIfTrue="1">
      <formula>$AP$22=1</formula>
    </cfRule>
  </conditionalFormatting>
  <conditionalFormatting sqref="A21:B21">
    <cfRule type="expression" dxfId="486" priority="12" stopIfTrue="1">
      <formula>$AP$21=1</formula>
    </cfRule>
  </conditionalFormatting>
  <conditionalFormatting sqref="A20:B20">
    <cfRule type="expression" dxfId="485" priority="11" stopIfTrue="1">
      <formula>$AP$20=1</formula>
    </cfRule>
  </conditionalFormatting>
  <conditionalFormatting sqref="A19:B19">
    <cfRule type="expression" dxfId="484" priority="10" stopIfTrue="1">
      <formula>$AP$19=1</formula>
    </cfRule>
  </conditionalFormatting>
  <conditionalFormatting sqref="A18:B18">
    <cfRule type="expression" dxfId="483" priority="9" stopIfTrue="1">
      <formula>$AP$18=1</formula>
    </cfRule>
  </conditionalFormatting>
  <conditionalFormatting sqref="A17:B17">
    <cfRule type="expression" dxfId="482" priority="8" stopIfTrue="1">
      <formula>$AP$17=1</formula>
    </cfRule>
  </conditionalFormatting>
  <conditionalFormatting sqref="A16:B16">
    <cfRule type="expression" dxfId="481" priority="7" stopIfTrue="1">
      <formula>$AP$16=1</formula>
    </cfRule>
  </conditionalFormatting>
  <conditionalFormatting sqref="A15:B15">
    <cfRule type="expression" dxfId="480" priority="6" stopIfTrue="1">
      <formula>$AP$15=1</formula>
    </cfRule>
  </conditionalFormatting>
  <conditionalFormatting sqref="A14:B14">
    <cfRule type="expression" dxfId="479" priority="5" stopIfTrue="1">
      <formula>$AP$14=1</formula>
    </cfRule>
  </conditionalFormatting>
  <conditionalFormatting sqref="A13:B13">
    <cfRule type="expression" dxfId="478" priority="4" stopIfTrue="1">
      <formula>$AP$13=1</formula>
    </cfRule>
  </conditionalFormatting>
  <conditionalFormatting sqref="A12:B12">
    <cfRule type="expression" dxfId="477" priority="3" stopIfTrue="1">
      <formula>$AP$12=1</formula>
    </cfRule>
  </conditionalFormatting>
  <conditionalFormatting sqref="A11:B11">
    <cfRule type="expression" dxfId="476" priority="2" stopIfTrue="1">
      <formula>$AP$11=1</formula>
    </cfRule>
  </conditionalFormatting>
  <conditionalFormatting sqref="A10:B10">
    <cfRule type="expression" dxfId="475" priority="1" stopIfTrue="1">
      <formula>$AP$10=1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AP75"/>
  <sheetViews>
    <sheetView topLeftCell="A4" zoomScale="70" zoomScaleNormal="70" workbookViewId="0">
      <selection activeCell="A61" sqref="A61"/>
    </sheetView>
  </sheetViews>
  <sheetFormatPr baseColWidth="10" defaultColWidth="11.42578125" defaultRowHeight="12.75" x14ac:dyDescent="0.2"/>
  <cols>
    <col min="1" max="1" width="9.7109375" style="84" customWidth="1"/>
    <col min="2" max="2" width="12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1" t="s">
        <v>73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478.89100000000002</v>
      </c>
      <c r="AM4" s="93">
        <f>SUM(AM5:AM46)</f>
        <v>4.9000000000000004</v>
      </c>
      <c r="AN4" s="93">
        <f>SUM(AN5:AN46)</f>
        <v>478.88799999999998</v>
      </c>
      <c r="AO4" s="93">
        <f>SUM(AO5:AO46)</f>
        <v>12.549999999999994</v>
      </c>
      <c r="AP4" s="86"/>
    </row>
    <row r="5" spans="1:42" ht="15.75" x14ac:dyDescent="0.25">
      <c r="A5" s="94">
        <f t="shared" ref="A5:A31" si="0">AF5</f>
        <v>0</v>
      </c>
      <c r="B5" s="95">
        <f t="shared" ref="B5:B31" si="1">AD5</f>
        <v>480.02</v>
      </c>
      <c r="C5" s="96" t="str">
        <f>IF(AG5="","",AG5)</f>
        <v xml:space="preserve">S/BM </v>
      </c>
      <c r="D5" s="190"/>
      <c r="X5" s="97"/>
      <c r="Y5" s="98"/>
      <c r="Z5" s="99">
        <v>1.163</v>
      </c>
      <c r="AA5" s="100"/>
      <c r="AB5" s="101"/>
      <c r="AC5" s="102">
        <f>IF(AA5="",AD5+Z5,"")</f>
        <v>481.18299999999999</v>
      </c>
      <c r="AD5" s="103">
        <v>480.02</v>
      </c>
      <c r="AE5" s="104">
        <v>0</v>
      </c>
      <c r="AF5" s="105"/>
      <c r="AG5" s="166" t="s">
        <v>46</v>
      </c>
      <c r="AH5" s="86">
        <f t="shared" ref="AH5:AH46" si="2">IF(AND(AJ5="NAOI",AJ5=AJ6),AK5,AI5)</f>
        <v>481.18299999999999</v>
      </c>
      <c r="AI5" s="86">
        <f>IF(AA5="",AC5,AI4)</f>
        <v>481.18299999999999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480.70099999999996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0.48199999999999998</v>
      </c>
      <c r="AB6" s="111"/>
      <c r="AC6" s="112" t="str">
        <f>IF(AA6="",AD6+Z6,"")</f>
        <v/>
      </c>
      <c r="AD6" s="113">
        <f>IF(AA6="",AH5-AB6,AH5-AA6)</f>
        <v>480.70099999999996</v>
      </c>
      <c r="AE6" s="114">
        <v>0</v>
      </c>
      <c r="AF6" s="113">
        <f>AE6</f>
        <v>0</v>
      </c>
      <c r="AG6" s="115" t="s">
        <v>4</v>
      </c>
      <c r="AH6" s="86">
        <f t="shared" si="2"/>
        <v>481.18299999999999</v>
      </c>
      <c r="AI6" s="86">
        <f t="shared" ref="AI6:AI46" si="6">IF(AA6="",AC6,AI5)</f>
        <v>481.18299999999999</v>
      </c>
      <c r="AJ6" s="86" t="str">
        <f t="shared" si="3"/>
        <v>PRI</v>
      </c>
      <c r="AK6" s="93">
        <f t="shared" si="4"/>
        <v>480.70099999999996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1.3</v>
      </c>
      <c r="B7" s="95">
        <f t="shared" si="1"/>
        <v>480.262</v>
      </c>
      <c r="C7" s="96" t="str">
        <f t="shared" si="5"/>
        <v/>
      </c>
      <c r="D7" s="190"/>
      <c r="X7" s="107"/>
      <c r="Y7" s="108"/>
      <c r="Z7" s="109"/>
      <c r="AA7" s="110">
        <v>0.92100000000000004</v>
      </c>
      <c r="AB7" s="111"/>
      <c r="AC7" s="112" t="str">
        <f t="shared" ref="AC7:AC31" si="11">IF(AA7="",AD7+Z7,"")</f>
        <v/>
      </c>
      <c r="AD7" s="113">
        <f>IF(AA7="",AH6-AB7,AH6-AA7)</f>
        <v>480.262</v>
      </c>
      <c r="AE7" s="114">
        <v>1.3</v>
      </c>
      <c r="AF7" s="113">
        <f t="shared" ref="AF7:AF31" si="12">+AF6+AE7</f>
        <v>1.3</v>
      </c>
      <c r="AG7" s="116"/>
      <c r="AH7" s="86">
        <f t="shared" si="2"/>
        <v>481.18299999999999</v>
      </c>
      <c r="AI7" s="86">
        <f t="shared" si="6"/>
        <v>481.18299999999999</v>
      </c>
      <c r="AJ7" s="86" t="str">
        <f t="shared" si="3"/>
        <v>PRI</v>
      </c>
      <c r="AK7" s="93">
        <f t="shared" si="4"/>
        <v>480.262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3.3</v>
      </c>
      <c r="B8" s="95">
        <f t="shared" si="1"/>
        <v>479.16800000000001</v>
      </c>
      <c r="C8" s="96" t="str">
        <f t="shared" si="5"/>
        <v/>
      </c>
      <c r="D8" s="190"/>
      <c r="X8" s="107"/>
      <c r="Y8" s="108"/>
      <c r="Z8" s="109"/>
      <c r="AA8" s="110">
        <v>2.0150000000000001</v>
      </c>
      <c r="AB8" s="111"/>
      <c r="AC8" s="112" t="str">
        <f t="shared" si="11"/>
        <v/>
      </c>
      <c r="AD8" s="113">
        <f>IF(AA8="",AH7-AB8,AH7-AA8)</f>
        <v>479.16800000000001</v>
      </c>
      <c r="AE8" s="114">
        <v>2</v>
      </c>
      <c r="AF8" s="113">
        <f t="shared" si="12"/>
        <v>3.3</v>
      </c>
      <c r="AG8" s="116"/>
      <c r="AH8" s="86">
        <f t="shared" si="2"/>
        <v>481.18299999999999</v>
      </c>
      <c r="AI8" s="86">
        <f t="shared" si="6"/>
        <v>481.18299999999999</v>
      </c>
      <c r="AJ8" s="86" t="str">
        <f t="shared" si="3"/>
        <v>PRI</v>
      </c>
      <c r="AK8" s="93">
        <f t="shared" si="4"/>
        <v>479.16800000000001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4.9000000000000004</v>
      </c>
      <c r="B9" s="95">
        <f t="shared" si="1"/>
        <v>478.89100000000002</v>
      </c>
      <c r="C9" s="96" t="str">
        <f t="shared" si="5"/>
        <v>NAOI</v>
      </c>
      <c r="D9" s="190"/>
      <c r="X9" s="107"/>
      <c r="Y9" s="108"/>
      <c r="Z9" s="109"/>
      <c r="AA9" s="110">
        <v>2.2919999999999998</v>
      </c>
      <c r="AB9" s="111"/>
      <c r="AC9" s="112" t="str">
        <f t="shared" si="11"/>
        <v/>
      </c>
      <c r="AD9" s="113">
        <f>IF(AA9="",AH8-AB9,AH8-AA9)</f>
        <v>478.89100000000002</v>
      </c>
      <c r="AE9" s="114">
        <v>1.6</v>
      </c>
      <c r="AF9" s="113">
        <f t="shared" si="12"/>
        <v>4.9000000000000004</v>
      </c>
      <c r="AG9" s="115" t="s">
        <v>9</v>
      </c>
      <c r="AH9" s="86">
        <f t="shared" si="2"/>
        <v>478.89100000000002</v>
      </c>
      <c r="AI9" s="86">
        <f t="shared" si="6"/>
        <v>481.18299999999999</v>
      </c>
      <c r="AJ9" s="86" t="str">
        <f t="shared" si="3"/>
        <v>NAOI</v>
      </c>
      <c r="AK9" s="93">
        <f t="shared" si="4"/>
        <v>478.89100000000002</v>
      </c>
      <c r="AL9" s="86">
        <f t="shared" si="7"/>
        <v>478.89100000000002</v>
      </c>
      <c r="AM9" s="93">
        <f t="shared" si="8"/>
        <v>4.9000000000000004</v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5.3500000000000005</v>
      </c>
      <c r="B10" s="95">
        <f t="shared" si="1"/>
        <v>478.78100000000001</v>
      </c>
      <c r="C10" s="96" t="str">
        <f t="shared" si="5"/>
        <v/>
      </c>
      <c r="D10" s="190"/>
      <c r="E10" s="84">
        <f>(B12+B35)/2</f>
        <v>239.37050000000002</v>
      </c>
      <c r="X10" s="107"/>
      <c r="Y10" s="108"/>
      <c r="Z10" s="109"/>
      <c r="AA10" s="110">
        <v>0.11</v>
      </c>
      <c r="AB10" s="111"/>
      <c r="AC10" s="112" t="str">
        <f t="shared" si="11"/>
        <v/>
      </c>
      <c r="AD10" s="113">
        <f t="shared" ref="AD10:AD31" si="13">IF(AJ9="S/BM",AD9,IF(AA10="",AH9-AB10,AH9-AA10))</f>
        <v>478.78100000000001</v>
      </c>
      <c r="AE10" s="114">
        <v>0.45</v>
      </c>
      <c r="AF10" s="113">
        <f t="shared" si="12"/>
        <v>5.3500000000000005</v>
      </c>
      <c r="AG10" s="116"/>
      <c r="AH10" s="86">
        <f t="shared" si="2"/>
        <v>478.89100000000002</v>
      </c>
      <c r="AI10" s="86">
        <f t="shared" si="6"/>
        <v>481.18299999999999</v>
      </c>
      <c r="AJ10" s="86" t="str">
        <f t="shared" si="3"/>
        <v>NAOI</v>
      </c>
      <c r="AK10" s="93">
        <f t="shared" si="4"/>
        <v>478.89100000000002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5.8000000000000007</v>
      </c>
      <c r="B11" s="95">
        <f t="shared" si="1"/>
        <v>478.76100000000002</v>
      </c>
      <c r="C11" s="96" t="str">
        <f t="shared" si="5"/>
        <v/>
      </c>
      <c r="D11" s="190"/>
      <c r="E11" s="117">
        <v>0.33</v>
      </c>
      <c r="X11" s="107"/>
      <c r="Y11" s="108"/>
      <c r="Z11" s="109"/>
      <c r="AA11" s="110">
        <v>0.13</v>
      </c>
      <c r="AB11" s="111"/>
      <c r="AC11" s="112" t="str">
        <f t="shared" si="11"/>
        <v/>
      </c>
      <c r="AD11" s="113">
        <f t="shared" si="13"/>
        <v>478.76100000000002</v>
      </c>
      <c r="AE11" s="114">
        <v>0.45</v>
      </c>
      <c r="AF11" s="113">
        <f t="shared" si="12"/>
        <v>5.8000000000000007</v>
      </c>
      <c r="AG11" s="115"/>
      <c r="AH11" s="86">
        <f t="shared" si="2"/>
        <v>478.89100000000002</v>
      </c>
      <c r="AI11" s="86">
        <f t="shared" si="6"/>
        <v>481.18299999999999</v>
      </c>
      <c r="AJ11" s="86" t="str">
        <f t="shared" si="3"/>
        <v>NAOI</v>
      </c>
      <c r="AK11" s="93">
        <f t="shared" si="4"/>
        <v>478.89100000000002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6.2500000000000009</v>
      </c>
      <c r="B12" s="95">
        <f t="shared" si="1"/>
        <v>478.74100000000004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0.15</v>
      </c>
      <c r="AB12" s="111"/>
      <c r="AC12" s="112" t="str">
        <f>IF(AA12="",AD12+Z12,"")</f>
        <v/>
      </c>
      <c r="AD12" s="113">
        <f t="shared" si="13"/>
        <v>478.74100000000004</v>
      </c>
      <c r="AE12" s="114">
        <v>0.45</v>
      </c>
      <c r="AF12" s="113">
        <f t="shared" si="12"/>
        <v>6.2500000000000009</v>
      </c>
      <c r="AG12" s="115"/>
      <c r="AH12" s="86">
        <f t="shared" si="2"/>
        <v>478.89100000000002</v>
      </c>
      <c r="AI12" s="86">
        <f t="shared" si="6"/>
        <v>481.18299999999999</v>
      </c>
      <c r="AJ12" s="86" t="str">
        <f t="shared" si="3"/>
        <v>NAOI</v>
      </c>
      <c r="AK12" s="93">
        <f t="shared" si="4"/>
        <v>478.89100000000002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6.7000000000000011</v>
      </c>
      <c r="B13" s="95">
        <f t="shared" si="1"/>
        <v>478.73099999999999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0.16</v>
      </c>
      <c r="AB13" s="111"/>
      <c r="AC13" s="112" t="str">
        <f t="shared" si="11"/>
        <v/>
      </c>
      <c r="AD13" s="113">
        <f t="shared" si="13"/>
        <v>478.73099999999999</v>
      </c>
      <c r="AE13" s="114">
        <v>0.45</v>
      </c>
      <c r="AF13" s="113">
        <f t="shared" si="12"/>
        <v>6.7000000000000011</v>
      </c>
      <c r="AG13" s="115"/>
      <c r="AH13" s="86">
        <f t="shared" si="2"/>
        <v>478.89100000000002</v>
      </c>
      <c r="AI13" s="86">
        <f t="shared" si="6"/>
        <v>481.18299999999999</v>
      </c>
      <c r="AJ13" s="86" t="str">
        <f t="shared" si="3"/>
        <v>NAOI</v>
      </c>
      <c r="AK13" s="93">
        <f t="shared" si="4"/>
        <v>478.89100000000002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7.1500000000000012</v>
      </c>
      <c r="B14" s="95">
        <f t="shared" si="1"/>
        <v>478.71100000000001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0.18</v>
      </c>
      <c r="AB14" s="111"/>
      <c r="AC14" s="112" t="str">
        <f t="shared" si="11"/>
        <v/>
      </c>
      <c r="AD14" s="113">
        <f t="shared" si="13"/>
        <v>478.71100000000001</v>
      </c>
      <c r="AE14" s="114">
        <v>0.45</v>
      </c>
      <c r="AF14" s="113">
        <f t="shared" si="12"/>
        <v>7.1500000000000012</v>
      </c>
      <c r="AG14" s="116"/>
      <c r="AH14" s="86">
        <f t="shared" si="2"/>
        <v>478.89100000000002</v>
      </c>
      <c r="AI14" s="86">
        <f t="shared" si="6"/>
        <v>481.18299999999999</v>
      </c>
      <c r="AJ14" s="86" t="str">
        <f t="shared" si="3"/>
        <v>NAOI</v>
      </c>
      <c r="AK14" s="93">
        <f>IF(AND(AJ14="NAOI",AJ13="NAOI"),AK13,AD14)</f>
        <v>478.89100000000002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7.6000000000000014</v>
      </c>
      <c r="B15" s="95">
        <f t="shared" si="1"/>
        <v>478.721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0.17</v>
      </c>
      <c r="AB15" s="111"/>
      <c r="AC15" s="112" t="str">
        <f t="shared" si="11"/>
        <v/>
      </c>
      <c r="AD15" s="113">
        <f t="shared" si="13"/>
        <v>478.721</v>
      </c>
      <c r="AE15" s="114">
        <v>0.45</v>
      </c>
      <c r="AF15" s="113">
        <f t="shared" si="12"/>
        <v>7.6000000000000014</v>
      </c>
      <c r="AG15" s="115"/>
      <c r="AH15" s="86">
        <f t="shared" si="2"/>
        <v>478.89100000000002</v>
      </c>
      <c r="AI15" s="86">
        <f t="shared" si="6"/>
        <v>481.18299999999999</v>
      </c>
      <c r="AJ15" s="86" t="str">
        <f t="shared" si="3"/>
        <v>NAOI</v>
      </c>
      <c r="AK15" s="93">
        <f>IF(AND(AJ15="NAOI",AJ14="NAOI"),AK14,AD15)</f>
        <v>478.89100000000002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8.0500000000000007</v>
      </c>
      <c r="B16" s="95">
        <f t="shared" si="1"/>
        <v>478.721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0.17</v>
      </c>
      <c r="AB16" s="111"/>
      <c r="AC16" s="112" t="str">
        <f t="shared" si="11"/>
        <v/>
      </c>
      <c r="AD16" s="113">
        <f t="shared" si="13"/>
        <v>478.721</v>
      </c>
      <c r="AE16" s="114">
        <v>0.45</v>
      </c>
      <c r="AF16" s="113">
        <f t="shared" si="12"/>
        <v>8.0500000000000007</v>
      </c>
      <c r="AG16" s="118"/>
      <c r="AH16" s="86">
        <f t="shared" si="2"/>
        <v>478.89100000000002</v>
      </c>
      <c r="AI16" s="86">
        <f t="shared" si="6"/>
        <v>481.18299999999999</v>
      </c>
      <c r="AJ16" s="86" t="str">
        <f t="shared" si="3"/>
        <v>NAOI</v>
      </c>
      <c r="AK16" s="93">
        <f>IF(AND(AJ16="NAOI",AJ15="NAOI"),AK15,AD16)</f>
        <v>478.89100000000002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8.5</v>
      </c>
      <c r="B17" s="95">
        <f t="shared" si="1"/>
        <v>478.75100000000003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0.14000000000000001</v>
      </c>
      <c r="AB17" s="111"/>
      <c r="AC17" s="112" t="str">
        <f t="shared" si="11"/>
        <v/>
      </c>
      <c r="AD17" s="113">
        <f t="shared" si="13"/>
        <v>478.75100000000003</v>
      </c>
      <c r="AE17" s="114">
        <v>0.45</v>
      </c>
      <c r="AF17" s="113">
        <f t="shared" si="12"/>
        <v>8.5</v>
      </c>
      <c r="AG17" s="118"/>
      <c r="AH17" s="86">
        <f t="shared" si="2"/>
        <v>478.89100000000002</v>
      </c>
      <c r="AI17" s="86">
        <f t="shared" si="6"/>
        <v>481.18299999999999</v>
      </c>
      <c r="AJ17" s="86" t="str">
        <f t="shared" si="3"/>
        <v>NAOI</v>
      </c>
      <c r="AK17" s="93">
        <f t="shared" ref="AK17:AK46" si="15">IF(AND(AJ17="NAOI",AJ16="NAOI"),AK16,AD17)</f>
        <v>478.89100000000002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8.9499999999999993</v>
      </c>
      <c r="B18" s="95">
        <f t="shared" si="1"/>
        <v>478.661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0.23</v>
      </c>
      <c r="AB18" s="111"/>
      <c r="AC18" s="112" t="str">
        <f t="shared" si="11"/>
        <v/>
      </c>
      <c r="AD18" s="113">
        <f t="shared" si="13"/>
        <v>478.661</v>
      </c>
      <c r="AE18" s="114">
        <v>0.45</v>
      </c>
      <c r="AF18" s="113">
        <f t="shared" si="12"/>
        <v>8.9499999999999993</v>
      </c>
      <c r="AG18" s="118"/>
      <c r="AH18" s="86">
        <f t="shared" si="2"/>
        <v>478.89100000000002</v>
      </c>
      <c r="AI18" s="86">
        <f t="shared" si="6"/>
        <v>481.18299999999999</v>
      </c>
      <c r="AJ18" s="86" t="str">
        <f t="shared" si="3"/>
        <v>NAOI</v>
      </c>
      <c r="AK18" s="93">
        <f t="shared" si="15"/>
        <v>478.89100000000002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9.3999999999999986</v>
      </c>
      <c r="B19" s="95">
        <f t="shared" si="1"/>
        <v>478.67099999999999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0.22</v>
      </c>
      <c r="AB19" s="111"/>
      <c r="AC19" s="112" t="str">
        <f t="shared" si="11"/>
        <v/>
      </c>
      <c r="AD19" s="113">
        <f t="shared" si="13"/>
        <v>478.67099999999999</v>
      </c>
      <c r="AE19" s="114">
        <v>0.45</v>
      </c>
      <c r="AF19" s="113">
        <f t="shared" si="12"/>
        <v>9.3999999999999986</v>
      </c>
      <c r="AG19" s="118"/>
      <c r="AH19" s="86">
        <f t="shared" si="2"/>
        <v>478.89100000000002</v>
      </c>
      <c r="AI19" s="86">
        <f t="shared" si="6"/>
        <v>481.18299999999999</v>
      </c>
      <c r="AJ19" s="86" t="str">
        <f t="shared" si="3"/>
        <v>NAOI</v>
      </c>
      <c r="AK19" s="93">
        <f t="shared" si="15"/>
        <v>478.89100000000002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9.8499999999999979</v>
      </c>
      <c r="B20" s="95">
        <f t="shared" si="1"/>
        <v>478.65100000000001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0.24</v>
      </c>
      <c r="AB20" s="111"/>
      <c r="AC20" s="112" t="str">
        <f t="shared" si="11"/>
        <v/>
      </c>
      <c r="AD20" s="113">
        <f t="shared" si="13"/>
        <v>478.65100000000001</v>
      </c>
      <c r="AE20" s="114">
        <v>0.45</v>
      </c>
      <c r="AF20" s="113">
        <f t="shared" si="12"/>
        <v>9.8499999999999979</v>
      </c>
      <c r="AG20" s="118"/>
      <c r="AH20" s="86">
        <f t="shared" si="2"/>
        <v>478.89100000000002</v>
      </c>
      <c r="AI20" s="86">
        <f t="shared" si="6"/>
        <v>481.18299999999999</v>
      </c>
      <c r="AJ20" s="86" t="str">
        <f t="shared" si="3"/>
        <v>NAOI</v>
      </c>
      <c r="AK20" s="93">
        <f t="shared" si="15"/>
        <v>478.89100000000002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10.299999999999997</v>
      </c>
      <c r="B21" s="95">
        <f t="shared" si="1"/>
        <v>478.721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0.17</v>
      </c>
      <c r="AB21" s="111"/>
      <c r="AC21" s="112" t="str">
        <f t="shared" si="11"/>
        <v/>
      </c>
      <c r="AD21" s="113">
        <f t="shared" si="13"/>
        <v>478.721</v>
      </c>
      <c r="AE21" s="114">
        <v>0.45</v>
      </c>
      <c r="AF21" s="113">
        <f t="shared" si="12"/>
        <v>10.299999999999997</v>
      </c>
      <c r="AG21" s="118"/>
      <c r="AH21" s="86">
        <f t="shared" si="2"/>
        <v>478.89100000000002</v>
      </c>
      <c r="AI21" s="86">
        <f t="shared" si="6"/>
        <v>481.18299999999999</v>
      </c>
      <c r="AJ21" s="86" t="str">
        <f t="shared" si="3"/>
        <v>NAOI</v>
      </c>
      <c r="AK21" s="93">
        <f t="shared" si="15"/>
        <v>478.89100000000002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10.749999999999996</v>
      </c>
      <c r="B22" s="95">
        <f t="shared" si="1"/>
        <v>478.58100000000002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0.31</v>
      </c>
      <c r="AB22" s="111"/>
      <c r="AC22" s="112" t="str">
        <f t="shared" si="11"/>
        <v/>
      </c>
      <c r="AD22" s="113">
        <f t="shared" si="13"/>
        <v>478.58100000000002</v>
      </c>
      <c r="AE22" s="114">
        <v>0.45</v>
      </c>
      <c r="AF22" s="113">
        <f t="shared" si="12"/>
        <v>10.749999999999996</v>
      </c>
      <c r="AG22" s="118"/>
      <c r="AH22" s="86">
        <f t="shared" si="2"/>
        <v>478.89100000000002</v>
      </c>
      <c r="AI22" s="86">
        <f t="shared" si="6"/>
        <v>481.18299999999999</v>
      </c>
      <c r="AJ22" s="86" t="str">
        <f t="shared" si="3"/>
        <v>NAOI</v>
      </c>
      <c r="AK22" s="93">
        <f t="shared" si="15"/>
        <v>478.89100000000002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11.199999999999996</v>
      </c>
      <c r="B23" s="95">
        <f t="shared" si="1"/>
        <v>478.61100000000005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0.28000000000000003</v>
      </c>
      <c r="AB23" s="111"/>
      <c r="AC23" s="112" t="str">
        <f t="shared" si="11"/>
        <v/>
      </c>
      <c r="AD23" s="113">
        <f t="shared" si="13"/>
        <v>478.61100000000005</v>
      </c>
      <c r="AE23" s="114">
        <v>0.45</v>
      </c>
      <c r="AF23" s="113">
        <f t="shared" si="12"/>
        <v>11.199999999999996</v>
      </c>
      <c r="AG23" s="118"/>
      <c r="AH23" s="86">
        <f t="shared" si="2"/>
        <v>478.89100000000002</v>
      </c>
      <c r="AI23" s="86">
        <f t="shared" si="6"/>
        <v>481.18299999999999</v>
      </c>
      <c r="AJ23" s="86" t="str">
        <f t="shared" si="3"/>
        <v>NAOI</v>
      </c>
      <c r="AK23" s="93">
        <f t="shared" si="15"/>
        <v>478.89100000000002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11.649999999999995</v>
      </c>
      <c r="B24" s="95">
        <f t="shared" si="1"/>
        <v>478.64100000000002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0.25</v>
      </c>
      <c r="AB24" s="111"/>
      <c r="AC24" s="112" t="str">
        <f t="shared" si="11"/>
        <v/>
      </c>
      <c r="AD24" s="113">
        <f t="shared" si="13"/>
        <v>478.64100000000002</v>
      </c>
      <c r="AE24" s="114">
        <v>0.45</v>
      </c>
      <c r="AF24" s="113">
        <f t="shared" si="12"/>
        <v>11.649999999999995</v>
      </c>
      <c r="AG24" s="118"/>
      <c r="AH24" s="86">
        <f t="shared" si="2"/>
        <v>478.89100000000002</v>
      </c>
      <c r="AI24" s="86">
        <f t="shared" si="6"/>
        <v>481.18299999999999</v>
      </c>
      <c r="AJ24" s="86" t="str">
        <f t="shared" si="3"/>
        <v>NAOI</v>
      </c>
      <c r="AK24" s="93">
        <f t="shared" si="15"/>
        <v>478.89100000000002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12.099999999999994</v>
      </c>
      <c r="B25" s="95">
        <f t="shared" si="1"/>
        <v>478.74100000000004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0.15</v>
      </c>
      <c r="AB25" s="111"/>
      <c r="AC25" s="112" t="str">
        <f t="shared" si="11"/>
        <v/>
      </c>
      <c r="AD25" s="113">
        <f t="shared" si="13"/>
        <v>478.74100000000004</v>
      </c>
      <c r="AE25" s="114">
        <v>0.45</v>
      </c>
      <c r="AF25" s="113">
        <f t="shared" si="12"/>
        <v>12.099999999999994</v>
      </c>
      <c r="AG25" s="118"/>
      <c r="AH25" s="86">
        <f t="shared" si="2"/>
        <v>481.18299999999999</v>
      </c>
      <c r="AI25" s="86">
        <f t="shared" si="6"/>
        <v>481.18299999999999</v>
      </c>
      <c r="AJ25" s="86" t="str">
        <f t="shared" si="3"/>
        <v>NAOI</v>
      </c>
      <c r="AK25" s="93">
        <f t="shared" si="15"/>
        <v>478.89100000000002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12.549999999999994</v>
      </c>
      <c r="B26" s="95">
        <f t="shared" si="1"/>
        <v>478.88799999999998</v>
      </c>
      <c r="C26" s="96" t="str">
        <f t="shared" si="5"/>
        <v>NAOD</v>
      </c>
      <c r="D26" s="190"/>
      <c r="E26" s="117">
        <v>1.7</v>
      </c>
      <c r="X26" s="107"/>
      <c r="Y26" s="108"/>
      <c r="Z26" s="109"/>
      <c r="AA26" s="110">
        <v>2.2949999999999999</v>
      </c>
      <c r="AB26" s="111"/>
      <c r="AC26" s="112" t="str">
        <f t="shared" si="11"/>
        <v/>
      </c>
      <c r="AD26" s="113">
        <f t="shared" si="13"/>
        <v>478.88799999999998</v>
      </c>
      <c r="AE26" s="114">
        <v>0.45</v>
      </c>
      <c r="AF26" s="113">
        <f t="shared" si="12"/>
        <v>12.549999999999994</v>
      </c>
      <c r="AG26" s="115" t="s">
        <v>10</v>
      </c>
      <c r="AH26" s="86">
        <f t="shared" si="2"/>
        <v>481.18299999999999</v>
      </c>
      <c r="AI26" s="86">
        <f t="shared" si="6"/>
        <v>481.18299999999999</v>
      </c>
      <c r="AJ26" s="86" t="str">
        <f t="shared" si="3"/>
        <v>NAOD</v>
      </c>
      <c r="AK26" s="93">
        <f t="shared" si="15"/>
        <v>478.88799999999998</v>
      </c>
      <c r="AL26" s="86" t="str">
        <f t="shared" si="7"/>
        <v/>
      </c>
      <c r="AM26" s="93" t="str">
        <f t="shared" si="8"/>
        <v/>
      </c>
      <c r="AN26" s="86">
        <f t="shared" si="9"/>
        <v>478.88799999999998</v>
      </c>
      <c r="AO26" s="86">
        <f t="shared" si="10"/>
        <v>12.549999999999994</v>
      </c>
      <c r="AP26" s="86">
        <f t="shared" si="14"/>
        <v>0</v>
      </c>
    </row>
    <row r="27" spans="1:42" ht="15.75" x14ac:dyDescent="0.25">
      <c r="A27" s="94">
        <f t="shared" si="0"/>
        <v>14.549999999999994</v>
      </c>
      <c r="B27" s="95">
        <f t="shared" si="1"/>
        <v>479.05700000000002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2.1259999999999999</v>
      </c>
      <c r="AB27" s="111"/>
      <c r="AC27" s="112" t="str">
        <f t="shared" si="11"/>
        <v/>
      </c>
      <c r="AD27" s="113">
        <f t="shared" si="13"/>
        <v>479.05700000000002</v>
      </c>
      <c r="AE27" s="114">
        <v>2</v>
      </c>
      <c r="AF27" s="113">
        <f t="shared" si="12"/>
        <v>14.549999999999994</v>
      </c>
      <c r="AG27" s="118"/>
      <c r="AH27" s="86">
        <f t="shared" si="2"/>
        <v>481.18299999999999</v>
      </c>
      <c r="AI27" s="86">
        <f t="shared" si="6"/>
        <v>481.18299999999999</v>
      </c>
      <c r="AJ27" s="86" t="str">
        <f t="shared" si="3"/>
        <v>NAOD</v>
      </c>
      <c r="AK27" s="93">
        <f t="shared" si="15"/>
        <v>479.05700000000002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14.549999999999994</v>
      </c>
      <c r="B28" s="95">
        <f t="shared" si="1"/>
        <v>479.334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1.849</v>
      </c>
      <c r="AB28" s="111"/>
      <c r="AC28" s="112" t="str">
        <f t="shared" si="11"/>
        <v/>
      </c>
      <c r="AD28" s="113">
        <f t="shared" si="13"/>
        <v>479.334</v>
      </c>
      <c r="AE28" s="114">
        <v>0</v>
      </c>
      <c r="AF28" s="113">
        <f t="shared" si="12"/>
        <v>14.549999999999994</v>
      </c>
      <c r="AG28" s="118"/>
      <c r="AH28" s="86">
        <f t="shared" si="2"/>
        <v>481.18299999999999</v>
      </c>
      <c r="AI28" s="86">
        <f t="shared" si="6"/>
        <v>481.18299999999999</v>
      </c>
      <c r="AJ28" s="86" t="str">
        <f t="shared" si="3"/>
        <v>NAOD</v>
      </c>
      <c r="AK28" s="93">
        <f t="shared" si="15"/>
        <v>479.334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17.549999999999994</v>
      </c>
      <c r="B29" s="95">
        <f t="shared" si="1"/>
        <v>479.92500000000001</v>
      </c>
      <c r="C29" s="96" t="str">
        <f t="shared" si="5"/>
        <v/>
      </c>
      <c r="D29" s="190"/>
      <c r="E29" s="117">
        <v>1.2</v>
      </c>
      <c r="X29" s="107"/>
      <c r="Y29" s="108"/>
      <c r="Z29" s="109"/>
      <c r="AA29" s="110">
        <v>1.258</v>
      </c>
      <c r="AB29" s="111"/>
      <c r="AC29" s="112" t="str">
        <f t="shared" si="11"/>
        <v/>
      </c>
      <c r="AD29" s="113">
        <f t="shared" si="13"/>
        <v>479.92500000000001</v>
      </c>
      <c r="AE29" s="114">
        <v>3</v>
      </c>
      <c r="AF29" s="113">
        <f t="shared" si="12"/>
        <v>17.549999999999994</v>
      </c>
      <c r="AG29" s="115"/>
      <c r="AH29" s="86">
        <f t="shared" si="2"/>
        <v>481.18299999999999</v>
      </c>
      <c r="AI29" s="86">
        <f t="shared" si="6"/>
        <v>481.18299999999999</v>
      </c>
      <c r="AJ29" s="86" t="str">
        <f t="shared" si="3"/>
        <v>NAOD</v>
      </c>
      <c r="AK29" s="93">
        <f t="shared" si="15"/>
        <v>479.92500000000001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19.549999999999994</v>
      </c>
      <c r="B30" s="95">
        <f t="shared" si="1"/>
        <v>480.92099999999999</v>
      </c>
      <c r="C30" s="96" t="str">
        <f t="shared" si="5"/>
        <v>PRD</v>
      </c>
      <c r="D30" s="190"/>
      <c r="E30" s="117">
        <v>0.8</v>
      </c>
      <c r="X30" s="107"/>
      <c r="Y30" s="108"/>
      <c r="Z30" s="109"/>
      <c r="AA30" s="110">
        <v>0.26200000000000001</v>
      </c>
      <c r="AB30" s="111"/>
      <c r="AC30" s="112" t="str">
        <f t="shared" si="11"/>
        <v/>
      </c>
      <c r="AD30" s="113">
        <f t="shared" si="13"/>
        <v>480.92099999999999</v>
      </c>
      <c r="AE30" s="114">
        <v>2</v>
      </c>
      <c r="AF30" s="113">
        <f t="shared" si="12"/>
        <v>19.549999999999994</v>
      </c>
      <c r="AG30" s="115" t="s">
        <v>5</v>
      </c>
      <c r="AH30" s="86">
        <f t="shared" si="2"/>
        <v>481.18299999999999</v>
      </c>
      <c r="AI30" s="86">
        <f t="shared" si="6"/>
        <v>481.18299999999999</v>
      </c>
      <c r="AJ30" s="86" t="str">
        <f t="shared" si="3"/>
        <v>PRD</v>
      </c>
      <c r="AK30" s="93">
        <f t="shared" si="15"/>
        <v>480.92099999999999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19.549999999999994</v>
      </c>
      <c r="B31" s="95">
        <f t="shared" si="1"/>
        <v>480.02</v>
      </c>
      <c r="C31" s="96" t="str">
        <f t="shared" si="5"/>
        <v xml:space="preserve">S/BM </v>
      </c>
      <c r="D31" s="190"/>
      <c r="E31" s="117">
        <v>0.55000000000000004</v>
      </c>
      <c r="X31" s="107"/>
      <c r="Y31" s="108"/>
      <c r="Z31" s="109"/>
      <c r="AA31" s="110">
        <v>1.163</v>
      </c>
      <c r="AB31" s="111"/>
      <c r="AC31" s="112" t="str">
        <f t="shared" si="11"/>
        <v/>
      </c>
      <c r="AD31" s="113">
        <f t="shared" si="13"/>
        <v>480.02</v>
      </c>
      <c r="AE31" s="114">
        <v>0</v>
      </c>
      <c r="AF31" s="113">
        <f t="shared" si="12"/>
        <v>19.549999999999994</v>
      </c>
      <c r="AG31" s="115" t="s">
        <v>46</v>
      </c>
      <c r="AH31" s="86">
        <f t="shared" si="2"/>
        <v>481.18299999999999</v>
      </c>
      <c r="AI31" s="86">
        <f t="shared" si="6"/>
        <v>481.18299999999999</v>
      </c>
      <c r="AJ31" s="86" t="str">
        <f t="shared" si="3"/>
        <v xml:space="preserve">S/BM </v>
      </c>
      <c r="AK31" s="93">
        <f t="shared" si="15"/>
        <v>480.02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/>
      <c r="B32" s="95"/>
      <c r="C32" s="96" t="str">
        <f t="shared" si="5"/>
        <v/>
      </c>
      <c r="D32" s="190"/>
      <c r="E32" s="117">
        <v>0.35</v>
      </c>
      <c r="X32" s="107"/>
      <c r="Y32" s="108"/>
      <c r="Z32" s="109"/>
      <c r="AA32" s="110"/>
      <c r="AB32" s="111"/>
      <c r="AC32" s="112"/>
      <c r="AD32" s="113"/>
      <c r="AE32" s="114"/>
      <c r="AF32" s="113"/>
      <c r="AG32" s="115"/>
      <c r="AH32" s="86">
        <f t="shared" si="2"/>
        <v>0</v>
      </c>
      <c r="AI32" s="86">
        <f t="shared" si="6"/>
        <v>0</v>
      </c>
      <c r="AJ32" s="86" t="str">
        <f t="shared" si="3"/>
        <v xml:space="preserve">S/BM </v>
      </c>
      <c r="AK32" s="93">
        <f t="shared" si="15"/>
        <v>0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/>
      <c r="B33" s="95"/>
      <c r="C33" s="96" t="str">
        <f t="shared" si="5"/>
        <v/>
      </c>
      <c r="D33" s="190"/>
      <c r="X33" s="107"/>
      <c r="Y33" s="108"/>
      <c r="Z33" s="109"/>
      <c r="AA33" s="110"/>
      <c r="AB33" s="111"/>
      <c r="AC33" s="112"/>
      <c r="AD33" s="113"/>
      <c r="AE33" s="114"/>
      <c r="AF33" s="113"/>
      <c r="AG33" s="116"/>
      <c r="AH33" s="86">
        <f t="shared" si="2"/>
        <v>0</v>
      </c>
      <c r="AI33" s="86">
        <f t="shared" si="6"/>
        <v>0</v>
      </c>
      <c r="AJ33" s="86" t="str">
        <f t="shared" si="3"/>
        <v xml:space="preserve">S/BM </v>
      </c>
      <c r="AK33" s="93">
        <f t="shared" si="15"/>
        <v>0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5"/>
        <v/>
      </c>
      <c r="D34" s="190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2"/>
        <v>0</v>
      </c>
      <c r="AI34" s="86">
        <f t="shared" si="6"/>
        <v>0</v>
      </c>
      <c r="AJ34" s="86" t="str">
        <f t="shared" si="3"/>
        <v xml:space="preserve">S/BM </v>
      </c>
      <c r="AK34" s="93">
        <f t="shared" si="15"/>
        <v>0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/>
      <c r="B35" s="95"/>
      <c r="C35" s="96" t="str">
        <f t="shared" si="5"/>
        <v/>
      </c>
      <c r="D35" s="190"/>
      <c r="X35" s="107"/>
      <c r="Y35" s="108"/>
      <c r="Z35" s="109"/>
      <c r="AA35" s="110"/>
      <c r="AB35" s="111"/>
      <c r="AC35" s="112"/>
      <c r="AD35" s="113"/>
      <c r="AE35" s="114"/>
      <c r="AF35" s="113"/>
      <c r="AG35" s="115"/>
      <c r="AH35" s="86">
        <f t="shared" si="2"/>
        <v>0</v>
      </c>
      <c r="AI35" s="86">
        <f t="shared" si="6"/>
        <v>0</v>
      </c>
      <c r="AJ35" s="86" t="str">
        <f t="shared" si="3"/>
        <v xml:space="preserve">S/BM </v>
      </c>
      <c r="AK35" s="93">
        <f t="shared" si="15"/>
        <v>0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/>
      <c r="B36" s="95"/>
      <c r="C36" s="96" t="str">
        <f t="shared" si="5"/>
        <v/>
      </c>
      <c r="D36" s="190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6"/>
        <v>0</v>
      </c>
      <c r="AJ36" s="86" t="str">
        <f t="shared" si="3"/>
        <v xml:space="preserve">S/BM </v>
      </c>
      <c r="AK36" s="93">
        <f t="shared" si="15"/>
        <v>0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/>
      <c r="B37" s="95"/>
      <c r="C37" s="96" t="str">
        <f t="shared" si="5"/>
        <v/>
      </c>
      <c r="D37" s="190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 xml:space="preserve">S/BM </v>
      </c>
      <c r="AK37" s="93">
        <f t="shared" si="15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/>
      <c r="B38" s="95"/>
      <c r="C38" s="96" t="str">
        <f t="shared" si="5"/>
        <v/>
      </c>
      <c r="D38" s="190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 xml:space="preserve">S/BM </v>
      </c>
      <c r="AK38" s="93">
        <f t="shared" si="15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5"/>
        <v/>
      </c>
      <c r="D39" s="190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6"/>
        <v>0</v>
      </c>
      <c r="AJ39" s="86" t="str">
        <f t="shared" si="3"/>
        <v xml:space="preserve">S/BM </v>
      </c>
      <c r="AK39" s="93">
        <f t="shared" si="15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/>
      </c>
      <c r="D40" s="190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 xml:space="preserve">S/BM </v>
      </c>
      <c r="AK40" s="93">
        <f t="shared" si="15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 xml:space="preserve">S/BM 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 xml:space="preserve">S/BM 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90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 xml:space="preserve">S/BM 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90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 xml:space="preserve">S/BM 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6">IF(AG47="","",AG47)</f>
        <v/>
      </c>
      <c r="D47" s="190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6"/>
        <v/>
      </c>
      <c r="D48" s="190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7">IF(AJ47="S/BM",1,0)</f>
        <v>0</v>
      </c>
    </row>
    <row r="49" spans="1:42" ht="15.75" x14ac:dyDescent="0.25">
      <c r="A49" s="94"/>
      <c r="B49" s="95"/>
      <c r="C49" s="96" t="str">
        <f t="shared" si="16"/>
        <v/>
      </c>
      <c r="D49" s="190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7"/>
        <v>0</v>
      </c>
    </row>
    <row r="50" spans="1:42" ht="15.75" x14ac:dyDescent="0.25">
      <c r="A50" s="94"/>
      <c r="B50" s="95"/>
      <c r="C50" s="96" t="str">
        <f t="shared" si="16"/>
        <v/>
      </c>
      <c r="D50" s="190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7"/>
        <v>0</v>
      </c>
    </row>
    <row r="51" spans="1:42" ht="16.5" thickBot="1" x14ac:dyDescent="0.3">
      <c r="A51" s="122"/>
      <c r="B51" s="123"/>
      <c r="C51" s="96" t="str">
        <f t="shared" si="16"/>
        <v/>
      </c>
      <c r="D51" s="190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7"/>
        <v>0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4.9000000000000004</v>
      </c>
      <c r="B53" s="136">
        <f>AL4</f>
        <v>478.89100000000002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12.549999999999994</v>
      </c>
      <c r="B54" s="136">
        <f>AN4</f>
        <v>478.88799999999998</v>
      </c>
      <c r="C54" s="139" t="s">
        <v>10</v>
      </c>
      <c r="D54" s="178"/>
    </row>
    <row r="55" spans="1:42" ht="20.100000000000001" customHeight="1" x14ac:dyDescent="0.2">
      <c r="A55" s="140">
        <v>4.9000000000000004</v>
      </c>
      <c r="B55" s="141">
        <v>478.32</v>
      </c>
      <c r="C55" s="142" t="s">
        <v>8</v>
      </c>
      <c r="D55" s="178"/>
    </row>
    <row r="56" spans="1:42" ht="20.100000000000001" customHeight="1" x14ac:dyDescent="0.2">
      <c r="A56" s="140">
        <v>4.9000000000000004</v>
      </c>
      <c r="B56" s="143">
        <f>B55+2</f>
        <v>480.32</v>
      </c>
      <c r="C56" s="142" t="s">
        <v>8</v>
      </c>
      <c r="D56" s="178"/>
    </row>
    <row r="57" spans="1:42" ht="20.100000000000001" customHeight="1" x14ac:dyDescent="0.2">
      <c r="A57" s="144">
        <v>5.5</v>
      </c>
      <c r="B57" s="143">
        <v>479.31299999999999</v>
      </c>
      <c r="C57" s="145" t="s">
        <v>2</v>
      </c>
      <c r="D57" s="178"/>
    </row>
    <row r="58" spans="1:42" ht="20.100000000000001" customHeight="1" thickBot="1" x14ac:dyDescent="0.25">
      <c r="A58" s="140">
        <v>5.5</v>
      </c>
      <c r="B58" s="143">
        <f>B57+1.5</f>
        <v>480.81299999999999</v>
      </c>
      <c r="C58" s="146" t="s">
        <v>2</v>
      </c>
      <c r="D58" s="178"/>
    </row>
    <row r="59" spans="1:42" ht="13.5" thickBot="1" x14ac:dyDescent="0.25">
      <c r="A59" s="147"/>
      <c r="B59" s="148"/>
      <c r="C59" s="149" t="s">
        <v>7</v>
      </c>
      <c r="D59" s="150"/>
    </row>
    <row r="60" spans="1:42" ht="13.5" thickBot="1" x14ac:dyDescent="0.25">
      <c r="A60" s="151"/>
      <c r="B60" s="148"/>
      <c r="C60" s="149" t="s">
        <v>7</v>
      </c>
      <c r="D60" s="150"/>
    </row>
    <row r="61" spans="1:42" ht="18" x14ac:dyDescent="0.25">
      <c r="A61" s="152" t="s">
        <v>74</v>
      </c>
      <c r="B61" s="153"/>
      <c r="C61" s="164"/>
      <c r="D61" s="150"/>
    </row>
    <row r="62" spans="1:42" ht="18" x14ac:dyDescent="0.25">
      <c r="A62" s="152" t="s">
        <v>50</v>
      </c>
      <c r="B62" s="153"/>
      <c r="C62" s="155">
        <f>B55</f>
        <v>478.32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65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71</v>
      </c>
      <c r="C69" s="175"/>
    </row>
    <row r="70" spans="1:4" ht="14.25" x14ac:dyDescent="0.2">
      <c r="A70" s="158" t="s">
        <v>57</v>
      </c>
      <c r="B70" s="175" t="s">
        <v>72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43194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474" priority="84" stopIfTrue="1">
      <formula>$AP$47=1</formula>
    </cfRule>
  </conditionalFormatting>
  <conditionalFormatting sqref="AC46:AF46">
    <cfRule type="expression" dxfId="473" priority="83" stopIfTrue="1">
      <formula>$AP$46</formula>
    </cfRule>
  </conditionalFormatting>
  <conditionalFormatting sqref="AC50:AF50">
    <cfRule type="expression" dxfId="472" priority="82" stopIfTrue="1">
      <formula>$AP$50=1</formula>
    </cfRule>
  </conditionalFormatting>
  <conditionalFormatting sqref="AC51:AF51">
    <cfRule type="expression" dxfId="471" priority="81" stopIfTrue="1">
      <formula>$AP$51=1</formula>
    </cfRule>
  </conditionalFormatting>
  <conditionalFormatting sqref="AC49:AF49">
    <cfRule type="expression" dxfId="470" priority="80" stopIfTrue="1">
      <formula>$AP$49=1</formula>
    </cfRule>
  </conditionalFormatting>
  <conditionalFormatting sqref="AC48:AF48">
    <cfRule type="expression" dxfId="469" priority="79" stopIfTrue="1">
      <formula>$AP$48=1</formula>
    </cfRule>
  </conditionalFormatting>
  <conditionalFormatting sqref="AC45:AF45">
    <cfRule type="expression" dxfId="468" priority="78" stopIfTrue="1">
      <formula>$AP$45=1</formula>
    </cfRule>
  </conditionalFormatting>
  <conditionalFormatting sqref="AC44:AF44">
    <cfRule type="expression" dxfId="467" priority="77" stopIfTrue="1">
      <formula>$AP$44=1</formula>
    </cfRule>
  </conditionalFormatting>
  <conditionalFormatting sqref="AC43:AF43">
    <cfRule type="expression" dxfId="466" priority="76" stopIfTrue="1">
      <formula>$AP$43=1</formula>
    </cfRule>
  </conditionalFormatting>
  <conditionalFormatting sqref="AC42:AF42">
    <cfRule type="expression" dxfId="465" priority="75" stopIfTrue="1">
      <formula>$AP$42=1</formula>
    </cfRule>
  </conditionalFormatting>
  <conditionalFormatting sqref="AC41:AF41">
    <cfRule type="expression" dxfId="464" priority="74" stopIfTrue="1">
      <formula>$AP$41=1</formula>
    </cfRule>
  </conditionalFormatting>
  <conditionalFormatting sqref="AC40:AF40">
    <cfRule type="expression" dxfId="463" priority="73" stopIfTrue="1">
      <formula>$AP$40=1</formula>
    </cfRule>
  </conditionalFormatting>
  <conditionalFormatting sqref="AC39:AF39">
    <cfRule type="expression" dxfId="462" priority="72" stopIfTrue="1">
      <formula>$AP$39=1</formula>
    </cfRule>
  </conditionalFormatting>
  <conditionalFormatting sqref="AC38:AF38">
    <cfRule type="expression" dxfId="461" priority="71" stopIfTrue="1">
      <formula>$AP$38=1</formula>
    </cfRule>
  </conditionalFormatting>
  <conditionalFormatting sqref="AC37:AF37">
    <cfRule type="expression" dxfId="460" priority="70" stopIfTrue="1">
      <formula>$AP$37=1</formula>
    </cfRule>
  </conditionalFormatting>
  <conditionalFormatting sqref="AC36:AF36">
    <cfRule type="expression" dxfId="459" priority="69" stopIfTrue="1">
      <formula>$AP$36=1</formula>
    </cfRule>
  </conditionalFormatting>
  <conditionalFormatting sqref="AC35:AF35">
    <cfRule type="expression" dxfId="458" priority="67" stopIfTrue="1">
      <formula>$AP$35=1</formula>
    </cfRule>
    <cfRule type="expression" dxfId="457" priority="68" stopIfTrue="1">
      <formula>$AP$35=1</formula>
    </cfRule>
  </conditionalFormatting>
  <conditionalFormatting sqref="AC34:AF34">
    <cfRule type="expression" dxfId="456" priority="66" stopIfTrue="1">
      <formula>$AP$34=1</formula>
    </cfRule>
  </conditionalFormatting>
  <conditionalFormatting sqref="AC33:AF33">
    <cfRule type="expression" dxfId="455" priority="65" stopIfTrue="1">
      <formula>$AP$33=1</formula>
    </cfRule>
  </conditionalFormatting>
  <conditionalFormatting sqref="AC32:AF32">
    <cfRule type="expression" dxfId="454" priority="64" stopIfTrue="1">
      <formula>$AP$32=1</formula>
    </cfRule>
  </conditionalFormatting>
  <conditionalFormatting sqref="AC31:AF31">
    <cfRule type="expression" dxfId="453" priority="63" stopIfTrue="1">
      <formula>$AP$31=1</formula>
    </cfRule>
  </conditionalFormatting>
  <conditionalFormatting sqref="AC30:AF30">
    <cfRule type="expression" dxfId="452" priority="62" stopIfTrue="1">
      <formula>$AP$30</formula>
    </cfRule>
  </conditionalFormatting>
  <conditionalFormatting sqref="AC29:AD29 AF29">
    <cfRule type="expression" dxfId="451" priority="61" stopIfTrue="1">
      <formula>$AP$29=1</formula>
    </cfRule>
  </conditionalFormatting>
  <conditionalFormatting sqref="AC28:AD28 AF28">
    <cfRule type="expression" dxfId="450" priority="60" stopIfTrue="1">
      <formula>$AP$28=1</formula>
    </cfRule>
  </conditionalFormatting>
  <conditionalFormatting sqref="AC27:AD27 AF27">
    <cfRule type="expression" dxfId="449" priority="59" stopIfTrue="1">
      <formula>$AP$27=1</formula>
    </cfRule>
  </conditionalFormatting>
  <conditionalFormatting sqref="AC26:AD26 AF26">
    <cfRule type="expression" dxfId="448" priority="58" stopIfTrue="1">
      <formula>$AP$26=1</formula>
    </cfRule>
  </conditionalFormatting>
  <conditionalFormatting sqref="AC25:AD25 AF25">
    <cfRule type="expression" dxfId="447" priority="57" stopIfTrue="1">
      <formula>$AP$25=1</formula>
    </cfRule>
  </conditionalFormatting>
  <conditionalFormatting sqref="AC24:AD24 AF24">
    <cfRule type="expression" dxfId="446" priority="56" stopIfTrue="1">
      <formula>$AP$24=1</formula>
    </cfRule>
  </conditionalFormatting>
  <conditionalFormatting sqref="AC23:AD23 AF23">
    <cfRule type="expression" dxfId="445" priority="55" stopIfTrue="1">
      <formula>$AP$23=1</formula>
    </cfRule>
  </conditionalFormatting>
  <conditionalFormatting sqref="AC22:AD22 AF22">
    <cfRule type="expression" dxfId="444" priority="54" stopIfTrue="1">
      <formula>$AP$22=1</formula>
    </cfRule>
  </conditionalFormatting>
  <conditionalFormatting sqref="AC21:AD21 AF21">
    <cfRule type="expression" dxfId="443" priority="53" stopIfTrue="1">
      <formula>$AP$21=1</formula>
    </cfRule>
  </conditionalFormatting>
  <conditionalFormatting sqref="AC20:AD20 AF20">
    <cfRule type="expression" dxfId="442" priority="52" stopIfTrue="1">
      <formula>$AP$20=1</formula>
    </cfRule>
  </conditionalFormatting>
  <conditionalFormatting sqref="AC19:AD19 AF19">
    <cfRule type="expression" dxfId="441" priority="51" stopIfTrue="1">
      <formula>$AP$19=1</formula>
    </cfRule>
  </conditionalFormatting>
  <conditionalFormatting sqref="AC18:AD18 AF18">
    <cfRule type="expression" dxfId="440" priority="50" stopIfTrue="1">
      <formula>$AP$18=1</formula>
    </cfRule>
  </conditionalFormatting>
  <conditionalFormatting sqref="AC17:AD17 AF17">
    <cfRule type="expression" dxfId="439" priority="49" stopIfTrue="1">
      <formula>$AP$17=1</formula>
    </cfRule>
  </conditionalFormatting>
  <conditionalFormatting sqref="AC16:AD16 AF16">
    <cfRule type="expression" dxfId="438" priority="48" stopIfTrue="1">
      <formula>$AP$16=1</formula>
    </cfRule>
  </conditionalFormatting>
  <conditionalFormatting sqref="AC15:AD15 AF15">
    <cfRule type="expression" dxfId="437" priority="47" stopIfTrue="1">
      <formula>$AP$15=1</formula>
    </cfRule>
  </conditionalFormatting>
  <conditionalFormatting sqref="AC14:AD14 AF14">
    <cfRule type="expression" dxfId="436" priority="46" stopIfTrue="1">
      <formula>$AP$14=1</formula>
    </cfRule>
  </conditionalFormatting>
  <conditionalFormatting sqref="AC13:AD13 AF13">
    <cfRule type="expression" dxfId="435" priority="45" stopIfTrue="1">
      <formula>$AP$13=1</formula>
    </cfRule>
  </conditionalFormatting>
  <conditionalFormatting sqref="AC12:AD12 AE27:AE29 AF12">
    <cfRule type="expression" dxfId="434" priority="44" stopIfTrue="1">
      <formula>$AP$12=1</formula>
    </cfRule>
  </conditionalFormatting>
  <conditionalFormatting sqref="AC11:AF11 AE12:AE26">
    <cfRule type="expression" dxfId="433" priority="43" stopIfTrue="1">
      <formula>$AP$11=1</formula>
    </cfRule>
  </conditionalFormatting>
  <conditionalFormatting sqref="A51:B51">
    <cfRule type="expression" dxfId="432" priority="42" stopIfTrue="1">
      <formula>$AP$51=1</formula>
    </cfRule>
  </conditionalFormatting>
  <conditionalFormatting sqref="A50:B50">
    <cfRule type="expression" dxfId="431" priority="41" stopIfTrue="1">
      <formula>$AP$50=1</formula>
    </cfRule>
  </conditionalFormatting>
  <conditionalFormatting sqref="A49:B49">
    <cfRule type="expression" dxfId="430" priority="40" stopIfTrue="1">
      <formula>$AP$49=1</formula>
    </cfRule>
  </conditionalFormatting>
  <conditionalFormatting sqref="A48:B48">
    <cfRule type="expression" dxfId="429" priority="39" stopIfTrue="1">
      <formula>$AP$48=1</formula>
    </cfRule>
  </conditionalFormatting>
  <conditionalFormatting sqref="A47:B47">
    <cfRule type="expression" dxfId="428" priority="38" stopIfTrue="1">
      <formula>$AP$47=1</formula>
    </cfRule>
  </conditionalFormatting>
  <conditionalFormatting sqref="A46:B46">
    <cfRule type="expression" dxfId="427" priority="37" stopIfTrue="1">
      <formula>$AP$46=1</formula>
    </cfRule>
  </conditionalFormatting>
  <conditionalFormatting sqref="A45:B45">
    <cfRule type="expression" dxfId="426" priority="36" stopIfTrue="1">
      <formula>$AP$45=1</formula>
    </cfRule>
  </conditionalFormatting>
  <conditionalFormatting sqref="A44:B44">
    <cfRule type="expression" dxfId="425" priority="35" stopIfTrue="1">
      <formula>$AP$44=1</formula>
    </cfRule>
  </conditionalFormatting>
  <conditionalFormatting sqref="A43:B43">
    <cfRule type="expression" dxfId="424" priority="34" stopIfTrue="1">
      <formula>$AP$43=1</formula>
    </cfRule>
  </conditionalFormatting>
  <conditionalFormatting sqref="A42:B42">
    <cfRule type="expression" dxfId="423" priority="33" stopIfTrue="1">
      <formula>$AP$42=1</formula>
    </cfRule>
  </conditionalFormatting>
  <conditionalFormatting sqref="A41:B41">
    <cfRule type="expression" dxfId="422" priority="32" stopIfTrue="1">
      <formula>$AP$41=1</formula>
    </cfRule>
  </conditionalFormatting>
  <conditionalFormatting sqref="A40:B40">
    <cfRule type="expression" dxfId="421" priority="31" stopIfTrue="1">
      <formula>$AP$40=1</formula>
    </cfRule>
  </conditionalFormatting>
  <conditionalFormatting sqref="A39:B39">
    <cfRule type="expression" dxfId="420" priority="30" stopIfTrue="1">
      <formula>$AP$39=1</formula>
    </cfRule>
  </conditionalFormatting>
  <conditionalFormatting sqref="A38:B38">
    <cfRule type="expression" dxfId="419" priority="29" stopIfTrue="1">
      <formula>$AP$38=1</formula>
    </cfRule>
  </conditionalFormatting>
  <conditionalFormatting sqref="A37:B37">
    <cfRule type="expression" dxfId="418" priority="28" stopIfTrue="1">
      <formula>$AP$37=1</formula>
    </cfRule>
  </conditionalFormatting>
  <conditionalFormatting sqref="A36:B36">
    <cfRule type="expression" dxfId="417" priority="27" stopIfTrue="1">
      <formula>$AP$36=1</formula>
    </cfRule>
  </conditionalFormatting>
  <conditionalFormatting sqref="A35:B35">
    <cfRule type="expression" dxfId="416" priority="26" stopIfTrue="1">
      <formula>$AP$35=1</formula>
    </cfRule>
  </conditionalFormatting>
  <conditionalFormatting sqref="A34:B34">
    <cfRule type="expression" dxfId="415" priority="25" stopIfTrue="1">
      <formula>$AP$34=1</formula>
    </cfRule>
  </conditionalFormatting>
  <conditionalFormatting sqref="A33:B33">
    <cfRule type="expression" dxfId="414" priority="24" stopIfTrue="1">
      <formula>$AP$33=1</formula>
    </cfRule>
  </conditionalFormatting>
  <conditionalFormatting sqref="A32:B32">
    <cfRule type="expression" dxfId="413" priority="23" stopIfTrue="1">
      <formula>$AP$32=1</formula>
    </cfRule>
  </conditionalFormatting>
  <conditionalFormatting sqref="A31:B31">
    <cfRule type="expression" dxfId="412" priority="22" stopIfTrue="1">
      <formula>$AP$31=1</formula>
    </cfRule>
  </conditionalFormatting>
  <conditionalFormatting sqref="A30:B30">
    <cfRule type="expression" dxfId="411" priority="21" stopIfTrue="1">
      <formula>$AP$30=1</formula>
    </cfRule>
  </conditionalFormatting>
  <conditionalFormatting sqref="A29:B29">
    <cfRule type="expression" dxfId="410" priority="20" stopIfTrue="1">
      <formula>$AP$29=1</formula>
    </cfRule>
  </conditionalFormatting>
  <conditionalFormatting sqref="A28:B28">
    <cfRule type="expression" dxfId="409" priority="19" stopIfTrue="1">
      <formula>$AP$28=1</formula>
    </cfRule>
  </conditionalFormatting>
  <conditionalFormatting sqref="A27:B27">
    <cfRule type="expression" dxfId="408" priority="18" stopIfTrue="1">
      <formula>$AP$27=1</formula>
    </cfRule>
  </conditionalFormatting>
  <conditionalFormatting sqref="A26:B26">
    <cfRule type="expression" dxfId="407" priority="17" stopIfTrue="1">
      <formula>$AP$26=1</formula>
    </cfRule>
  </conditionalFormatting>
  <conditionalFormatting sqref="A25:B25">
    <cfRule type="expression" dxfId="406" priority="16" stopIfTrue="1">
      <formula>$AP$25=1</formula>
    </cfRule>
  </conditionalFormatting>
  <conditionalFormatting sqref="A24:B24">
    <cfRule type="expression" dxfId="405" priority="15" stopIfTrue="1">
      <formula>$AP$24=1</formula>
    </cfRule>
  </conditionalFormatting>
  <conditionalFormatting sqref="A23:B23">
    <cfRule type="expression" dxfId="404" priority="14" stopIfTrue="1">
      <formula>$AP$23=1</formula>
    </cfRule>
  </conditionalFormatting>
  <conditionalFormatting sqref="A22:B22">
    <cfRule type="expression" dxfId="403" priority="13" stopIfTrue="1">
      <formula>$AP$22=1</formula>
    </cfRule>
  </conditionalFormatting>
  <conditionalFormatting sqref="A21:B21">
    <cfRule type="expression" dxfId="402" priority="12" stopIfTrue="1">
      <formula>$AP$21=1</formula>
    </cfRule>
  </conditionalFormatting>
  <conditionalFormatting sqref="A20:B20">
    <cfRule type="expression" dxfId="401" priority="11" stopIfTrue="1">
      <formula>$AP$20=1</formula>
    </cfRule>
  </conditionalFormatting>
  <conditionalFormatting sqref="A19:B19">
    <cfRule type="expression" dxfId="400" priority="10" stopIfTrue="1">
      <formula>$AP$19=1</formula>
    </cfRule>
  </conditionalFormatting>
  <conditionalFormatting sqref="A18:B18">
    <cfRule type="expression" dxfId="399" priority="9" stopIfTrue="1">
      <formula>$AP$18=1</formula>
    </cfRule>
  </conditionalFormatting>
  <conditionalFormatting sqref="A17:B17">
    <cfRule type="expression" dxfId="398" priority="8" stopIfTrue="1">
      <formula>$AP$17=1</formula>
    </cfRule>
  </conditionalFormatting>
  <conditionalFormatting sqref="A16:B16">
    <cfRule type="expression" dxfId="397" priority="7" stopIfTrue="1">
      <formula>$AP$16=1</formula>
    </cfRule>
  </conditionalFormatting>
  <conditionalFormatting sqref="A15:B15">
    <cfRule type="expression" dxfId="396" priority="6" stopIfTrue="1">
      <formula>$AP$15=1</formula>
    </cfRule>
  </conditionalFormatting>
  <conditionalFormatting sqref="A14:B14">
    <cfRule type="expression" dxfId="395" priority="5" stopIfTrue="1">
      <formula>$AP$14=1</formula>
    </cfRule>
  </conditionalFormatting>
  <conditionalFormatting sqref="A13:B13">
    <cfRule type="expression" dxfId="394" priority="4" stopIfTrue="1">
      <formula>$AP$13=1</formula>
    </cfRule>
  </conditionalFormatting>
  <conditionalFormatting sqref="A12:B12">
    <cfRule type="expression" dxfId="393" priority="3" stopIfTrue="1">
      <formula>$AP$12=1</formula>
    </cfRule>
  </conditionalFormatting>
  <conditionalFormatting sqref="A11:B11">
    <cfRule type="expression" dxfId="392" priority="2" stopIfTrue="1">
      <formula>$AP$11=1</formula>
    </cfRule>
  </conditionalFormatting>
  <conditionalFormatting sqref="A10:B10">
    <cfRule type="expression" dxfId="391" priority="1" stopIfTrue="1">
      <formula>$AP$10=1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AP75"/>
  <sheetViews>
    <sheetView zoomScale="70" zoomScaleNormal="70" workbookViewId="0">
      <selection activeCell="B44" sqref="B44"/>
    </sheetView>
  </sheetViews>
  <sheetFormatPr baseColWidth="10" defaultColWidth="11.42578125" defaultRowHeight="12.75" x14ac:dyDescent="0.2"/>
  <cols>
    <col min="1" max="1" width="9.7109375" style="84" customWidth="1"/>
    <col min="2" max="2" width="12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1" t="s">
        <v>77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478.93</v>
      </c>
      <c r="AM4" s="93">
        <f>SUM(AM5:AM46)</f>
        <v>12.5</v>
      </c>
      <c r="AN4" s="93">
        <f>SUM(AN5:AN46)</f>
        <v>478.93</v>
      </c>
      <c r="AO4" s="93">
        <f>SUM(AO5:AO46)</f>
        <v>21.199999999999985</v>
      </c>
      <c r="AP4" s="86"/>
    </row>
    <row r="5" spans="1:42" ht="15.75" x14ac:dyDescent="0.25">
      <c r="A5" s="94">
        <f t="shared" ref="A5:A31" si="0">AF5</f>
        <v>0</v>
      </c>
      <c r="B5" s="95">
        <f t="shared" ref="B5:B31" si="1">AD5</f>
        <v>480.02</v>
      </c>
      <c r="C5" s="96" t="str">
        <f>IF(AG5="","",AG5)</f>
        <v xml:space="preserve">S/BM </v>
      </c>
      <c r="D5" s="190"/>
      <c r="X5" s="97"/>
      <c r="Y5" s="98"/>
      <c r="Z5" s="99">
        <v>0.69</v>
      </c>
      <c r="AA5" s="100"/>
      <c r="AB5" s="101"/>
      <c r="AC5" s="102">
        <f>IF(AA5="",AD5+Z5,"")</f>
        <v>480.71</v>
      </c>
      <c r="AD5" s="103">
        <v>480.02</v>
      </c>
      <c r="AE5" s="104">
        <v>0</v>
      </c>
      <c r="AF5" s="105"/>
      <c r="AG5" s="166" t="s">
        <v>46</v>
      </c>
      <c r="AH5" s="86">
        <f t="shared" ref="AH5:AH46" si="2">IF(AND(AJ5="NAOI",AJ5=AJ6),AK5,AI5)</f>
        <v>480.71</v>
      </c>
      <c r="AI5" s="86">
        <f>IF(AA5="",AC5,AI4)</f>
        <v>480.71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480.54499999999996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0.16500000000000001</v>
      </c>
      <c r="AB6" s="111"/>
      <c r="AC6" s="112" t="str">
        <f>IF(AA6="",AD6+Z6,"")</f>
        <v/>
      </c>
      <c r="AD6" s="113">
        <f>IF(AA6="",AH5-AB6,AH5-AA6)</f>
        <v>480.54499999999996</v>
      </c>
      <c r="AE6" s="114">
        <v>0</v>
      </c>
      <c r="AF6" s="113">
        <f>AE6</f>
        <v>0</v>
      </c>
      <c r="AG6" s="115" t="s">
        <v>4</v>
      </c>
      <c r="AH6" s="86">
        <f t="shared" si="2"/>
        <v>480.71</v>
      </c>
      <c r="AI6" s="86">
        <f t="shared" ref="AI6:AI46" si="6">IF(AA6="",AC6,AI5)</f>
        <v>480.71</v>
      </c>
      <c r="AJ6" s="86" t="str">
        <f t="shared" si="3"/>
        <v>PRI</v>
      </c>
      <c r="AK6" s="93">
        <f t="shared" si="4"/>
        <v>480.54499999999996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5</v>
      </c>
      <c r="B7" s="95">
        <f t="shared" si="1"/>
        <v>480.09199999999998</v>
      </c>
      <c r="C7" s="96" t="str">
        <f t="shared" si="5"/>
        <v/>
      </c>
      <c r="D7" s="190"/>
      <c r="X7" s="107"/>
      <c r="Y7" s="108"/>
      <c r="Z7" s="109"/>
      <c r="AA7" s="110">
        <v>0.61799999999999999</v>
      </c>
      <c r="AB7" s="111"/>
      <c r="AC7" s="112" t="str">
        <f t="shared" ref="AC7:AC31" si="11">IF(AA7="",AD7+Z7,"")</f>
        <v/>
      </c>
      <c r="AD7" s="113">
        <f>IF(AA7="",AH6-AB7,AH6-AA7)</f>
        <v>480.09199999999998</v>
      </c>
      <c r="AE7" s="114">
        <v>5</v>
      </c>
      <c r="AF7" s="113">
        <f t="shared" ref="AF7:AF33" si="12">+AF6+AE7</f>
        <v>5</v>
      </c>
      <c r="AG7" s="116"/>
      <c r="AH7" s="86">
        <f t="shared" si="2"/>
        <v>480.71</v>
      </c>
      <c r="AI7" s="86">
        <f t="shared" si="6"/>
        <v>480.71</v>
      </c>
      <c r="AJ7" s="86" t="str">
        <f t="shared" si="3"/>
        <v>PRI</v>
      </c>
      <c r="AK7" s="93">
        <f t="shared" si="4"/>
        <v>480.09199999999998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8</v>
      </c>
      <c r="B8" s="95">
        <f t="shared" si="1"/>
        <v>480.43699999999995</v>
      </c>
      <c r="C8" s="96" t="str">
        <f t="shared" si="5"/>
        <v/>
      </c>
      <c r="D8" s="190"/>
      <c r="X8" s="107"/>
      <c r="Y8" s="108"/>
      <c r="Z8" s="109"/>
      <c r="AA8" s="110">
        <v>0.27300000000000002</v>
      </c>
      <c r="AB8" s="111"/>
      <c r="AC8" s="112" t="str">
        <f t="shared" si="11"/>
        <v/>
      </c>
      <c r="AD8" s="113">
        <f>IF(AA8="",AH7-AB8,AH7-AA8)</f>
        <v>480.43699999999995</v>
      </c>
      <c r="AE8" s="114">
        <v>3</v>
      </c>
      <c r="AF8" s="113">
        <f t="shared" si="12"/>
        <v>8</v>
      </c>
      <c r="AG8" s="116"/>
      <c r="AH8" s="86">
        <f t="shared" si="2"/>
        <v>480.71</v>
      </c>
      <c r="AI8" s="86">
        <f t="shared" si="6"/>
        <v>480.71</v>
      </c>
      <c r="AJ8" s="86" t="str">
        <f t="shared" si="3"/>
        <v>PRI</v>
      </c>
      <c r="AK8" s="93">
        <f t="shared" si="4"/>
        <v>480.43699999999995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10</v>
      </c>
      <c r="B9" s="95">
        <f t="shared" si="1"/>
        <v>480.17499999999995</v>
      </c>
      <c r="C9" s="96" t="str">
        <f t="shared" si="5"/>
        <v/>
      </c>
      <c r="D9" s="190"/>
      <c r="X9" s="107"/>
      <c r="Y9" s="108"/>
      <c r="Z9" s="109"/>
      <c r="AA9" s="110">
        <v>0.53500000000000003</v>
      </c>
      <c r="AB9" s="111"/>
      <c r="AC9" s="112" t="str">
        <f t="shared" si="11"/>
        <v/>
      </c>
      <c r="AD9" s="113">
        <f>IF(AA9="",AH8-AB9,AH8-AA9)</f>
        <v>480.17499999999995</v>
      </c>
      <c r="AE9" s="114">
        <v>2</v>
      </c>
      <c r="AF9" s="113">
        <f t="shared" si="12"/>
        <v>10</v>
      </c>
      <c r="AG9" s="115"/>
      <c r="AH9" s="86">
        <f t="shared" si="2"/>
        <v>480.71</v>
      </c>
      <c r="AI9" s="86">
        <f t="shared" si="6"/>
        <v>480.71</v>
      </c>
      <c r="AJ9" s="86" t="str">
        <f t="shared" si="3"/>
        <v>PRI</v>
      </c>
      <c r="AK9" s="93">
        <f t="shared" si="4"/>
        <v>480.17499999999995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11.5</v>
      </c>
      <c r="B10" s="95">
        <f t="shared" si="1"/>
        <v>479.23999999999995</v>
      </c>
      <c r="C10" s="96" t="str">
        <f t="shared" si="5"/>
        <v/>
      </c>
      <c r="D10" s="190"/>
      <c r="E10" s="84">
        <f>(B12+B35)/2</f>
        <v>239.405</v>
      </c>
      <c r="X10" s="107"/>
      <c r="Y10" s="108"/>
      <c r="Z10" s="109"/>
      <c r="AA10" s="110">
        <v>1.47</v>
      </c>
      <c r="AB10" s="111"/>
      <c r="AC10" s="112" t="str">
        <f t="shared" si="11"/>
        <v/>
      </c>
      <c r="AD10" s="113">
        <f t="shared" ref="AD10:AD33" si="13">IF(AJ9="S/BM",AD9,IF(AA10="",AH9-AB10,AH9-AA10))</f>
        <v>479.23999999999995</v>
      </c>
      <c r="AE10" s="114">
        <v>1.5</v>
      </c>
      <c r="AF10" s="113">
        <f t="shared" si="12"/>
        <v>11.5</v>
      </c>
      <c r="AG10" s="116"/>
      <c r="AH10" s="86">
        <f t="shared" si="2"/>
        <v>480.71</v>
      </c>
      <c r="AI10" s="86">
        <f t="shared" si="6"/>
        <v>480.71</v>
      </c>
      <c r="AJ10" s="86" t="str">
        <f t="shared" si="3"/>
        <v>PRI</v>
      </c>
      <c r="AK10" s="93">
        <f t="shared" si="4"/>
        <v>479.23999999999995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12.5</v>
      </c>
      <c r="B11" s="95">
        <f t="shared" si="1"/>
        <v>478.93</v>
      </c>
      <c r="C11" s="96" t="str">
        <f t="shared" si="5"/>
        <v>NAOI</v>
      </c>
      <c r="D11" s="190"/>
      <c r="E11" s="117">
        <v>0.33</v>
      </c>
      <c r="X11" s="107"/>
      <c r="Y11" s="108"/>
      <c r="Z11" s="109"/>
      <c r="AA11" s="110">
        <v>1.78</v>
      </c>
      <c r="AB11" s="111"/>
      <c r="AC11" s="112" t="str">
        <f t="shared" si="11"/>
        <v/>
      </c>
      <c r="AD11" s="113">
        <f t="shared" si="13"/>
        <v>478.93</v>
      </c>
      <c r="AE11" s="114">
        <v>1</v>
      </c>
      <c r="AF11" s="113">
        <f t="shared" si="12"/>
        <v>12.5</v>
      </c>
      <c r="AG11" s="115" t="s">
        <v>9</v>
      </c>
      <c r="AH11" s="86">
        <f t="shared" si="2"/>
        <v>478.93</v>
      </c>
      <c r="AI11" s="86">
        <f t="shared" si="6"/>
        <v>480.71</v>
      </c>
      <c r="AJ11" s="86" t="str">
        <f t="shared" si="3"/>
        <v>NAOI</v>
      </c>
      <c r="AK11" s="93">
        <f t="shared" si="4"/>
        <v>478.93</v>
      </c>
      <c r="AL11" s="86">
        <f t="shared" si="7"/>
        <v>478.93</v>
      </c>
      <c r="AM11" s="93">
        <f t="shared" si="8"/>
        <v>12.5</v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13.2</v>
      </c>
      <c r="B12" s="95">
        <f t="shared" si="1"/>
        <v>478.81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0.12</v>
      </c>
      <c r="AB12" s="111"/>
      <c r="AC12" s="112" t="str">
        <f>IF(AA12="",AD12+Z12,"")</f>
        <v/>
      </c>
      <c r="AD12" s="113">
        <f t="shared" si="13"/>
        <v>478.81</v>
      </c>
      <c r="AE12" s="114">
        <v>0.7</v>
      </c>
      <c r="AF12" s="113">
        <f t="shared" si="12"/>
        <v>13.2</v>
      </c>
      <c r="AG12" s="115"/>
      <c r="AH12" s="86">
        <f t="shared" si="2"/>
        <v>478.93</v>
      </c>
      <c r="AI12" s="86">
        <f t="shared" si="6"/>
        <v>480.71</v>
      </c>
      <c r="AJ12" s="86" t="str">
        <f t="shared" si="3"/>
        <v>NAOI</v>
      </c>
      <c r="AK12" s="93">
        <f t="shared" si="4"/>
        <v>478.93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13.7</v>
      </c>
      <c r="B13" s="95">
        <f t="shared" si="1"/>
        <v>478.79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0.14000000000000001</v>
      </c>
      <c r="AB13" s="111"/>
      <c r="AC13" s="112" t="str">
        <f t="shared" si="11"/>
        <v/>
      </c>
      <c r="AD13" s="113">
        <f t="shared" si="13"/>
        <v>478.79</v>
      </c>
      <c r="AE13" s="114">
        <v>0.5</v>
      </c>
      <c r="AF13" s="113">
        <f t="shared" si="12"/>
        <v>13.7</v>
      </c>
      <c r="AG13" s="115"/>
      <c r="AH13" s="86">
        <f t="shared" si="2"/>
        <v>478.93</v>
      </c>
      <c r="AI13" s="86">
        <f t="shared" si="6"/>
        <v>480.71</v>
      </c>
      <c r="AJ13" s="86" t="str">
        <f t="shared" si="3"/>
        <v>NAOI</v>
      </c>
      <c r="AK13" s="93">
        <f t="shared" si="4"/>
        <v>478.93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14.2</v>
      </c>
      <c r="B14" s="95">
        <f t="shared" si="1"/>
        <v>478.73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0.2</v>
      </c>
      <c r="AB14" s="111"/>
      <c r="AC14" s="112" t="str">
        <f t="shared" si="11"/>
        <v/>
      </c>
      <c r="AD14" s="113">
        <f t="shared" si="13"/>
        <v>478.73</v>
      </c>
      <c r="AE14" s="114">
        <v>0.5</v>
      </c>
      <c r="AF14" s="113">
        <f t="shared" si="12"/>
        <v>14.2</v>
      </c>
      <c r="AG14" s="116"/>
      <c r="AH14" s="86">
        <f t="shared" si="2"/>
        <v>478.93</v>
      </c>
      <c r="AI14" s="86">
        <f t="shared" si="6"/>
        <v>480.71</v>
      </c>
      <c r="AJ14" s="86" t="str">
        <f t="shared" si="3"/>
        <v>NAOI</v>
      </c>
      <c r="AK14" s="93">
        <f>IF(AND(AJ14="NAOI",AJ13="NAOI"),AK13,AD14)</f>
        <v>478.93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14.7</v>
      </c>
      <c r="B15" s="95">
        <f t="shared" si="1"/>
        <v>478.72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0.21</v>
      </c>
      <c r="AB15" s="111"/>
      <c r="AC15" s="112" t="str">
        <f t="shared" si="11"/>
        <v/>
      </c>
      <c r="AD15" s="113">
        <f t="shared" si="13"/>
        <v>478.72</v>
      </c>
      <c r="AE15" s="114">
        <v>0.5</v>
      </c>
      <c r="AF15" s="113">
        <f t="shared" si="12"/>
        <v>14.7</v>
      </c>
      <c r="AG15" s="115"/>
      <c r="AH15" s="86">
        <f t="shared" si="2"/>
        <v>478.93</v>
      </c>
      <c r="AI15" s="86">
        <f t="shared" si="6"/>
        <v>480.71</v>
      </c>
      <c r="AJ15" s="86" t="str">
        <f t="shared" si="3"/>
        <v>NAOI</v>
      </c>
      <c r="AK15" s="93">
        <f>IF(AND(AJ15="NAOI",AJ14="NAOI"),AK14,AD15)</f>
        <v>478.93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15.2</v>
      </c>
      <c r="B16" s="95">
        <f t="shared" si="1"/>
        <v>478.73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0.2</v>
      </c>
      <c r="AB16" s="111"/>
      <c r="AC16" s="112" t="str">
        <f t="shared" si="11"/>
        <v/>
      </c>
      <c r="AD16" s="113">
        <f t="shared" si="13"/>
        <v>478.73</v>
      </c>
      <c r="AE16" s="114">
        <v>0.5</v>
      </c>
      <c r="AF16" s="113">
        <f t="shared" si="12"/>
        <v>15.2</v>
      </c>
      <c r="AG16" s="118"/>
      <c r="AH16" s="86">
        <f t="shared" si="2"/>
        <v>478.93</v>
      </c>
      <c r="AI16" s="86">
        <f t="shared" si="6"/>
        <v>480.71</v>
      </c>
      <c r="AJ16" s="86" t="str">
        <f t="shared" si="3"/>
        <v>NAOI</v>
      </c>
      <c r="AK16" s="93">
        <f>IF(AND(AJ16="NAOI",AJ15="NAOI"),AK15,AD16)</f>
        <v>478.93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15.7</v>
      </c>
      <c r="B17" s="95">
        <f t="shared" si="1"/>
        <v>478.66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0.27</v>
      </c>
      <c r="AB17" s="111"/>
      <c r="AC17" s="112" t="str">
        <f t="shared" si="11"/>
        <v/>
      </c>
      <c r="AD17" s="113">
        <f t="shared" si="13"/>
        <v>478.66</v>
      </c>
      <c r="AE17" s="114">
        <v>0.5</v>
      </c>
      <c r="AF17" s="113">
        <f t="shared" si="12"/>
        <v>15.7</v>
      </c>
      <c r="AG17" s="118"/>
      <c r="AH17" s="86">
        <f t="shared" si="2"/>
        <v>478.93</v>
      </c>
      <c r="AI17" s="86">
        <f t="shared" si="6"/>
        <v>480.71</v>
      </c>
      <c r="AJ17" s="86" t="str">
        <f t="shared" si="3"/>
        <v>NAOI</v>
      </c>
      <c r="AK17" s="93">
        <f t="shared" ref="AK17:AK46" si="15">IF(AND(AJ17="NAOI",AJ16="NAOI"),AK16,AD17)</f>
        <v>478.93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16.099999999999998</v>
      </c>
      <c r="B18" s="95">
        <f t="shared" si="1"/>
        <v>478.69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0.24</v>
      </c>
      <c r="AB18" s="111"/>
      <c r="AC18" s="112" t="str">
        <f t="shared" si="11"/>
        <v/>
      </c>
      <c r="AD18" s="113">
        <f t="shared" si="13"/>
        <v>478.69</v>
      </c>
      <c r="AE18" s="114">
        <v>0.4</v>
      </c>
      <c r="AF18" s="113">
        <f t="shared" si="12"/>
        <v>16.099999999999998</v>
      </c>
      <c r="AG18" s="118"/>
      <c r="AH18" s="86">
        <f t="shared" si="2"/>
        <v>478.93</v>
      </c>
      <c r="AI18" s="86">
        <f t="shared" si="6"/>
        <v>480.71</v>
      </c>
      <c r="AJ18" s="86" t="str">
        <f t="shared" si="3"/>
        <v>NAOI</v>
      </c>
      <c r="AK18" s="93">
        <f t="shared" si="15"/>
        <v>478.93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16.499999999999996</v>
      </c>
      <c r="B19" s="95">
        <f t="shared" si="1"/>
        <v>478.56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0.37</v>
      </c>
      <c r="AB19" s="111"/>
      <c r="AC19" s="112" t="str">
        <f t="shared" si="11"/>
        <v/>
      </c>
      <c r="AD19" s="113">
        <f t="shared" si="13"/>
        <v>478.56</v>
      </c>
      <c r="AE19" s="114">
        <v>0.4</v>
      </c>
      <c r="AF19" s="113">
        <f t="shared" si="12"/>
        <v>16.499999999999996</v>
      </c>
      <c r="AG19" s="118"/>
      <c r="AH19" s="86">
        <f t="shared" si="2"/>
        <v>478.93</v>
      </c>
      <c r="AI19" s="86">
        <f t="shared" si="6"/>
        <v>480.71</v>
      </c>
      <c r="AJ19" s="86" t="str">
        <f t="shared" si="3"/>
        <v>NAOI</v>
      </c>
      <c r="AK19" s="93">
        <f t="shared" si="15"/>
        <v>478.93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16.899999999999995</v>
      </c>
      <c r="B20" s="95">
        <f t="shared" si="1"/>
        <v>478.6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0.33</v>
      </c>
      <c r="AB20" s="111"/>
      <c r="AC20" s="112" t="str">
        <f t="shared" si="11"/>
        <v/>
      </c>
      <c r="AD20" s="113">
        <f t="shared" si="13"/>
        <v>478.6</v>
      </c>
      <c r="AE20" s="114">
        <v>0.4</v>
      </c>
      <c r="AF20" s="113">
        <f t="shared" si="12"/>
        <v>16.899999999999995</v>
      </c>
      <c r="AG20" s="118"/>
      <c r="AH20" s="86">
        <f t="shared" si="2"/>
        <v>478.93</v>
      </c>
      <c r="AI20" s="86">
        <f t="shared" si="6"/>
        <v>480.71</v>
      </c>
      <c r="AJ20" s="86" t="str">
        <f t="shared" si="3"/>
        <v>NAOI</v>
      </c>
      <c r="AK20" s="93">
        <f t="shared" si="15"/>
        <v>478.93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17.299999999999994</v>
      </c>
      <c r="B21" s="95">
        <f t="shared" si="1"/>
        <v>478.61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0.32</v>
      </c>
      <c r="AB21" s="111"/>
      <c r="AC21" s="112" t="str">
        <f t="shared" si="11"/>
        <v/>
      </c>
      <c r="AD21" s="113">
        <f t="shared" si="13"/>
        <v>478.61</v>
      </c>
      <c r="AE21" s="114">
        <v>0.4</v>
      </c>
      <c r="AF21" s="113">
        <f t="shared" si="12"/>
        <v>17.299999999999994</v>
      </c>
      <c r="AG21" s="118"/>
      <c r="AH21" s="86">
        <f t="shared" si="2"/>
        <v>478.93</v>
      </c>
      <c r="AI21" s="86">
        <f t="shared" si="6"/>
        <v>480.71</v>
      </c>
      <c r="AJ21" s="86" t="str">
        <f t="shared" si="3"/>
        <v>NAOI</v>
      </c>
      <c r="AK21" s="93">
        <f t="shared" si="15"/>
        <v>478.93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17.699999999999992</v>
      </c>
      <c r="B22" s="95">
        <f t="shared" si="1"/>
        <v>478.57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0.36</v>
      </c>
      <c r="AB22" s="111"/>
      <c r="AC22" s="112" t="str">
        <f t="shared" si="11"/>
        <v/>
      </c>
      <c r="AD22" s="113">
        <f t="shared" si="13"/>
        <v>478.57</v>
      </c>
      <c r="AE22" s="114">
        <v>0.4</v>
      </c>
      <c r="AF22" s="113">
        <f t="shared" si="12"/>
        <v>17.699999999999992</v>
      </c>
      <c r="AG22" s="118"/>
      <c r="AH22" s="86">
        <f t="shared" si="2"/>
        <v>478.93</v>
      </c>
      <c r="AI22" s="86">
        <f t="shared" si="6"/>
        <v>480.71</v>
      </c>
      <c r="AJ22" s="86" t="str">
        <f t="shared" si="3"/>
        <v>NAOI</v>
      </c>
      <c r="AK22" s="93">
        <f t="shared" si="15"/>
        <v>478.93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18.099999999999991</v>
      </c>
      <c r="B23" s="95">
        <f t="shared" si="1"/>
        <v>478.54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0.39</v>
      </c>
      <c r="AB23" s="111"/>
      <c r="AC23" s="112" t="str">
        <f t="shared" si="11"/>
        <v/>
      </c>
      <c r="AD23" s="113">
        <f t="shared" si="13"/>
        <v>478.54</v>
      </c>
      <c r="AE23" s="114">
        <v>0.4</v>
      </c>
      <c r="AF23" s="113">
        <f t="shared" si="12"/>
        <v>18.099999999999991</v>
      </c>
      <c r="AG23" s="118"/>
      <c r="AH23" s="86">
        <f t="shared" si="2"/>
        <v>478.93</v>
      </c>
      <c r="AI23" s="86">
        <f t="shared" si="6"/>
        <v>480.71</v>
      </c>
      <c r="AJ23" s="86" t="str">
        <f t="shared" si="3"/>
        <v>NAOI</v>
      </c>
      <c r="AK23" s="93">
        <f t="shared" si="15"/>
        <v>478.93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18.499999999999989</v>
      </c>
      <c r="B24" s="95">
        <f t="shared" si="1"/>
        <v>478.51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0.42</v>
      </c>
      <c r="AB24" s="111"/>
      <c r="AC24" s="112" t="str">
        <f t="shared" si="11"/>
        <v/>
      </c>
      <c r="AD24" s="113">
        <f t="shared" si="13"/>
        <v>478.51</v>
      </c>
      <c r="AE24" s="114">
        <v>0.4</v>
      </c>
      <c r="AF24" s="113">
        <f t="shared" si="12"/>
        <v>18.499999999999989</v>
      </c>
      <c r="AG24" s="118"/>
      <c r="AH24" s="86">
        <f t="shared" si="2"/>
        <v>478.93</v>
      </c>
      <c r="AI24" s="86">
        <f t="shared" si="6"/>
        <v>480.71</v>
      </c>
      <c r="AJ24" s="86" t="str">
        <f t="shared" si="3"/>
        <v>NAOI</v>
      </c>
      <c r="AK24" s="93">
        <f t="shared" si="15"/>
        <v>478.93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18.899999999999988</v>
      </c>
      <c r="B25" s="95">
        <f t="shared" si="1"/>
        <v>478.6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0.33</v>
      </c>
      <c r="AB25" s="111"/>
      <c r="AC25" s="112" t="str">
        <f t="shared" si="11"/>
        <v/>
      </c>
      <c r="AD25" s="113">
        <f t="shared" si="13"/>
        <v>478.6</v>
      </c>
      <c r="AE25" s="114">
        <v>0.4</v>
      </c>
      <c r="AF25" s="113">
        <f t="shared" si="12"/>
        <v>18.899999999999988</v>
      </c>
      <c r="AG25" s="118"/>
      <c r="AH25" s="86">
        <f t="shared" si="2"/>
        <v>478.93</v>
      </c>
      <c r="AI25" s="86">
        <f t="shared" si="6"/>
        <v>480.71</v>
      </c>
      <c r="AJ25" s="86" t="str">
        <f t="shared" si="3"/>
        <v>NAOI</v>
      </c>
      <c r="AK25" s="93">
        <f t="shared" si="15"/>
        <v>478.93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19.299999999999986</v>
      </c>
      <c r="B26" s="95">
        <f t="shared" si="1"/>
        <v>478.64</v>
      </c>
      <c r="C26" s="96" t="str">
        <f t="shared" si="5"/>
        <v/>
      </c>
      <c r="D26" s="190"/>
      <c r="E26" s="117">
        <v>1.7</v>
      </c>
      <c r="X26" s="107"/>
      <c r="Y26" s="108"/>
      <c r="Z26" s="109"/>
      <c r="AA26" s="110">
        <v>0.28999999999999998</v>
      </c>
      <c r="AB26" s="111"/>
      <c r="AC26" s="112" t="str">
        <f t="shared" si="11"/>
        <v/>
      </c>
      <c r="AD26" s="113">
        <f t="shared" si="13"/>
        <v>478.64</v>
      </c>
      <c r="AE26" s="114">
        <v>0.4</v>
      </c>
      <c r="AF26" s="113">
        <f t="shared" si="12"/>
        <v>19.299999999999986</v>
      </c>
      <c r="AG26" s="115"/>
      <c r="AH26" s="86">
        <f t="shared" si="2"/>
        <v>478.93</v>
      </c>
      <c r="AI26" s="86">
        <f t="shared" si="6"/>
        <v>480.71</v>
      </c>
      <c r="AJ26" s="86" t="str">
        <f t="shared" si="3"/>
        <v>NAOI</v>
      </c>
      <c r="AK26" s="93">
        <f t="shared" si="15"/>
        <v>478.93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19.799999999999986</v>
      </c>
      <c r="B27" s="95">
        <f t="shared" si="1"/>
        <v>478.82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0.11</v>
      </c>
      <c r="AB27" s="111"/>
      <c r="AC27" s="112" t="str">
        <f t="shared" si="11"/>
        <v/>
      </c>
      <c r="AD27" s="113">
        <f t="shared" si="13"/>
        <v>478.82</v>
      </c>
      <c r="AE27" s="114">
        <v>0.5</v>
      </c>
      <c r="AF27" s="113">
        <f t="shared" si="12"/>
        <v>19.799999999999986</v>
      </c>
      <c r="AG27" s="118"/>
      <c r="AH27" s="86">
        <f t="shared" si="2"/>
        <v>478.93</v>
      </c>
      <c r="AI27" s="86">
        <f t="shared" si="6"/>
        <v>480.71</v>
      </c>
      <c r="AJ27" s="86" t="str">
        <f t="shared" si="3"/>
        <v>NAOI</v>
      </c>
      <c r="AK27" s="93">
        <f t="shared" si="15"/>
        <v>478.93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20.299999999999986</v>
      </c>
      <c r="B28" s="95">
        <f t="shared" si="1"/>
        <v>478.73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0.2</v>
      </c>
      <c r="AB28" s="111"/>
      <c r="AC28" s="112" t="str">
        <f t="shared" si="11"/>
        <v/>
      </c>
      <c r="AD28" s="113">
        <f t="shared" si="13"/>
        <v>478.73</v>
      </c>
      <c r="AE28" s="114">
        <v>0.5</v>
      </c>
      <c r="AF28" s="113">
        <f t="shared" si="12"/>
        <v>20.299999999999986</v>
      </c>
      <c r="AG28" s="118"/>
      <c r="AH28" s="86">
        <f t="shared" si="2"/>
        <v>480.71</v>
      </c>
      <c r="AI28" s="86">
        <f t="shared" si="6"/>
        <v>480.71</v>
      </c>
      <c r="AJ28" s="86" t="str">
        <f t="shared" si="3"/>
        <v>NAOI</v>
      </c>
      <c r="AK28" s="93">
        <f t="shared" si="15"/>
        <v>478.93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21.199999999999985</v>
      </c>
      <c r="B29" s="95">
        <f t="shared" si="1"/>
        <v>478.93</v>
      </c>
      <c r="C29" s="96" t="str">
        <f t="shared" si="5"/>
        <v>NAOD</v>
      </c>
      <c r="D29" s="190"/>
      <c r="E29" s="117">
        <v>1.2</v>
      </c>
      <c r="X29" s="107"/>
      <c r="Y29" s="108"/>
      <c r="Z29" s="109"/>
      <c r="AA29" s="110">
        <v>1.78</v>
      </c>
      <c r="AB29" s="111"/>
      <c r="AC29" s="112" t="str">
        <f t="shared" si="11"/>
        <v/>
      </c>
      <c r="AD29" s="113">
        <f t="shared" si="13"/>
        <v>478.93</v>
      </c>
      <c r="AE29" s="114">
        <v>0.9</v>
      </c>
      <c r="AF29" s="113">
        <f t="shared" si="12"/>
        <v>21.199999999999985</v>
      </c>
      <c r="AG29" s="115" t="s">
        <v>10</v>
      </c>
      <c r="AH29" s="86">
        <f t="shared" si="2"/>
        <v>480.71</v>
      </c>
      <c r="AI29" s="86">
        <f t="shared" si="6"/>
        <v>480.71</v>
      </c>
      <c r="AJ29" s="86" t="str">
        <f t="shared" si="3"/>
        <v>NAOD</v>
      </c>
      <c r="AK29" s="93">
        <f t="shared" si="15"/>
        <v>478.93</v>
      </c>
      <c r="AL29" s="86" t="str">
        <f t="shared" si="7"/>
        <v/>
      </c>
      <c r="AM29" s="93" t="str">
        <f t="shared" si="8"/>
        <v/>
      </c>
      <c r="AN29" s="86">
        <f t="shared" si="9"/>
        <v>478.93</v>
      </c>
      <c r="AO29" s="86">
        <f t="shared" si="10"/>
        <v>21.199999999999985</v>
      </c>
      <c r="AP29" s="86">
        <f t="shared" si="14"/>
        <v>0</v>
      </c>
    </row>
    <row r="30" spans="1:42" ht="15.75" x14ac:dyDescent="0.25">
      <c r="A30" s="94">
        <f t="shared" si="0"/>
        <v>27.699999999999985</v>
      </c>
      <c r="B30" s="95">
        <f t="shared" si="1"/>
        <v>479.62</v>
      </c>
      <c r="C30" s="96" t="str">
        <f t="shared" si="5"/>
        <v/>
      </c>
      <c r="D30" s="190"/>
      <c r="E30" s="117">
        <v>0.8</v>
      </c>
      <c r="X30" s="107"/>
      <c r="Y30" s="108"/>
      <c r="Z30" s="109"/>
      <c r="AA30" s="110">
        <v>1.0900000000000001</v>
      </c>
      <c r="AB30" s="111"/>
      <c r="AC30" s="112" t="str">
        <f t="shared" si="11"/>
        <v/>
      </c>
      <c r="AD30" s="113">
        <f t="shared" si="13"/>
        <v>479.62</v>
      </c>
      <c r="AE30" s="114">
        <v>6.5</v>
      </c>
      <c r="AF30" s="113">
        <f t="shared" si="12"/>
        <v>27.699999999999985</v>
      </c>
      <c r="AG30" s="115"/>
      <c r="AH30" s="86">
        <f t="shared" si="2"/>
        <v>480.71</v>
      </c>
      <c r="AI30" s="86">
        <f t="shared" si="6"/>
        <v>480.71</v>
      </c>
      <c r="AJ30" s="86" t="str">
        <f t="shared" si="3"/>
        <v>NAOD</v>
      </c>
      <c r="AK30" s="93">
        <f t="shared" si="15"/>
        <v>479.62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29.999999999999986</v>
      </c>
      <c r="B31" s="95">
        <f t="shared" si="1"/>
        <v>480.39</v>
      </c>
      <c r="C31" s="96" t="str">
        <f t="shared" si="5"/>
        <v/>
      </c>
      <c r="D31" s="190"/>
      <c r="E31" s="117">
        <v>0.55000000000000004</v>
      </c>
      <c r="X31" s="107"/>
      <c r="Y31" s="108"/>
      <c r="Z31" s="109"/>
      <c r="AA31" s="110">
        <v>0.32</v>
      </c>
      <c r="AB31" s="111"/>
      <c r="AC31" s="112" t="str">
        <f t="shared" si="11"/>
        <v/>
      </c>
      <c r="AD31" s="113">
        <f t="shared" si="13"/>
        <v>480.39</v>
      </c>
      <c r="AE31" s="114">
        <v>2.2999999999999998</v>
      </c>
      <c r="AF31" s="113">
        <f t="shared" si="12"/>
        <v>29.999999999999986</v>
      </c>
      <c r="AG31" s="115"/>
      <c r="AH31" s="86">
        <f t="shared" si="2"/>
        <v>480.71</v>
      </c>
      <c r="AI31" s="86">
        <f t="shared" si="6"/>
        <v>480.71</v>
      </c>
      <c r="AJ31" s="86" t="str">
        <f t="shared" si="3"/>
        <v>NAOD</v>
      </c>
      <c r="AK31" s="93">
        <f t="shared" si="15"/>
        <v>480.39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ref="A32:A33" si="16">AF32</f>
        <v>29.999999999999986</v>
      </c>
      <c r="B32" s="95">
        <f t="shared" ref="B32:B33" si="17">AD32</f>
        <v>480.709</v>
      </c>
      <c r="C32" s="96" t="str">
        <f t="shared" si="5"/>
        <v/>
      </c>
      <c r="D32" s="190"/>
      <c r="E32" s="117">
        <v>0.35</v>
      </c>
      <c r="X32" s="107"/>
      <c r="Y32" s="108"/>
      <c r="Z32" s="109"/>
      <c r="AA32" s="110">
        <v>1E-3</v>
      </c>
      <c r="AB32" s="111"/>
      <c r="AC32" s="112"/>
      <c r="AD32" s="113">
        <f t="shared" si="13"/>
        <v>480.709</v>
      </c>
      <c r="AE32" s="114">
        <v>0</v>
      </c>
      <c r="AF32" s="113">
        <f t="shared" si="12"/>
        <v>29.999999999999986</v>
      </c>
      <c r="AG32" s="115"/>
      <c r="AH32" s="86">
        <f t="shared" si="2"/>
        <v>480.71</v>
      </c>
      <c r="AI32" s="86">
        <f t="shared" si="6"/>
        <v>480.71</v>
      </c>
      <c r="AJ32" s="86" t="str">
        <f t="shared" si="3"/>
        <v>NAOD</v>
      </c>
      <c r="AK32" s="93">
        <f t="shared" si="15"/>
        <v>480.709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16"/>
        <v>30.999999999999986</v>
      </c>
      <c r="B33" s="95">
        <f t="shared" si="17"/>
        <v>480.709</v>
      </c>
      <c r="C33" s="96" t="str">
        <f t="shared" si="5"/>
        <v>PRD</v>
      </c>
      <c r="D33" s="190"/>
      <c r="X33" s="107"/>
      <c r="Y33" s="108"/>
      <c r="Z33" s="109"/>
      <c r="AA33" s="110">
        <v>1E-3</v>
      </c>
      <c r="AB33" s="111"/>
      <c r="AC33" s="112"/>
      <c r="AD33" s="113">
        <f t="shared" si="13"/>
        <v>480.709</v>
      </c>
      <c r="AE33" s="114">
        <v>1</v>
      </c>
      <c r="AF33" s="113">
        <f t="shared" si="12"/>
        <v>30.999999999999986</v>
      </c>
      <c r="AG33" s="115" t="s">
        <v>5</v>
      </c>
      <c r="AH33" s="86">
        <f t="shared" si="2"/>
        <v>480.71</v>
      </c>
      <c r="AI33" s="86">
        <f t="shared" si="6"/>
        <v>480.71</v>
      </c>
      <c r="AJ33" s="86" t="str">
        <f t="shared" si="3"/>
        <v>PRD</v>
      </c>
      <c r="AK33" s="93">
        <f t="shared" si="15"/>
        <v>480.709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5"/>
        <v/>
      </c>
      <c r="D34" s="190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2"/>
        <v>0</v>
      </c>
      <c r="AI34" s="86">
        <f t="shared" si="6"/>
        <v>0</v>
      </c>
      <c r="AJ34" s="86" t="str">
        <f t="shared" si="3"/>
        <v>PRD</v>
      </c>
      <c r="AK34" s="93">
        <f t="shared" si="15"/>
        <v>0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/>
      <c r="B35" s="95"/>
      <c r="C35" s="96" t="str">
        <f t="shared" si="5"/>
        <v/>
      </c>
      <c r="D35" s="190"/>
      <c r="X35" s="107"/>
      <c r="Y35" s="108"/>
      <c r="Z35" s="109"/>
      <c r="AA35" s="110"/>
      <c r="AB35" s="111"/>
      <c r="AC35" s="112"/>
      <c r="AD35" s="113"/>
      <c r="AE35" s="114"/>
      <c r="AF35" s="113"/>
      <c r="AG35" s="115"/>
      <c r="AH35" s="86">
        <f t="shared" si="2"/>
        <v>0</v>
      </c>
      <c r="AI35" s="86">
        <f t="shared" si="6"/>
        <v>0</v>
      </c>
      <c r="AJ35" s="86" t="str">
        <f t="shared" si="3"/>
        <v>PRD</v>
      </c>
      <c r="AK35" s="93">
        <f t="shared" si="15"/>
        <v>0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/>
      <c r="B36" s="95"/>
      <c r="C36" s="96" t="str">
        <f t="shared" si="5"/>
        <v/>
      </c>
      <c r="D36" s="190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6"/>
        <v>0</v>
      </c>
      <c r="AJ36" s="86" t="str">
        <f t="shared" si="3"/>
        <v>PRD</v>
      </c>
      <c r="AK36" s="93">
        <f t="shared" si="15"/>
        <v>0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/>
      <c r="B37" s="95"/>
      <c r="C37" s="96" t="str">
        <f t="shared" si="5"/>
        <v/>
      </c>
      <c r="D37" s="190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>PRD</v>
      </c>
      <c r="AK37" s="93">
        <f t="shared" si="15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/>
      <c r="B38" s="95"/>
      <c r="C38" s="96" t="str">
        <f t="shared" si="5"/>
        <v/>
      </c>
      <c r="D38" s="190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>PRD</v>
      </c>
      <c r="AK38" s="93">
        <f t="shared" si="15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5"/>
        <v/>
      </c>
      <c r="D39" s="190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6"/>
        <v>0</v>
      </c>
      <c r="AJ39" s="86" t="str">
        <f t="shared" si="3"/>
        <v>PRD</v>
      </c>
      <c r="AK39" s="93">
        <f t="shared" si="15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/>
      </c>
      <c r="D40" s="190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>PRD</v>
      </c>
      <c r="AK40" s="93">
        <f t="shared" si="15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>PRD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>PRD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90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>PRD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90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>PRD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>PRD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>PRD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8">IF(AG47="","",AG47)</f>
        <v/>
      </c>
      <c r="D47" s="190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>PRD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8"/>
        <v/>
      </c>
      <c r="D48" s="190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>PRD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9">IF(AJ47="S/BM",1,0)</f>
        <v>0</v>
      </c>
    </row>
    <row r="49" spans="1:42" ht="15.75" x14ac:dyDescent="0.25">
      <c r="A49" s="94"/>
      <c r="B49" s="95"/>
      <c r="C49" s="96" t="str">
        <f t="shared" si="18"/>
        <v/>
      </c>
      <c r="D49" s="190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>PRD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9"/>
        <v>0</v>
      </c>
    </row>
    <row r="50" spans="1:42" ht="15.75" x14ac:dyDescent="0.25">
      <c r="A50" s="94"/>
      <c r="B50" s="95"/>
      <c r="C50" s="96" t="str">
        <f t="shared" si="18"/>
        <v/>
      </c>
      <c r="D50" s="190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>PRD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9"/>
        <v>0</v>
      </c>
    </row>
    <row r="51" spans="1:42" ht="16.5" thickBot="1" x14ac:dyDescent="0.3">
      <c r="A51" s="122"/>
      <c r="B51" s="123"/>
      <c r="C51" s="96" t="str">
        <f t="shared" si="18"/>
        <v/>
      </c>
      <c r="D51" s="190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>PRD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9"/>
        <v>0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12.5</v>
      </c>
      <c r="B53" s="136">
        <f>AL4</f>
        <v>478.93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21.199999999999985</v>
      </c>
      <c r="B54" s="136">
        <f>AN4</f>
        <v>478.93</v>
      </c>
      <c r="C54" s="139" t="s">
        <v>10</v>
      </c>
      <c r="D54" s="178"/>
    </row>
    <row r="55" spans="1:42" ht="20.100000000000001" customHeight="1" x14ac:dyDescent="0.2">
      <c r="A55" s="140">
        <v>13.4</v>
      </c>
      <c r="B55" s="141">
        <v>478.33</v>
      </c>
      <c r="C55" s="142" t="s">
        <v>8</v>
      </c>
      <c r="D55" s="178"/>
    </row>
    <row r="56" spans="1:42" ht="20.100000000000001" customHeight="1" x14ac:dyDescent="0.2">
      <c r="A56" s="140">
        <v>13.4</v>
      </c>
      <c r="B56" s="143">
        <f>B55+2</f>
        <v>480.33</v>
      </c>
      <c r="C56" s="142" t="s">
        <v>8</v>
      </c>
      <c r="D56" s="178"/>
    </row>
    <row r="57" spans="1:42" ht="20.100000000000001" customHeight="1" x14ac:dyDescent="0.2">
      <c r="A57" s="144">
        <v>11.6</v>
      </c>
      <c r="B57" s="143">
        <v>479.31299999999999</v>
      </c>
      <c r="C57" s="145" t="s">
        <v>2</v>
      </c>
      <c r="D57" s="178"/>
    </row>
    <row r="58" spans="1:42" ht="20.100000000000001" customHeight="1" thickBot="1" x14ac:dyDescent="0.25">
      <c r="A58" s="140">
        <v>11.6</v>
      </c>
      <c r="B58" s="143">
        <f>B57+1.5</f>
        <v>480.81299999999999</v>
      </c>
      <c r="C58" s="146" t="s">
        <v>2</v>
      </c>
      <c r="D58" s="178"/>
    </row>
    <row r="59" spans="1:42" ht="13.5" thickBot="1" x14ac:dyDescent="0.25">
      <c r="A59" s="147">
        <v>0</v>
      </c>
      <c r="B59" s="148">
        <v>480.54500000000002</v>
      </c>
      <c r="C59" s="149" t="s">
        <v>7</v>
      </c>
      <c r="D59" s="150"/>
    </row>
    <row r="60" spans="1:42" ht="13.5" thickBot="1" x14ac:dyDescent="0.25">
      <c r="A60" s="151">
        <v>31</v>
      </c>
      <c r="B60" s="148">
        <v>483.51</v>
      </c>
      <c r="C60" s="149" t="s">
        <v>7</v>
      </c>
      <c r="D60" s="150"/>
    </row>
    <row r="61" spans="1:42" ht="18" x14ac:dyDescent="0.25">
      <c r="A61" s="152" t="s">
        <v>75</v>
      </c>
      <c r="B61" s="153"/>
      <c r="C61" s="164"/>
      <c r="D61" s="150"/>
    </row>
    <row r="62" spans="1:42" ht="18" x14ac:dyDescent="0.25">
      <c r="A62" s="152" t="s">
        <v>50</v>
      </c>
      <c r="B62" s="153"/>
      <c r="C62" s="155">
        <f>B55</f>
        <v>478.33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67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76</v>
      </c>
      <c r="C69" s="175"/>
    </row>
    <row r="70" spans="1:4" ht="14.25" x14ac:dyDescent="0.2">
      <c r="A70" s="158" t="s">
        <v>57</v>
      </c>
      <c r="B70" s="175" t="s">
        <v>76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43300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390" priority="85" stopIfTrue="1">
      <formula>$AP$47=1</formula>
    </cfRule>
  </conditionalFormatting>
  <conditionalFormatting sqref="AC46:AF46">
    <cfRule type="expression" dxfId="389" priority="84" stopIfTrue="1">
      <formula>$AP$46</formula>
    </cfRule>
  </conditionalFormatting>
  <conditionalFormatting sqref="AC50:AF50">
    <cfRule type="expression" dxfId="388" priority="83" stopIfTrue="1">
      <formula>$AP$50=1</formula>
    </cfRule>
  </conditionalFormatting>
  <conditionalFormatting sqref="AC51:AF51">
    <cfRule type="expression" dxfId="387" priority="82" stopIfTrue="1">
      <formula>$AP$51=1</formula>
    </cfRule>
  </conditionalFormatting>
  <conditionalFormatting sqref="AC49:AF49">
    <cfRule type="expression" dxfId="386" priority="81" stopIfTrue="1">
      <formula>$AP$49=1</formula>
    </cfRule>
  </conditionalFormatting>
  <conditionalFormatting sqref="AC48:AF48">
    <cfRule type="expression" dxfId="385" priority="80" stopIfTrue="1">
      <formula>$AP$48=1</formula>
    </cfRule>
  </conditionalFormatting>
  <conditionalFormatting sqref="AC45:AF45">
    <cfRule type="expression" dxfId="384" priority="79" stopIfTrue="1">
      <formula>$AP$45=1</formula>
    </cfRule>
  </conditionalFormatting>
  <conditionalFormatting sqref="AC44:AF44">
    <cfRule type="expression" dxfId="383" priority="78" stopIfTrue="1">
      <formula>$AP$44=1</formula>
    </cfRule>
  </conditionalFormatting>
  <conditionalFormatting sqref="AC43:AF43">
    <cfRule type="expression" dxfId="382" priority="77" stopIfTrue="1">
      <formula>$AP$43=1</formula>
    </cfRule>
  </conditionalFormatting>
  <conditionalFormatting sqref="AC42:AF42">
    <cfRule type="expression" dxfId="381" priority="76" stopIfTrue="1">
      <formula>$AP$42=1</formula>
    </cfRule>
  </conditionalFormatting>
  <conditionalFormatting sqref="AC41:AF41">
    <cfRule type="expression" dxfId="380" priority="75" stopIfTrue="1">
      <formula>$AP$41=1</formula>
    </cfRule>
  </conditionalFormatting>
  <conditionalFormatting sqref="AC40:AF40">
    <cfRule type="expression" dxfId="379" priority="74" stopIfTrue="1">
      <formula>$AP$40=1</formula>
    </cfRule>
  </conditionalFormatting>
  <conditionalFormatting sqref="AC39:AF39">
    <cfRule type="expression" dxfId="378" priority="73" stopIfTrue="1">
      <formula>$AP$39=1</formula>
    </cfRule>
  </conditionalFormatting>
  <conditionalFormatting sqref="AC38:AF38">
    <cfRule type="expression" dxfId="377" priority="72" stopIfTrue="1">
      <formula>$AP$38=1</formula>
    </cfRule>
  </conditionalFormatting>
  <conditionalFormatting sqref="AC37:AF37">
    <cfRule type="expression" dxfId="376" priority="71" stopIfTrue="1">
      <formula>$AP$37=1</formula>
    </cfRule>
  </conditionalFormatting>
  <conditionalFormatting sqref="AC36:AF36">
    <cfRule type="expression" dxfId="375" priority="70" stopIfTrue="1">
      <formula>$AP$36=1</formula>
    </cfRule>
  </conditionalFormatting>
  <conditionalFormatting sqref="AC35:AF35">
    <cfRule type="expression" dxfId="374" priority="68" stopIfTrue="1">
      <formula>$AP$35=1</formula>
    </cfRule>
    <cfRule type="expression" dxfId="373" priority="69" stopIfTrue="1">
      <formula>$AP$35=1</formula>
    </cfRule>
  </conditionalFormatting>
  <conditionalFormatting sqref="AC34 AE34">
    <cfRule type="expression" dxfId="372" priority="67" stopIfTrue="1">
      <formula>$AP$34=1</formula>
    </cfRule>
  </conditionalFormatting>
  <conditionalFormatting sqref="AC33 AE33">
    <cfRule type="expression" dxfId="371" priority="66" stopIfTrue="1">
      <formula>$AP$33=1</formula>
    </cfRule>
  </conditionalFormatting>
  <conditionalFormatting sqref="AC32 AE32">
    <cfRule type="expression" dxfId="370" priority="65" stopIfTrue="1">
      <formula>$AP$32=1</formula>
    </cfRule>
  </conditionalFormatting>
  <conditionalFormatting sqref="AC31:AF31 AD32:AD34 AF32:AF34">
    <cfRule type="expression" dxfId="369" priority="64" stopIfTrue="1">
      <formula>$AP$31=1</formula>
    </cfRule>
  </conditionalFormatting>
  <conditionalFormatting sqref="AC30:AF30">
    <cfRule type="expression" dxfId="368" priority="63" stopIfTrue="1">
      <formula>$AP$30</formula>
    </cfRule>
  </conditionalFormatting>
  <conditionalFormatting sqref="AC29:AD29 AF29">
    <cfRule type="expression" dxfId="367" priority="62" stopIfTrue="1">
      <formula>$AP$29=1</formula>
    </cfRule>
  </conditionalFormatting>
  <conditionalFormatting sqref="AC28:AD28 AF28">
    <cfRule type="expression" dxfId="366" priority="61" stopIfTrue="1">
      <formula>$AP$28=1</formula>
    </cfRule>
  </conditionalFormatting>
  <conditionalFormatting sqref="AC27:AD27 AF27">
    <cfRule type="expression" dxfId="365" priority="60" stopIfTrue="1">
      <formula>$AP$27=1</formula>
    </cfRule>
  </conditionalFormatting>
  <conditionalFormatting sqref="AC26:AD26 AF26">
    <cfRule type="expression" dxfId="364" priority="59" stopIfTrue="1">
      <formula>$AP$26=1</formula>
    </cfRule>
  </conditionalFormatting>
  <conditionalFormatting sqref="AC25:AD25 AF25">
    <cfRule type="expression" dxfId="363" priority="58" stopIfTrue="1">
      <formula>$AP$25=1</formula>
    </cfRule>
  </conditionalFormatting>
  <conditionalFormatting sqref="AC24:AD24 AF24">
    <cfRule type="expression" dxfId="362" priority="57" stopIfTrue="1">
      <formula>$AP$24=1</formula>
    </cfRule>
  </conditionalFormatting>
  <conditionalFormatting sqref="AC23:AD23 AF23">
    <cfRule type="expression" dxfId="361" priority="56" stopIfTrue="1">
      <formula>$AP$23=1</formula>
    </cfRule>
  </conditionalFormatting>
  <conditionalFormatting sqref="AC22:AD22 AF22">
    <cfRule type="expression" dxfId="360" priority="55" stopIfTrue="1">
      <formula>$AP$22=1</formula>
    </cfRule>
  </conditionalFormatting>
  <conditionalFormatting sqref="AC21:AD21 AF21">
    <cfRule type="expression" dxfId="359" priority="54" stopIfTrue="1">
      <formula>$AP$21=1</formula>
    </cfRule>
  </conditionalFormatting>
  <conditionalFormatting sqref="AC20:AD20 AF20">
    <cfRule type="expression" dxfId="358" priority="53" stopIfTrue="1">
      <formula>$AP$20=1</formula>
    </cfRule>
  </conditionalFormatting>
  <conditionalFormatting sqref="AC19:AD19 AF19">
    <cfRule type="expression" dxfId="357" priority="52" stopIfTrue="1">
      <formula>$AP$19=1</formula>
    </cfRule>
  </conditionalFormatting>
  <conditionalFormatting sqref="AC18:AD18 AF18">
    <cfRule type="expression" dxfId="356" priority="51" stopIfTrue="1">
      <formula>$AP$18=1</formula>
    </cfRule>
  </conditionalFormatting>
  <conditionalFormatting sqref="AC17:AD17 AF17">
    <cfRule type="expression" dxfId="355" priority="50" stopIfTrue="1">
      <formula>$AP$17=1</formula>
    </cfRule>
  </conditionalFormatting>
  <conditionalFormatting sqref="AC16:AD16 AF16">
    <cfRule type="expression" dxfId="354" priority="49" stopIfTrue="1">
      <formula>$AP$16=1</formula>
    </cfRule>
  </conditionalFormatting>
  <conditionalFormatting sqref="AC15:AD15 AF15">
    <cfRule type="expression" dxfId="353" priority="48" stopIfTrue="1">
      <formula>$AP$15=1</formula>
    </cfRule>
  </conditionalFormatting>
  <conditionalFormatting sqref="AC14:AD14 AF14">
    <cfRule type="expression" dxfId="352" priority="47" stopIfTrue="1">
      <formula>$AP$14=1</formula>
    </cfRule>
  </conditionalFormatting>
  <conditionalFormatting sqref="AC13:AD13 AF13">
    <cfRule type="expression" dxfId="351" priority="46" stopIfTrue="1">
      <formula>$AP$13=1</formula>
    </cfRule>
  </conditionalFormatting>
  <conditionalFormatting sqref="AC12:AD12 AE27:AE29 AF12">
    <cfRule type="expression" dxfId="350" priority="45" stopIfTrue="1">
      <formula>$AP$12=1</formula>
    </cfRule>
  </conditionalFormatting>
  <conditionalFormatting sqref="AC11:AF11 AE12:AE26">
    <cfRule type="expression" dxfId="349" priority="44" stopIfTrue="1">
      <formula>$AP$11=1</formula>
    </cfRule>
  </conditionalFormatting>
  <conditionalFormatting sqref="A51:B51">
    <cfRule type="expression" dxfId="348" priority="43" stopIfTrue="1">
      <formula>$AP$51=1</formula>
    </cfRule>
  </conditionalFormatting>
  <conditionalFormatting sqref="A50:B50">
    <cfRule type="expression" dxfId="347" priority="42" stopIfTrue="1">
      <formula>$AP$50=1</formula>
    </cfRule>
  </conditionalFormatting>
  <conditionalFormatting sqref="A49:B49">
    <cfRule type="expression" dxfId="346" priority="41" stopIfTrue="1">
      <formula>$AP$49=1</formula>
    </cfRule>
  </conditionalFormatting>
  <conditionalFormatting sqref="A48:B48">
    <cfRule type="expression" dxfId="345" priority="40" stopIfTrue="1">
      <formula>$AP$48=1</formula>
    </cfRule>
  </conditionalFormatting>
  <conditionalFormatting sqref="A47:B47">
    <cfRule type="expression" dxfId="344" priority="39" stopIfTrue="1">
      <formula>$AP$47=1</formula>
    </cfRule>
  </conditionalFormatting>
  <conditionalFormatting sqref="A46:B46">
    <cfRule type="expression" dxfId="343" priority="38" stopIfTrue="1">
      <formula>$AP$46=1</formula>
    </cfRule>
  </conditionalFormatting>
  <conditionalFormatting sqref="A45:B45">
    <cfRule type="expression" dxfId="342" priority="37" stopIfTrue="1">
      <formula>$AP$45=1</formula>
    </cfRule>
  </conditionalFormatting>
  <conditionalFormatting sqref="A44:B44">
    <cfRule type="expression" dxfId="341" priority="36" stopIfTrue="1">
      <formula>$AP$44=1</formula>
    </cfRule>
  </conditionalFormatting>
  <conditionalFormatting sqref="A43:B43">
    <cfRule type="expression" dxfId="340" priority="35" stopIfTrue="1">
      <formula>$AP$43=1</formula>
    </cfRule>
  </conditionalFormatting>
  <conditionalFormatting sqref="A42:B42">
    <cfRule type="expression" dxfId="339" priority="34" stopIfTrue="1">
      <formula>$AP$42=1</formula>
    </cfRule>
  </conditionalFormatting>
  <conditionalFormatting sqref="A41:B41">
    <cfRule type="expression" dxfId="338" priority="33" stopIfTrue="1">
      <formula>$AP$41=1</formula>
    </cfRule>
  </conditionalFormatting>
  <conditionalFormatting sqref="A40:B40">
    <cfRule type="expression" dxfId="337" priority="32" stopIfTrue="1">
      <formula>$AP$40=1</formula>
    </cfRule>
  </conditionalFormatting>
  <conditionalFormatting sqref="A39:B39">
    <cfRule type="expression" dxfId="336" priority="31" stopIfTrue="1">
      <formula>$AP$39=1</formula>
    </cfRule>
  </conditionalFormatting>
  <conditionalFormatting sqref="A38:B38">
    <cfRule type="expression" dxfId="335" priority="30" stopIfTrue="1">
      <formula>$AP$38=1</formula>
    </cfRule>
  </conditionalFormatting>
  <conditionalFormatting sqref="A37:B37">
    <cfRule type="expression" dxfId="334" priority="29" stopIfTrue="1">
      <formula>$AP$37=1</formula>
    </cfRule>
  </conditionalFormatting>
  <conditionalFormatting sqref="A36:B36">
    <cfRule type="expression" dxfId="333" priority="28" stopIfTrue="1">
      <formula>$AP$36=1</formula>
    </cfRule>
  </conditionalFormatting>
  <conditionalFormatting sqref="A31:B31">
    <cfRule type="expression" dxfId="332" priority="23" stopIfTrue="1">
      <formula>$AP$31=1</formula>
    </cfRule>
  </conditionalFormatting>
  <conditionalFormatting sqref="A30:B30">
    <cfRule type="expression" dxfId="331" priority="22" stopIfTrue="1">
      <formula>$AP$30=1</formula>
    </cfRule>
  </conditionalFormatting>
  <conditionalFormatting sqref="A29:B29">
    <cfRule type="expression" dxfId="330" priority="21" stopIfTrue="1">
      <formula>$AP$29=1</formula>
    </cfRule>
  </conditionalFormatting>
  <conditionalFormatting sqref="A28:B28">
    <cfRule type="expression" dxfId="329" priority="20" stopIfTrue="1">
      <formula>$AP$28=1</formula>
    </cfRule>
  </conditionalFormatting>
  <conditionalFormatting sqref="A27:B27">
    <cfRule type="expression" dxfId="328" priority="19" stopIfTrue="1">
      <formula>$AP$27=1</formula>
    </cfRule>
  </conditionalFormatting>
  <conditionalFormatting sqref="A26:B26">
    <cfRule type="expression" dxfId="327" priority="18" stopIfTrue="1">
      <formula>$AP$26=1</formula>
    </cfRule>
  </conditionalFormatting>
  <conditionalFormatting sqref="A25:B25">
    <cfRule type="expression" dxfId="326" priority="17" stopIfTrue="1">
      <formula>$AP$25=1</formula>
    </cfRule>
  </conditionalFormatting>
  <conditionalFormatting sqref="A24:B24">
    <cfRule type="expression" dxfId="325" priority="16" stopIfTrue="1">
      <formula>$AP$24=1</formula>
    </cfRule>
  </conditionalFormatting>
  <conditionalFormatting sqref="A23:B23">
    <cfRule type="expression" dxfId="324" priority="15" stopIfTrue="1">
      <formula>$AP$23=1</formula>
    </cfRule>
  </conditionalFormatting>
  <conditionalFormatting sqref="A22:B22">
    <cfRule type="expression" dxfId="323" priority="14" stopIfTrue="1">
      <formula>$AP$22=1</formula>
    </cfRule>
  </conditionalFormatting>
  <conditionalFormatting sqref="A21:B21">
    <cfRule type="expression" dxfId="322" priority="13" stopIfTrue="1">
      <formula>$AP$21=1</formula>
    </cfRule>
  </conditionalFormatting>
  <conditionalFormatting sqref="A20:B20">
    <cfRule type="expression" dxfId="321" priority="12" stopIfTrue="1">
      <formula>$AP$20=1</formula>
    </cfRule>
  </conditionalFormatting>
  <conditionalFormatting sqref="A19:B19">
    <cfRule type="expression" dxfId="320" priority="11" stopIfTrue="1">
      <formula>$AP$19=1</formula>
    </cfRule>
  </conditionalFormatting>
  <conditionalFormatting sqref="A18:B18">
    <cfRule type="expression" dxfId="319" priority="10" stopIfTrue="1">
      <formula>$AP$18=1</formula>
    </cfRule>
  </conditionalFormatting>
  <conditionalFormatting sqref="A17:B17">
    <cfRule type="expression" dxfId="318" priority="9" stopIfTrue="1">
      <formula>$AP$17=1</formula>
    </cfRule>
  </conditionalFormatting>
  <conditionalFormatting sqref="A16:B16">
    <cfRule type="expression" dxfId="317" priority="8" stopIfTrue="1">
      <formula>$AP$16=1</formula>
    </cfRule>
  </conditionalFormatting>
  <conditionalFormatting sqref="A15:B15">
    <cfRule type="expression" dxfId="316" priority="7" stopIfTrue="1">
      <formula>$AP$15=1</formula>
    </cfRule>
  </conditionalFormatting>
  <conditionalFormatting sqref="A14:B14">
    <cfRule type="expression" dxfId="315" priority="6" stopIfTrue="1">
      <formula>$AP$14=1</formula>
    </cfRule>
  </conditionalFormatting>
  <conditionalFormatting sqref="A13:B13">
    <cfRule type="expression" dxfId="314" priority="5" stopIfTrue="1">
      <formula>$AP$13=1</formula>
    </cfRule>
  </conditionalFormatting>
  <conditionalFormatting sqref="A12:B12">
    <cfRule type="expression" dxfId="313" priority="4" stopIfTrue="1">
      <formula>$AP$12=1</formula>
    </cfRule>
  </conditionalFormatting>
  <conditionalFormatting sqref="A11:B11">
    <cfRule type="expression" dxfId="312" priority="3" stopIfTrue="1">
      <formula>$AP$11=1</formula>
    </cfRule>
  </conditionalFormatting>
  <conditionalFormatting sqref="A10:B10">
    <cfRule type="expression" dxfId="311" priority="2" stopIfTrue="1">
      <formula>$AP$10=1</formula>
    </cfRule>
  </conditionalFormatting>
  <conditionalFormatting sqref="A32:B35">
    <cfRule type="expression" dxfId="310" priority="1" stopIfTrue="1">
      <formula>$AP$31=1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AP75"/>
  <sheetViews>
    <sheetView zoomScale="70" zoomScaleNormal="70" workbookViewId="0">
      <selection activeCell="X22" sqref="X22"/>
    </sheetView>
  </sheetViews>
  <sheetFormatPr baseColWidth="10" defaultColWidth="11.42578125" defaultRowHeight="12.75" x14ac:dyDescent="0.2"/>
  <cols>
    <col min="1" max="1" width="9.7109375" style="84" customWidth="1"/>
    <col min="2" max="2" width="12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1" t="s">
        <v>77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478.87399999999997</v>
      </c>
      <c r="AM4" s="93">
        <f>SUM(AM5:AM46)</f>
        <v>14</v>
      </c>
      <c r="AN4" s="93">
        <f>SUM(AN5:AN46)</f>
        <v>478.87399999999997</v>
      </c>
      <c r="AO4" s="93">
        <f>SUM(AO5:AO46)</f>
        <v>22.299999999999983</v>
      </c>
      <c r="AP4" s="86"/>
    </row>
    <row r="5" spans="1:42" ht="15.75" x14ac:dyDescent="0.25">
      <c r="A5" s="94">
        <f t="shared" ref="A5:A33" si="0">AF5</f>
        <v>0</v>
      </c>
      <c r="B5" s="95">
        <f t="shared" ref="B5:B33" si="1">AD5</f>
        <v>480.02</v>
      </c>
      <c r="C5" s="96" t="str">
        <f>IF(AG5="","",AG5)</f>
        <v xml:space="preserve">S/BM </v>
      </c>
      <c r="D5" s="190"/>
      <c r="X5" s="97"/>
      <c r="Y5" s="98"/>
      <c r="Z5" s="99">
        <v>1.145</v>
      </c>
      <c r="AA5" s="100"/>
      <c r="AB5" s="101"/>
      <c r="AC5" s="102">
        <f>IF(AA5="",AD5+Z5,"")</f>
        <v>481.16499999999996</v>
      </c>
      <c r="AD5" s="103">
        <v>480.02</v>
      </c>
      <c r="AE5" s="104">
        <v>0</v>
      </c>
      <c r="AF5" s="105"/>
      <c r="AG5" s="166" t="s">
        <v>46</v>
      </c>
      <c r="AH5" s="86">
        <f t="shared" ref="AH5:AH46" si="2">IF(AND(AJ5="NAOI",AJ5=AJ6),AK5,AI5)</f>
        <v>481.16499999999996</v>
      </c>
      <c r="AI5" s="86">
        <f>IF(AA5="",AC5,AI4)</f>
        <v>481.16499999999996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480.72300000000001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0.442</v>
      </c>
      <c r="AB6" s="111"/>
      <c r="AC6" s="112" t="str">
        <f>IF(AA6="",AD6+Z6,"")</f>
        <v/>
      </c>
      <c r="AD6" s="113">
        <v>480.72300000000001</v>
      </c>
      <c r="AE6" s="114">
        <v>0</v>
      </c>
      <c r="AF6" s="113">
        <f>AE6</f>
        <v>0</v>
      </c>
      <c r="AG6" s="115" t="s">
        <v>4</v>
      </c>
      <c r="AH6" s="86">
        <f t="shared" si="2"/>
        <v>481.16499999999996</v>
      </c>
      <c r="AI6" s="86">
        <f t="shared" ref="AI6:AI46" si="6">IF(AA6="",AC6,AI5)</f>
        <v>481.16499999999996</v>
      </c>
      <c r="AJ6" s="86" t="str">
        <f t="shared" si="3"/>
        <v>PRI</v>
      </c>
      <c r="AK6" s="93">
        <f t="shared" si="4"/>
        <v>480.72300000000001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5</v>
      </c>
      <c r="B7" s="95">
        <f t="shared" si="1"/>
        <v>480.34</v>
      </c>
      <c r="C7" s="96" t="str">
        <f t="shared" si="5"/>
        <v/>
      </c>
      <c r="D7" s="190"/>
      <c r="X7" s="107"/>
      <c r="Y7" s="108"/>
      <c r="Z7" s="109"/>
      <c r="AA7" s="110">
        <v>0.82499999999999996</v>
      </c>
      <c r="AB7" s="111"/>
      <c r="AC7" s="112" t="str">
        <f t="shared" ref="AC7:AC31" si="11">IF(AA7="",AD7+Z7,"")</f>
        <v/>
      </c>
      <c r="AD7" s="113">
        <f>IF(AA7="",AH6-AB7,AH6-AA7)</f>
        <v>480.34</v>
      </c>
      <c r="AE7" s="114">
        <v>5</v>
      </c>
      <c r="AF7" s="113">
        <f t="shared" ref="AF7:AF33" si="12">+AF6+AE7</f>
        <v>5</v>
      </c>
      <c r="AG7" s="116"/>
      <c r="AH7" s="86">
        <f t="shared" si="2"/>
        <v>481.16499999999996</v>
      </c>
      <c r="AI7" s="86">
        <f t="shared" si="6"/>
        <v>481.16499999999996</v>
      </c>
      <c r="AJ7" s="86" t="str">
        <f t="shared" si="3"/>
        <v>PRI</v>
      </c>
      <c r="AK7" s="93">
        <f t="shared" si="4"/>
        <v>480.34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9</v>
      </c>
      <c r="B8" s="95">
        <f t="shared" si="1"/>
        <v>480.44899999999996</v>
      </c>
      <c r="C8" s="96" t="str">
        <f t="shared" si="5"/>
        <v/>
      </c>
      <c r="D8" s="190"/>
      <c r="X8" s="107"/>
      <c r="Y8" s="108"/>
      <c r="Z8" s="109"/>
      <c r="AA8" s="110">
        <v>0.71599999999999997</v>
      </c>
      <c r="AB8" s="111"/>
      <c r="AC8" s="112" t="str">
        <f t="shared" si="11"/>
        <v/>
      </c>
      <c r="AD8" s="113">
        <f>IF(AA8="",AH7-AB8,AH7-AA8)</f>
        <v>480.44899999999996</v>
      </c>
      <c r="AE8" s="114">
        <v>4</v>
      </c>
      <c r="AF8" s="113">
        <f t="shared" si="12"/>
        <v>9</v>
      </c>
      <c r="AG8" s="116"/>
      <c r="AH8" s="86">
        <f t="shared" si="2"/>
        <v>481.16499999999996</v>
      </c>
      <c r="AI8" s="86">
        <f t="shared" si="6"/>
        <v>481.16499999999996</v>
      </c>
      <c r="AJ8" s="86" t="str">
        <f t="shared" si="3"/>
        <v>PRI</v>
      </c>
      <c r="AK8" s="93">
        <f t="shared" si="4"/>
        <v>480.44899999999996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11</v>
      </c>
      <c r="B9" s="95">
        <f t="shared" si="1"/>
        <v>480.20199999999994</v>
      </c>
      <c r="C9" s="96" t="str">
        <f t="shared" si="5"/>
        <v/>
      </c>
      <c r="D9" s="190"/>
      <c r="X9" s="107"/>
      <c r="Y9" s="108"/>
      <c r="Z9" s="109"/>
      <c r="AA9" s="110">
        <v>0.96299999999999997</v>
      </c>
      <c r="AB9" s="111"/>
      <c r="AC9" s="112" t="str">
        <f t="shared" si="11"/>
        <v/>
      </c>
      <c r="AD9" s="113">
        <f>IF(AA9="",AH8-AB9,AH8-AA9)</f>
        <v>480.20199999999994</v>
      </c>
      <c r="AE9" s="114">
        <v>2</v>
      </c>
      <c r="AF9" s="113">
        <f t="shared" si="12"/>
        <v>11</v>
      </c>
      <c r="AG9" s="115"/>
      <c r="AH9" s="86">
        <f t="shared" si="2"/>
        <v>481.16499999999996</v>
      </c>
      <c r="AI9" s="86">
        <f t="shared" si="6"/>
        <v>481.16499999999996</v>
      </c>
      <c r="AJ9" s="86" t="str">
        <f t="shared" si="3"/>
        <v>PRI</v>
      </c>
      <c r="AK9" s="93">
        <f t="shared" si="4"/>
        <v>480.20199999999994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13</v>
      </c>
      <c r="B10" s="95">
        <f t="shared" si="1"/>
        <v>479.26199999999994</v>
      </c>
      <c r="C10" s="96" t="str">
        <f t="shared" si="5"/>
        <v/>
      </c>
      <c r="D10" s="190"/>
      <c r="E10" s="84">
        <f>(B12+B35)/2</f>
        <v>239.36199999999999</v>
      </c>
      <c r="X10" s="107"/>
      <c r="Y10" s="108"/>
      <c r="Z10" s="109"/>
      <c r="AA10" s="110">
        <v>1.903</v>
      </c>
      <c r="AB10" s="111"/>
      <c r="AC10" s="112" t="str">
        <f t="shared" si="11"/>
        <v/>
      </c>
      <c r="AD10" s="113">
        <f t="shared" ref="AD10:AD33" si="13">IF(AJ9="S/BM",AD9,IF(AA10="",AH9-AB10,AH9-AA10))</f>
        <v>479.26199999999994</v>
      </c>
      <c r="AE10" s="114">
        <v>2</v>
      </c>
      <c r="AF10" s="113">
        <f t="shared" si="12"/>
        <v>13</v>
      </c>
      <c r="AG10" s="116"/>
      <c r="AH10" s="86">
        <f t="shared" si="2"/>
        <v>481.16499999999996</v>
      </c>
      <c r="AI10" s="86">
        <f t="shared" si="6"/>
        <v>481.16499999999996</v>
      </c>
      <c r="AJ10" s="86" t="str">
        <f t="shared" si="3"/>
        <v>PRI</v>
      </c>
      <c r="AK10" s="93">
        <f t="shared" si="4"/>
        <v>479.26199999999994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14</v>
      </c>
      <c r="B11" s="95">
        <f t="shared" si="1"/>
        <v>478.87399999999997</v>
      </c>
      <c r="C11" s="96" t="str">
        <f t="shared" si="5"/>
        <v>NAOI</v>
      </c>
      <c r="D11" s="190"/>
      <c r="E11" s="117">
        <v>0.33</v>
      </c>
      <c r="X11" s="107"/>
      <c r="Y11" s="108"/>
      <c r="Z11" s="109"/>
      <c r="AA11" s="110">
        <v>2.2909999999999999</v>
      </c>
      <c r="AB11" s="111"/>
      <c r="AC11" s="112" t="str">
        <f t="shared" si="11"/>
        <v/>
      </c>
      <c r="AD11" s="113">
        <f t="shared" si="13"/>
        <v>478.87399999999997</v>
      </c>
      <c r="AE11" s="114">
        <v>1</v>
      </c>
      <c r="AF11" s="113">
        <f t="shared" si="12"/>
        <v>14</v>
      </c>
      <c r="AG11" s="115" t="s">
        <v>9</v>
      </c>
      <c r="AH11" s="86">
        <f t="shared" si="2"/>
        <v>478.87399999999997</v>
      </c>
      <c r="AI11" s="86">
        <f t="shared" si="6"/>
        <v>481.16499999999996</v>
      </c>
      <c r="AJ11" s="86" t="str">
        <f t="shared" si="3"/>
        <v>NAOI</v>
      </c>
      <c r="AK11" s="93">
        <f t="shared" si="4"/>
        <v>478.87399999999997</v>
      </c>
      <c r="AL11" s="86">
        <f t="shared" si="7"/>
        <v>478.87399999999997</v>
      </c>
      <c r="AM11" s="93">
        <f t="shared" si="8"/>
        <v>14</v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14.7</v>
      </c>
      <c r="B12" s="95">
        <f t="shared" si="1"/>
        <v>478.72399999999999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0.15</v>
      </c>
      <c r="AB12" s="111"/>
      <c r="AC12" s="112" t="str">
        <f>IF(AA12="",AD12+Z12,"")</f>
        <v/>
      </c>
      <c r="AD12" s="113">
        <f t="shared" si="13"/>
        <v>478.72399999999999</v>
      </c>
      <c r="AE12" s="114">
        <v>0.7</v>
      </c>
      <c r="AF12" s="113">
        <f t="shared" si="12"/>
        <v>14.7</v>
      </c>
      <c r="AG12" s="115"/>
      <c r="AH12" s="86">
        <f t="shared" si="2"/>
        <v>478.87399999999997</v>
      </c>
      <c r="AI12" s="86">
        <f t="shared" si="6"/>
        <v>481.16499999999996</v>
      </c>
      <c r="AJ12" s="86" t="str">
        <f t="shared" si="3"/>
        <v>NAOI</v>
      </c>
      <c r="AK12" s="93">
        <f t="shared" si="4"/>
        <v>478.87399999999997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15.1</v>
      </c>
      <c r="B13" s="95">
        <f t="shared" si="1"/>
        <v>478.71399999999994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0.16</v>
      </c>
      <c r="AB13" s="111"/>
      <c r="AC13" s="112" t="str">
        <f t="shared" si="11"/>
        <v/>
      </c>
      <c r="AD13" s="113">
        <f t="shared" si="13"/>
        <v>478.71399999999994</v>
      </c>
      <c r="AE13" s="114">
        <v>0.4</v>
      </c>
      <c r="AF13" s="113">
        <f t="shared" si="12"/>
        <v>15.1</v>
      </c>
      <c r="AG13" s="115"/>
      <c r="AH13" s="86">
        <f t="shared" si="2"/>
        <v>478.87399999999997</v>
      </c>
      <c r="AI13" s="86">
        <f t="shared" si="6"/>
        <v>481.16499999999996</v>
      </c>
      <c r="AJ13" s="86" t="str">
        <f t="shared" si="3"/>
        <v>NAOI</v>
      </c>
      <c r="AK13" s="93">
        <f t="shared" si="4"/>
        <v>478.87399999999997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15.5</v>
      </c>
      <c r="B14" s="95">
        <f t="shared" si="1"/>
        <v>478.72399999999999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0.15</v>
      </c>
      <c r="AB14" s="111"/>
      <c r="AC14" s="112" t="str">
        <f t="shared" si="11"/>
        <v/>
      </c>
      <c r="AD14" s="113">
        <f t="shared" si="13"/>
        <v>478.72399999999999</v>
      </c>
      <c r="AE14" s="114">
        <v>0.4</v>
      </c>
      <c r="AF14" s="113">
        <f t="shared" si="12"/>
        <v>15.5</v>
      </c>
      <c r="AG14" s="116"/>
      <c r="AH14" s="86">
        <f t="shared" si="2"/>
        <v>478.87399999999997</v>
      </c>
      <c r="AI14" s="86">
        <f t="shared" si="6"/>
        <v>481.16499999999996</v>
      </c>
      <c r="AJ14" s="86" t="str">
        <f t="shared" si="3"/>
        <v>NAOI</v>
      </c>
      <c r="AK14" s="93">
        <f>IF(AND(AJ14="NAOI",AJ13="NAOI"),AK13,AD14)</f>
        <v>478.87399999999997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15.9</v>
      </c>
      <c r="B15" s="95">
        <f t="shared" si="1"/>
        <v>478.70399999999995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0.17</v>
      </c>
      <c r="AB15" s="111"/>
      <c r="AC15" s="112" t="str">
        <f t="shared" si="11"/>
        <v/>
      </c>
      <c r="AD15" s="113">
        <f t="shared" si="13"/>
        <v>478.70399999999995</v>
      </c>
      <c r="AE15" s="114">
        <v>0.4</v>
      </c>
      <c r="AF15" s="113">
        <f t="shared" si="12"/>
        <v>15.9</v>
      </c>
      <c r="AG15" s="115"/>
      <c r="AH15" s="86">
        <f t="shared" si="2"/>
        <v>478.87399999999997</v>
      </c>
      <c r="AI15" s="86">
        <f t="shared" si="6"/>
        <v>481.16499999999996</v>
      </c>
      <c r="AJ15" s="86" t="str">
        <f t="shared" si="3"/>
        <v>NAOI</v>
      </c>
      <c r="AK15" s="93">
        <f>IF(AND(AJ15="NAOI",AJ14="NAOI"),AK14,AD15)</f>
        <v>478.87399999999997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16.3</v>
      </c>
      <c r="B16" s="95">
        <f t="shared" si="1"/>
        <v>478.69399999999996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0.18</v>
      </c>
      <c r="AB16" s="111"/>
      <c r="AC16" s="112" t="str">
        <f t="shared" si="11"/>
        <v/>
      </c>
      <c r="AD16" s="113">
        <f t="shared" si="13"/>
        <v>478.69399999999996</v>
      </c>
      <c r="AE16" s="114">
        <v>0.4</v>
      </c>
      <c r="AF16" s="113">
        <f t="shared" si="12"/>
        <v>16.3</v>
      </c>
      <c r="AG16" s="118"/>
      <c r="AH16" s="86">
        <f t="shared" si="2"/>
        <v>478.87399999999997</v>
      </c>
      <c r="AI16" s="86">
        <f t="shared" si="6"/>
        <v>481.16499999999996</v>
      </c>
      <c r="AJ16" s="86" t="str">
        <f t="shared" si="3"/>
        <v>NAOI</v>
      </c>
      <c r="AK16" s="93">
        <f>IF(AND(AJ16="NAOI",AJ15="NAOI"),AK15,AD16)</f>
        <v>478.87399999999997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16.7</v>
      </c>
      <c r="B17" s="95">
        <f t="shared" si="1"/>
        <v>478.67399999999998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0.2</v>
      </c>
      <c r="AB17" s="111"/>
      <c r="AC17" s="112" t="str">
        <f t="shared" si="11"/>
        <v/>
      </c>
      <c r="AD17" s="113">
        <f t="shared" si="13"/>
        <v>478.67399999999998</v>
      </c>
      <c r="AE17" s="114">
        <v>0.4</v>
      </c>
      <c r="AF17" s="113">
        <f t="shared" si="12"/>
        <v>16.7</v>
      </c>
      <c r="AG17" s="118"/>
      <c r="AH17" s="86">
        <f t="shared" si="2"/>
        <v>478.87399999999997</v>
      </c>
      <c r="AI17" s="86">
        <f t="shared" si="6"/>
        <v>481.16499999999996</v>
      </c>
      <c r="AJ17" s="86" t="str">
        <f t="shared" si="3"/>
        <v>NAOI</v>
      </c>
      <c r="AK17" s="93">
        <f t="shared" ref="AK17:AK46" si="15">IF(AND(AJ17="NAOI",AJ16="NAOI"),AK16,AD17)</f>
        <v>478.87399999999997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17.099999999999998</v>
      </c>
      <c r="B18" s="95">
        <f t="shared" si="1"/>
        <v>478.65399999999994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0.22</v>
      </c>
      <c r="AB18" s="111"/>
      <c r="AC18" s="112" t="str">
        <f t="shared" si="11"/>
        <v/>
      </c>
      <c r="AD18" s="113">
        <f t="shared" si="13"/>
        <v>478.65399999999994</v>
      </c>
      <c r="AE18" s="114">
        <v>0.4</v>
      </c>
      <c r="AF18" s="113">
        <f t="shared" si="12"/>
        <v>17.099999999999998</v>
      </c>
      <c r="AG18" s="118"/>
      <c r="AH18" s="86">
        <f t="shared" si="2"/>
        <v>478.87399999999997</v>
      </c>
      <c r="AI18" s="86">
        <f t="shared" si="6"/>
        <v>481.16499999999996</v>
      </c>
      <c r="AJ18" s="86" t="str">
        <f t="shared" si="3"/>
        <v>NAOI</v>
      </c>
      <c r="AK18" s="93">
        <f t="shared" si="15"/>
        <v>478.87399999999997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17.499999999999996</v>
      </c>
      <c r="B19" s="95">
        <f t="shared" si="1"/>
        <v>478.65399999999994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0.22</v>
      </c>
      <c r="AB19" s="111"/>
      <c r="AC19" s="112" t="str">
        <f t="shared" si="11"/>
        <v/>
      </c>
      <c r="AD19" s="113">
        <f t="shared" si="13"/>
        <v>478.65399999999994</v>
      </c>
      <c r="AE19" s="114">
        <v>0.4</v>
      </c>
      <c r="AF19" s="113">
        <f t="shared" si="12"/>
        <v>17.499999999999996</v>
      </c>
      <c r="AG19" s="118"/>
      <c r="AH19" s="86">
        <f t="shared" si="2"/>
        <v>478.87399999999997</v>
      </c>
      <c r="AI19" s="86">
        <f t="shared" si="6"/>
        <v>481.16499999999996</v>
      </c>
      <c r="AJ19" s="86" t="str">
        <f t="shared" si="3"/>
        <v>NAOI</v>
      </c>
      <c r="AK19" s="93">
        <f t="shared" si="15"/>
        <v>478.87399999999997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17.899999999999995</v>
      </c>
      <c r="B20" s="95">
        <f t="shared" si="1"/>
        <v>478.66399999999999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0.21</v>
      </c>
      <c r="AB20" s="111"/>
      <c r="AC20" s="112" t="str">
        <f t="shared" si="11"/>
        <v/>
      </c>
      <c r="AD20" s="113">
        <f t="shared" si="13"/>
        <v>478.66399999999999</v>
      </c>
      <c r="AE20" s="114">
        <v>0.4</v>
      </c>
      <c r="AF20" s="113">
        <f t="shared" si="12"/>
        <v>17.899999999999995</v>
      </c>
      <c r="AG20" s="118"/>
      <c r="AH20" s="86">
        <f t="shared" si="2"/>
        <v>478.87399999999997</v>
      </c>
      <c r="AI20" s="86">
        <f t="shared" si="6"/>
        <v>481.16499999999996</v>
      </c>
      <c r="AJ20" s="86" t="str">
        <f t="shared" si="3"/>
        <v>NAOI</v>
      </c>
      <c r="AK20" s="93">
        <f t="shared" si="15"/>
        <v>478.87399999999997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18.299999999999994</v>
      </c>
      <c r="B21" s="95">
        <f t="shared" si="1"/>
        <v>478.65399999999994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0.22</v>
      </c>
      <c r="AB21" s="111"/>
      <c r="AC21" s="112" t="str">
        <f t="shared" si="11"/>
        <v/>
      </c>
      <c r="AD21" s="113">
        <f t="shared" si="13"/>
        <v>478.65399999999994</v>
      </c>
      <c r="AE21" s="114">
        <v>0.4</v>
      </c>
      <c r="AF21" s="113">
        <f t="shared" si="12"/>
        <v>18.299999999999994</v>
      </c>
      <c r="AG21" s="118"/>
      <c r="AH21" s="86">
        <f t="shared" si="2"/>
        <v>478.87399999999997</v>
      </c>
      <c r="AI21" s="86">
        <f t="shared" si="6"/>
        <v>481.16499999999996</v>
      </c>
      <c r="AJ21" s="86" t="str">
        <f t="shared" si="3"/>
        <v>NAOI</v>
      </c>
      <c r="AK21" s="93">
        <f t="shared" si="15"/>
        <v>478.87399999999997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18.699999999999992</v>
      </c>
      <c r="B22" s="95">
        <f t="shared" si="1"/>
        <v>478.63399999999996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0.24</v>
      </c>
      <c r="AB22" s="111"/>
      <c r="AC22" s="112" t="str">
        <f t="shared" si="11"/>
        <v/>
      </c>
      <c r="AD22" s="113">
        <f t="shared" si="13"/>
        <v>478.63399999999996</v>
      </c>
      <c r="AE22" s="114">
        <v>0.4</v>
      </c>
      <c r="AF22" s="113">
        <f t="shared" si="12"/>
        <v>18.699999999999992</v>
      </c>
      <c r="AG22" s="118"/>
      <c r="AH22" s="86">
        <f t="shared" si="2"/>
        <v>478.87399999999997</v>
      </c>
      <c r="AI22" s="86">
        <f t="shared" si="6"/>
        <v>481.16499999999996</v>
      </c>
      <c r="AJ22" s="86" t="str">
        <f t="shared" si="3"/>
        <v>NAOI</v>
      </c>
      <c r="AK22" s="93">
        <f t="shared" si="15"/>
        <v>478.87399999999997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19.099999999999991</v>
      </c>
      <c r="B23" s="95">
        <f t="shared" si="1"/>
        <v>478.65399999999994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0.22</v>
      </c>
      <c r="AB23" s="111"/>
      <c r="AC23" s="112" t="str">
        <f t="shared" si="11"/>
        <v/>
      </c>
      <c r="AD23" s="113">
        <f t="shared" si="13"/>
        <v>478.65399999999994</v>
      </c>
      <c r="AE23" s="114">
        <v>0.4</v>
      </c>
      <c r="AF23" s="113">
        <f t="shared" si="12"/>
        <v>19.099999999999991</v>
      </c>
      <c r="AG23" s="118"/>
      <c r="AH23" s="86">
        <f t="shared" si="2"/>
        <v>478.87399999999997</v>
      </c>
      <c r="AI23" s="86">
        <f t="shared" si="6"/>
        <v>481.16499999999996</v>
      </c>
      <c r="AJ23" s="86" t="str">
        <f t="shared" si="3"/>
        <v>NAOI</v>
      </c>
      <c r="AK23" s="93">
        <f t="shared" si="15"/>
        <v>478.87399999999997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19.499999999999989</v>
      </c>
      <c r="B24" s="95">
        <f t="shared" si="1"/>
        <v>478.65399999999994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0.22</v>
      </c>
      <c r="AB24" s="111"/>
      <c r="AC24" s="112" t="str">
        <f t="shared" si="11"/>
        <v/>
      </c>
      <c r="AD24" s="113">
        <f t="shared" si="13"/>
        <v>478.65399999999994</v>
      </c>
      <c r="AE24" s="114">
        <v>0.4</v>
      </c>
      <c r="AF24" s="113">
        <f t="shared" si="12"/>
        <v>19.499999999999989</v>
      </c>
      <c r="AG24" s="118"/>
      <c r="AH24" s="86">
        <f t="shared" si="2"/>
        <v>478.87399999999997</v>
      </c>
      <c r="AI24" s="86">
        <f t="shared" si="6"/>
        <v>481.16499999999996</v>
      </c>
      <c r="AJ24" s="86" t="str">
        <f t="shared" si="3"/>
        <v>NAOI</v>
      </c>
      <c r="AK24" s="93">
        <f t="shared" si="15"/>
        <v>478.87399999999997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19.899999999999988</v>
      </c>
      <c r="B25" s="95">
        <f t="shared" si="1"/>
        <v>478.70399999999995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0.17</v>
      </c>
      <c r="AB25" s="111"/>
      <c r="AC25" s="112" t="str">
        <f t="shared" si="11"/>
        <v/>
      </c>
      <c r="AD25" s="113">
        <f t="shared" si="13"/>
        <v>478.70399999999995</v>
      </c>
      <c r="AE25" s="114">
        <v>0.4</v>
      </c>
      <c r="AF25" s="113">
        <f t="shared" si="12"/>
        <v>19.899999999999988</v>
      </c>
      <c r="AG25" s="118"/>
      <c r="AH25" s="86">
        <f t="shared" si="2"/>
        <v>478.87399999999997</v>
      </c>
      <c r="AI25" s="86">
        <f t="shared" si="6"/>
        <v>481.16499999999996</v>
      </c>
      <c r="AJ25" s="86" t="str">
        <f t="shared" si="3"/>
        <v>NAOI</v>
      </c>
      <c r="AK25" s="93">
        <f t="shared" si="15"/>
        <v>478.87399999999997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20.299999999999986</v>
      </c>
      <c r="B26" s="95">
        <f t="shared" si="1"/>
        <v>478.60399999999998</v>
      </c>
      <c r="C26" s="96" t="str">
        <f t="shared" si="5"/>
        <v/>
      </c>
      <c r="D26" s="190"/>
      <c r="E26" s="117">
        <v>1.7</v>
      </c>
      <c r="X26" s="107"/>
      <c r="Y26" s="108"/>
      <c r="Z26" s="109"/>
      <c r="AA26" s="110">
        <v>0.27</v>
      </c>
      <c r="AB26" s="111"/>
      <c r="AC26" s="112" t="str">
        <f t="shared" si="11"/>
        <v/>
      </c>
      <c r="AD26" s="113">
        <f t="shared" si="13"/>
        <v>478.60399999999998</v>
      </c>
      <c r="AE26" s="114">
        <v>0.4</v>
      </c>
      <c r="AF26" s="113">
        <f t="shared" si="12"/>
        <v>20.299999999999986</v>
      </c>
      <c r="AG26" s="115"/>
      <c r="AH26" s="86">
        <f t="shared" si="2"/>
        <v>478.87399999999997</v>
      </c>
      <c r="AI26" s="86">
        <f t="shared" si="6"/>
        <v>481.16499999999996</v>
      </c>
      <c r="AJ26" s="86" t="str">
        <f t="shared" si="3"/>
        <v>NAOI</v>
      </c>
      <c r="AK26" s="93">
        <f t="shared" si="15"/>
        <v>478.87399999999997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20.699999999999985</v>
      </c>
      <c r="B27" s="95">
        <f t="shared" si="1"/>
        <v>478.72399999999999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0.15</v>
      </c>
      <c r="AB27" s="111"/>
      <c r="AC27" s="112" t="str">
        <f t="shared" si="11"/>
        <v/>
      </c>
      <c r="AD27" s="113">
        <f t="shared" si="13"/>
        <v>478.72399999999999</v>
      </c>
      <c r="AE27" s="114">
        <v>0.4</v>
      </c>
      <c r="AF27" s="113">
        <f t="shared" si="12"/>
        <v>20.699999999999985</v>
      </c>
      <c r="AG27" s="118"/>
      <c r="AH27" s="86">
        <f t="shared" si="2"/>
        <v>478.87399999999997</v>
      </c>
      <c r="AI27" s="86">
        <f t="shared" si="6"/>
        <v>481.16499999999996</v>
      </c>
      <c r="AJ27" s="86" t="str">
        <f t="shared" si="3"/>
        <v>NAOI</v>
      </c>
      <c r="AK27" s="93">
        <f t="shared" si="15"/>
        <v>478.87399999999997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21.099999999999984</v>
      </c>
      <c r="B28" s="95">
        <f t="shared" si="1"/>
        <v>478.69399999999996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0.18</v>
      </c>
      <c r="AB28" s="111"/>
      <c r="AC28" s="112" t="str">
        <f t="shared" si="11"/>
        <v/>
      </c>
      <c r="AD28" s="113">
        <f t="shared" si="13"/>
        <v>478.69399999999996</v>
      </c>
      <c r="AE28" s="114">
        <v>0.4</v>
      </c>
      <c r="AF28" s="113">
        <f t="shared" si="12"/>
        <v>21.099999999999984</v>
      </c>
      <c r="AG28" s="118"/>
      <c r="AH28" s="86">
        <f t="shared" si="2"/>
        <v>478.87399999999997</v>
      </c>
      <c r="AI28" s="86">
        <f t="shared" si="6"/>
        <v>481.16499999999996</v>
      </c>
      <c r="AJ28" s="86" t="str">
        <f t="shared" si="3"/>
        <v>NAOI</v>
      </c>
      <c r="AK28" s="93">
        <f t="shared" si="15"/>
        <v>478.87399999999997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21.499999999999982</v>
      </c>
      <c r="B29" s="95">
        <f t="shared" si="1"/>
        <v>478.69399999999996</v>
      </c>
      <c r="C29" s="96" t="str">
        <f t="shared" si="5"/>
        <v/>
      </c>
      <c r="D29" s="190"/>
      <c r="E29" s="117">
        <v>1.2</v>
      </c>
      <c r="X29" s="107"/>
      <c r="Y29" s="108"/>
      <c r="Z29" s="109"/>
      <c r="AA29" s="110">
        <v>0.18</v>
      </c>
      <c r="AB29" s="111"/>
      <c r="AC29" s="112" t="str">
        <f t="shared" si="11"/>
        <v/>
      </c>
      <c r="AD29" s="113">
        <f t="shared" si="13"/>
        <v>478.69399999999996</v>
      </c>
      <c r="AE29" s="114">
        <v>0.4</v>
      </c>
      <c r="AF29" s="113">
        <f t="shared" si="12"/>
        <v>21.499999999999982</v>
      </c>
      <c r="AG29" s="115"/>
      <c r="AH29" s="86">
        <f t="shared" si="2"/>
        <v>481.16499999999996</v>
      </c>
      <c r="AI29" s="86">
        <f t="shared" si="6"/>
        <v>481.16499999999996</v>
      </c>
      <c r="AJ29" s="86" t="str">
        <f t="shared" si="3"/>
        <v>NAOI</v>
      </c>
      <c r="AK29" s="93">
        <f t="shared" si="15"/>
        <v>478.87399999999997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22.299999999999983</v>
      </c>
      <c r="B30" s="95">
        <f t="shared" si="1"/>
        <v>478.87399999999997</v>
      </c>
      <c r="C30" s="96" t="str">
        <f t="shared" si="5"/>
        <v>NAOD</v>
      </c>
      <c r="D30" s="190"/>
      <c r="E30" s="117">
        <v>0.8</v>
      </c>
      <c r="X30" s="107"/>
      <c r="Y30" s="108"/>
      <c r="Z30" s="109"/>
      <c r="AA30" s="110">
        <v>2.2909999999999999</v>
      </c>
      <c r="AB30" s="111"/>
      <c r="AC30" s="112" t="str">
        <f t="shared" si="11"/>
        <v/>
      </c>
      <c r="AD30" s="113">
        <f t="shared" si="13"/>
        <v>478.87399999999997</v>
      </c>
      <c r="AE30" s="114">
        <v>0.8</v>
      </c>
      <c r="AF30" s="113">
        <f t="shared" si="12"/>
        <v>22.299999999999983</v>
      </c>
      <c r="AG30" s="115" t="s">
        <v>10</v>
      </c>
      <c r="AH30" s="86">
        <f t="shared" si="2"/>
        <v>481.16499999999996</v>
      </c>
      <c r="AI30" s="86">
        <f t="shared" si="6"/>
        <v>481.16499999999996</v>
      </c>
      <c r="AJ30" s="86" t="str">
        <f t="shared" si="3"/>
        <v>NAOD</v>
      </c>
      <c r="AK30" s="93">
        <f t="shared" si="15"/>
        <v>478.87399999999997</v>
      </c>
      <c r="AL30" s="86" t="str">
        <f t="shared" si="7"/>
        <v/>
      </c>
      <c r="AM30" s="93" t="str">
        <f t="shared" si="8"/>
        <v/>
      </c>
      <c r="AN30" s="86">
        <f t="shared" si="9"/>
        <v>478.87399999999997</v>
      </c>
      <c r="AO30" s="86">
        <f t="shared" si="10"/>
        <v>22.299999999999983</v>
      </c>
      <c r="AP30" s="86">
        <f t="shared" si="14"/>
        <v>0</v>
      </c>
    </row>
    <row r="31" spans="1:42" ht="15.75" x14ac:dyDescent="0.25">
      <c r="A31" s="94">
        <f t="shared" si="0"/>
        <v>23.799999999999983</v>
      </c>
      <c r="B31" s="95">
        <f t="shared" si="1"/>
        <v>478.89899999999994</v>
      </c>
      <c r="C31" s="96" t="str">
        <f t="shared" si="5"/>
        <v/>
      </c>
      <c r="D31" s="190"/>
      <c r="E31" s="117">
        <v>0.55000000000000004</v>
      </c>
      <c r="X31" s="107"/>
      <c r="Y31" s="108"/>
      <c r="Z31" s="109"/>
      <c r="AA31" s="110">
        <v>2.266</v>
      </c>
      <c r="AB31" s="111"/>
      <c r="AC31" s="112" t="str">
        <f t="shared" si="11"/>
        <v/>
      </c>
      <c r="AD31" s="113">
        <f t="shared" si="13"/>
        <v>478.89899999999994</v>
      </c>
      <c r="AE31" s="114">
        <v>1.5</v>
      </c>
      <c r="AF31" s="113">
        <f t="shared" si="12"/>
        <v>23.799999999999983</v>
      </c>
      <c r="AG31" s="115"/>
      <c r="AH31" s="86">
        <f t="shared" si="2"/>
        <v>481.16499999999996</v>
      </c>
      <c r="AI31" s="86">
        <f t="shared" si="6"/>
        <v>481.16499999999996</v>
      </c>
      <c r="AJ31" s="86" t="str">
        <f t="shared" si="3"/>
        <v>NAOD</v>
      </c>
      <c r="AK31" s="93">
        <f t="shared" si="15"/>
        <v>478.89899999999994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26.799999999999983</v>
      </c>
      <c r="B32" s="95">
        <f t="shared" si="1"/>
        <v>480.62399999999997</v>
      </c>
      <c r="C32" s="96" t="str">
        <f t="shared" si="5"/>
        <v/>
      </c>
      <c r="D32" s="190"/>
      <c r="E32" s="117">
        <v>0.35</v>
      </c>
      <c r="X32" s="107"/>
      <c r="Y32" s="108"/>
      <c r="Z32" s="109"/>
      <c r="AA32" s="110">
        <v>0.54100000000000004</v>
      </c>
      <c r="AB32" s="111"/>
      <c r="AC32" s="112"/>
      <c r="AD32" s="113">
        <f t="shared" si="13"/>
        <v>480.62399999999997</v>
      </c>
      <c r="AE32" s="114">
        <v>3</v>
      </c>
      <c r="AF32" s="113">
        <f t="shared" si="12"/>
        <v>26.799999999999983</v>
      </c>
      <c r="AG32" s="115"/>
      <c r="AH32" s="86">
        <f t="shared" si="2"/>
        <v>481.16499999999996</v>
      </c>
      <c r="AI32" s="86">
        <f t="shared" si="6"/>
        <v>481.16499999999996</v>
      </c>
      <c r="AJ32" s="86" t="str">
        <f t="shared" si="3"/>
        <v>NAOD</v>
      </c>
      <c r="AK32" s="93">
        <f t="shared" si="15"/>
        <v>480.62399999999997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0"/>
        <v>27.799999999999983</v>
      </c>
      <c r="B33" s="95">
        <f t="shared" si="1"/>
        <v>481.16399999999999</v>
      </c>
      <c r="C33" s="96" t="str">
        <f t="shared" si="5"/>
        <v>PRD</v>
      </c>
      <c r="D33" s="190"/>
      <c r="X33" s="107"/>
      <c r="Y33" s="108"/>
      <c r="Z33" s="109"/>
      <c r="AA33" s="110">
        <v>1E-3</v>
      </c>
      <c r="AB33" s="111"/>
      <c r="AC33" s="112"/>
      <c r="AD33" s="113">
        <f t="shared" si="13"/>
        <v>481.16399999999999</v>
      </c>
      <c r="AE33" s="114">
        <v>1</v>
      </c>
      <c r="AF33" s="113">
        <f t="shared" si="12"/>
        <v>27.799999999999983</v>
      </c>
      <c r="AG33" s="115" t="s">
        <v>5</v>
      </c>
      <c r="AH33" s="86">
        <f t="shared" si="2"/>
        <v>481.16499999999996</v>
      </c>
      <c r="AI33" s="86">
        <f t="shared" si="6"/>
        <v>481.16499999999996</v>
      </c>
      <c r="AJ33" s="86" t="str">
        <f t="shared" si="3"/>
        <v>PRD</v>
      </c>
      <c r="AK33" s="93">
        <f t="shared" si="15"/>
        <v>481.16399999999999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5"/>
        <v/>
      </c>
      <c r="D34" s="190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2"/>
        <v>0</v>
      </c>
      <c r="AI34" s="86">
        <f t="shared" si="6"/>
        <v>0</v>
      </c>
      <c r="AJ34" s="86" t="str">
        <f t="shared" si="3"/>
        <v>PRD</v>
      </c>
      <c r="AK34" s="93">
        <f t="shared" si="15"/>
        <v>0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/>
      <c r="B35" s="95"/>
      <c r="C35" s="96" t="str">
        <f t="shared" si="5"/>
        <v/>
      </c>
      <c r="D35" s="190"/>
      <c r="X35" s="107"/>
      <c r="Y35" s="108"/>
      <c r="Z35" s="109"/>
      <c r="AA35" s="110"/>
      <c r="AB35" s="111"/>
      <c r="AC35" s="112"/>
      <c r="AD35" s="113"/>
      <c r="AE35" s="114"/>
      <c r="AF35" s="113"/>
      <c r="AG35" s="115"/>
      <c r="AH35" s="86">
        <f t="shared" si="2"/>
        <v>0</v>
      </c>
      <c r="AI35" s="86">
        <f t="shared" si="6"/>
        <v>0</v>
      </c>
      <c r="AJ35" s="86" t="str">
        <f t="shared" si="3"/>
        <v>PRD</v>
      </c>
      <c r="AK35" s="93">
        <f t="shared" si="15"/>
        <v>0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/>
      <c r="B36" s="95"/>
      <c r="C36" s="96" t="str">
        <f t="shared" si="5"/>
        <v/>
      </c>
      <c r="D36" s="190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6"/>
        <v>0</v>
      </c>
      <c r="AJ36" s="86" t="str">
        <f t="shared" si="3"/>
        <v>PRD</v>
      </c>
      <c r="AK36" s="93">
        <f t="shared" si="15"/>
        <v>0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/>
      <c r="B37" s="95"/>
      <c r="C37" s="96" t="str">
        <f t="shared" si="5"/>
        <v/>
      </c>
      <c r="D37" s="190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>PRD</v>
      </c>
      <c r="AK37" s="93">
        <f t="shared" si="15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/>
      <c r="B38" s="95"/>
      <c r="C38" s="96" t="str">
        <f t="shared" si="5"/>
        <v/>
      </c>
      <c r="D38" s="190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>PRD</v>
      </c>
      <c r="AK38" s="93">
        <f t="shared" si="15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5"/>
        <v/>
      </c>
      <c r="D39" s="190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6"/>
        <v>0</v>
      </c>
      <c r="AJ39" s="86" t="str">
        <f t="shared" si="3"/>
        <v>PRD</v>
      </c>
      <c r="AK39" s="93">
        <f t="shared" si="15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/>
      </c>
      <c r="D40" s="190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>PRD</v>
      </c>
      <c r="AK40" s="93">
        <f t="shared" si="15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>PRD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>PRD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90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>PRD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90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>PRD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>PRD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>PRD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6">IF(AG47="","",AG47)</f>
        <v/>
      </c>
      <c r="D47" s="190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>PRD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6"/>
        <v/>
      </c>
      <c r="D48" s="190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>PRD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7">IF(AJ47="S/BM",1,0)</f>
        <v>0</v>
      </c>
    </row>
    <row r="49" spans="1:42" ht="15.75" x14ac:dyDescent="0.25">
      <c r="A49" s="94"/>
      <c r="B49" s="95"/>
      <c r="C49" s="96" t="str">
        <f t="shared" si="16"/>
        <v/>
      </c>
      <c r="D49" s="190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>PRD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7"/>
        <v>0</v>
      </c>
    </row>
    <row r="50" spans="1:42" ht="15.75" x14ac:dyDescent="0.25">
      <c r="A50" s="94"/>
      <c r="B50" s="95"/>
      <c r="C50" s="96" t="str">
        <f t="shared" si="16"/>
        <v/>
      </c>
      <c r="D50" s="190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>PRD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7"/>
        <v>0</v>
      </c>
    </row>
    <row r="51" spans="1:42" ht="16.5" thickBot="1" x14ac:dyDescent="0.3">
      <c r="A51" s="122"/>
      <c r="B51" s="123"/>
      <c r="C51" s="96" t="str">
        <f t="shared" si="16"/>
        <v/>
      </c>
      <c r="D51" s="190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>PRD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7"/>
        <v>0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14</v>
      </c>
      <c r="B53" s="136">
        <f>AL4</f>
        <v>478.87399999999997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22.299999999999983</v>
      </c>
      <c r="B54" s="136">
        <f>AN4</f>
        <v>478.87399999999997</v>
      </c>
      <c r="C54" s="139" t="s">
        <v>10</v>
      </c>
      <c r="D54" s="178"/>
    </row>
    <row r="55" spans="1:42" ht="20.100000000000001" customHeight="1" x14ac:dyDescent="0.2">
      <c r="A55" s="140">
        <v>22</v>
      </c>
      <c r="B55" s="141">
        <v>478.34199999999998</v>
      </c>
      <c r="C55" s="142" t="s">
        <v>8</v>
      </c>
      <c r="D55" s="178"/>
    </row>
    <row r="56" spans="1:42" ht="20.100000000000001" customHeight="1" x14ac:dyDescent="0.2">
      <c r="A56" s="140">
        <v>22</v>
      </c>
      <c r="B56" s="143">
        <f>B55+2</f>
        <v>480.34199999999998</v>
      </c>
      <c r="C56" s="142" t="s">
        <v>8</v>
      </c>
      <c r="D56" s="178"/>
    </row>
    <row r="57" spans="1:42" ht="20.100000000000001" customHeight="1" x14ac:dyDescent="0.2">
      <c r="A57" s="144">
        <v>24</v>
      </c>
      <c r="B57" s="143">
        <v>479.33300000000003</v>
      </c>
      <c r="C57" s="145" t="s">
        <v>2</v>
      </c>
      <c r="D57" s="178"/>
    </row>
    <row r="58" spans="1:42" ht="20.100000000000001" customHeight="1" thickBot="1" x14ac:dyDescent="0.25">
      <c r="A58" s="140">
        <v>24</v>
      </c>
      <c r="B58" s="143">
        <f>B57+1.5</f>
        <v>480.83300000000003</v>
      </c>
      <c r="C58" s="146" t="s">
        <v>2</v>
      </c>
      <c r="D58" s="178"/>
    </row>
    <row r="59" spans="1:42" ht="13.5" thickBot="1" x14ac:dyDescent="0.25">
      <c r="A59" s="147">
        <v>0</v>
      </c>
      <c r="B59" s="148">
        <v>481.16500000000002</v>
      </c>
      <c r="C59" s="149" t="s">
        <v>7</v>
      </c>
      <c r="D59" s="150"/>
    </row>
    <row r="60" spans="1:42" ht="13.5" thickBot="1" x14ac:dyDescent="0.25">
      <c r="A60" s="151">
        <v>27.8</v>
      </c>
      <c r="B60" s="148">
        <v>481.16500000000002</v>
      </c>
      <c r="C60" s="149" t="s">
        <v>7</v>
      </c>
      <c r="D60" s="150"/>
    </row>
    <row r="61" spans="1:42" ht="18" x14ac:dyDescent="0.25">
      <c r="A61" s="152" t="s">
        <v>75</v>
      </c>
      <c r="B61" s="153"/>
      <c r="C61" s="164"/>
      <c r="D61" s="150"/>
    </row>
    <row r="62" spans="1:42" ht="18" x14ac:dyDescent="0.25">
      <c r="A62" s="152" t="s">
        <v>50</v>
      </c>
      <c r="B62" s="153"/>
      <c r="C62" s="155">
        <f>B55</f>
        <v>478.34199999999998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68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76</v>
      </c>
      <c r="C69" s="175"/>
    </row>
    <row r="70" spans="1:4" ht="14.25" x14ac:dyDescent="0.2">
      <c r="A70" s="158" t="s">
        <v>57</v>
      </c>
      <c r="B70" s="175" t="s">
        <v>76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43300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309" priority="81" stopIfTrue="1">
      <formula>$AP$47=1</formula>
    </cfRule>
  </conditionalFormatting>
  <conditionalFormatting sqref="AC46:AF46">
    <cfRule type="expression" dxfId="308" priority="80" stopIfTrue="1">
      <formula>$AP$46</formula>
    </cfRule>
  </conditionalFormatting>
  <conditionalFormatting sqref="AC50:AF50">
    <cfRule type="expression" dxfId="307" priority="79" stopIfTrue="1">
      <formula>$AP$50=1</formula>
    </cfRule>
  </conditionalFormatting>
  <conditionalFormatting sqref="AC51:AF51">
    <cfRule type="expression" dxfId="306" priority="78" stopIfTrue="1">
      <formula>$AP$51=1</formula>
    </cfRule>
  </conditionalFormatting>
  <conditionalFormatting sqref="AC49:AF49">
    <cfRule type="expression" dxfId="305" priority="77" stopIfTrue="1">
      <formula>$AP$49=1</formula>
    </cfRule>
  </conditionalFormatting>
  <conditionalFormatting sqref="AC48:AF48">
    <cfRule type="expression" dxfId="304" priority="76" stopIfTrue="1">
      <formula>$AP$48=1</formula>
    </cfRule>
  </conditionalFormatting>
  <conditionalFormatting sqref="AC45:AF45">
    <cfRule type="expression" dxfId="303" priority="75" stopIfTrue="1">
      <formula>$AP$45=1</formula>
    </cfRule>
  </conditionalFormatting>
  <conditionalFormatting sqref="AC44:AF44">
    <cfRule type="expression" dxfId="302" priority="74" stopIfTrue="1">
      <formula>$AP$44=1</formula>
    </cfRule>
  </conditionalFormatting>
  <conditionalFormatting sqref="AC43:AF43">
    <cfRule type="expression" dxfId="301" priority="73" stopIfTrue="1">
      <formula>$AP$43=1</formula>
    </cfRule>
  </conditionalFormatting>
  <conditionalFormatting sqref="AC42:AF42">
    <cfRule type="expression" dxfId="300" priority="72" stopIfTrue="1">
      <formula>$AP$42=1</formula>
    </cfRule>
  </conditionalFormatting>
  <conditionalFormatting sqref="AC41:AF41">
    <cfRule type="expression" dxfId="299" priority="71" stopIfTrue="1">
      <formula>$AP$41=1</formula>
    </cfRule>
  </conditionalFormatting>
  <conditionalFormatting sqref="AC40:AF40">
    <cfRule type="expression" dxfId="298" priority="70" stopIfTrue="1">
      <formula>$AP$40=1</formula>
    </cfRule>
  </conditionalFormatting>
  <conditionalFormatting sqref="AC39:AF39">
    <cfRule type="expression" dxfId="297" priority="69" stopIfTrue="1">
      <formula>$AP$39=1</formula>
    </cfRule>
  </conditionalFormatting>
  <conditionalFormatting sqref="AC38:AF38">
    <cfRule type="expression" dxfId="296" priority="68" stopIfTrue="1">
      <formula>$AP$38=1</formula>
    </cfRule>
  </conditionalFormatting>
  <conditionalFormatting sqref="AC37:AF37">
    <cfRule type="expression" dxfId="295" priority="67" stopIfTrue="1">
      <formula>$AP$37=1</formula>
    </cfRule>
  </conditionalFormatting>
  <conditionalFormatting sqref="AC36:AF36">
    <cfRule type="expression" dxfId="294" priority="66" stopIfTrue="1">
      <formula>$AP$36=1</formula>
    </cfRule>
  </conditionalFormatting>
  <conditionalFormatting sqref="AC35:AF35">
    <cfRule type="expression" dxfId="293" priority="64" stopIfTrue="1">
      <formula>$AP$35=1</formula>
    </cfRule>
    <cfRule type="expression" dxfId="292" priority="65" stopIfTrue="1">
      <formula>$AP$35=1</formula>
    </cfRule>
  </conditionalFormatting>
  <conditionalFormatting sqref="AC34 AE34">
    <cfRule type="expression" dxfId="291" priority="63" stopIfTrue="1">
      <formula>$AP$34=1</formula>
    </cfRule>
  </conditionalFormatting>
  <conditionalFormatting sqref="AC33 AE33">
    <cfRule type="expression" dxfId="290" priority="62" stopIfTrue="1">
      <formula>$AP$33=1</formula>
    </cfRule>
  </conditionalFormatting>
  <conditionalFormatting sqref="AC32 AE32">
    <cfRule type="expression" dxfId="289" priority="61" stopIfTrue="1">
      <formula>$AP$32=1</formula>
    </cfRule>
  </conditionalFormatting>
  <conditionalFormatting sqref="AC31 AD34 AF32:AF34 AE31:AF31">
    <cfRule type="expression" dxfId="288" priority="60" stopIfTrue="1">
      <formula>$AP$31=1</formula>
    </cfRule>
  </conditionalFormatting>
  <conditionalFormatting sqref="AC30:AF30 AD31:AD33">
    <cfRule type="expression" dxfId="287" priority="59" stopIfTrue="1">
      <formula>$AP$30</formula>
    </cfRule>
  </conditionalFormatting>
  <conditionalFormatting sqref="AC29:AD29 AF29">
    <cfRule type="expression" dxfId="286" priority="58" stopIfTrue="1">
      <formula>$AP$29=1</formula>
    </cfRule>
  </conditionalFormatting>
  <conditionalFormatting sqref="AC28:AD28 AF28">
    <cfRule type="expression" dxfId="285" priority="57" stopIfTrue="1">
      <formula>$AP$28=1</formula>
    </cfRule>
  </conditionalFormatting>
  <conditionalFormatting sqref="AC27:AD27 AF27">
    <cfRule type="expression" dxfId="284" priority="56" stopIfTrue="1">
      <formula>$AP$27=1</formula>
    </cfRule>
  </conditionalFormatting>
  <conditionalFormatting sqref="AC26:AD26 AF26">
    <cfRule type="expression" dxfId="283" priority="55" stopIfTrue="1">
      <formula>$AP$26=1</formula>
    </cfRule>
  </conditionalFormatting>
  <conditionalFormatting sqref="AC25:AD25 AF25">
    <cfRule type="expression" dxfId="282" priority="54" stopIfTrue="1">
      <formula>$AP$25=1</formula>
    </cfRule>
  </conditionalFormatting>
  <conditionalFormatting sqref="AC24:AD24 AF24">
    <cfRule type="expression" dxfId="281" priority="53" stopIfTrue="1">
      <formula>$AP$24=1</formula>
    </cfRule>
  </conditionalFormatting>
  <conditionalFormatting sqref="AC23:AD23 AF23">
    <cfRule type="expression" dxfId="280" priority="52" stopIfTrue="1">
      <formula>$AP$23=1</formula>
    </cfRule>
  </conditionalFormatting>
  <conditionalFormatting sqref="AC22:AD22 AF22">
    <cfRule type="expression" dxfId="279" priority="51" stopIfTrue="1">
      <formula>$AP$22=1</formula>
    </cfRule>
  </conditionalFormatting>
  <conditionalFormatting sqref="AC21:AD21 AF21">
    <cfRule type="expression" dxfId="278" priority="50" stopIfTrue="1">
      <formula>$AP$21=1</formula>
    </cfRule>
  </conditionalFormatting>
  <conditionalFormatting sqref="AC20:AD20 AF20">
    <cfRule type="expression" dxfId="277" priority="49" stopIfTrue="1">
      <formula>$AP$20=1</formula>
    </cfRule>
  </conditionalFormatting>
  <conditionalFormatting sqref="AC19:AD19 AF19">
    <cfRule type="expression" dxfId="276" priority="48" stopIfTrue="1">
      <formula>$AP$19=1</formula>
    </cfRule>
  </conditionalFormatting>
  <conditionalFormatting sqref="AC18:AD18 AF18">
    <cfRule type="expression" dxfId="275" priority="47" stopIfTrue="1">
      <formula>$AP$18=1</formula>
    </cfRule>
  </conditionalFormatting>
  <conditionalFormatting sqref="AC17:AD17 AF17">
    <cfRule type="expression" dxfId="274" priority="46" stopIfTrue="1">
      <formula>$AP$17=1</formula>
    </cfRule>
  </conditionalFormatting>
  <conditionalFormatting sqref="AC16:AD16 AF16">
    <cfRule type="expression" dxfId="273" priority="45" stopIfTrue="1">
      <formula>$AP$16=1</formula>
    </cfRule>
  </conditionalFormatting>
  <conditionalFormatting sqref="AC15:AD15 AF15">
    <cfRule type="expression" dxfId="272" priority="44" stopIfTrue="1">
      <formula>$AP$15=1</formula>
    </cfRule>
  </conditionalFormatting>
  <conditionalFormatting sqref="AC14:AD14 AF14">
    <cfRule type="expression" dxfId="271" priority="43" stopIfTrue="1">
      <formula>$AP$14=1</formula>
    </cfRule>
  </conditionalFormatting>
  <conditionalFormatting sqref="AC13:AD13 AF13">
    <cfRule type="expression" dxfId="270" priority="42" stopIfTrue="1">
      <formula>$AP$13=1</formula>
    </cfRule>
  </conditionalFormatting>
  <conditionalFormatting sqref="AC12:AD12 AF12">
    <cfRule type="expression" dxfId="269" priority="41" stopIfTrue="1">
      <formula>$AP$12=1</formula>
    </cfRule>
  </conditionalFormatting>
  <conditionalFormatting sqref="AC11:AF11 AE12:AE29">
    <cfRule type="expression" dxfId="268" priority="40" stopIfTrue="1">
      <formula>$AP$11=1</formula>
    </cfRule>
  </conditionalFormatting>
  <conditionalFormatting sqref="A51:B51">
    <cfRule type="expression" dxfId="267" priority="39" stopIfTrue="1">
      <formula>$AP$51=1</formula>
    </cfRule>
  </conditionalFormatting>
  <conditionalFormatting sqref="A50:B50">
    <cfRule type="expression" dxfId="266" priority="38" stopIfTrue="1">
      <formula>$AP$50=1</formula>
    </cfRule>
  </conditionalFormatting>
  <conditionalFormatting sqref="A49:B49">
    <cfRule type="expression" dxfId="265" priority="37" stopIfTrue="1">
      <formula>$AP$49=1</formula>
    </cfRule>
  </conditionalFormatting>
  <conditionalFormatting sqref="A48:B48">
    <cfRule type="expression" dxfId="264" priority="36" stopIfTrue="1">
      <formula>$AP$48=1</formula>
    </cfRule>
  </conditionalFormatting>
  <conditionalFormatting sqref="A47:B47">
    <cfRule type="expression" dxfId="263" priority="35" stopIfTrue="1">
      <formula>$AP$47=1</formula>
    </cfRule>
  </conditionalFormatting>
  <conditionalFormatting sqref="A46:B46">
    <cfRule type="expression" dxfId="262" priority="34" stopIfTrue="1">
      <formula>$AP$46=1</formula>
    </cfRule>
  </conditionalFormatting>
  <conditionalFormatting sqref="A45:B45">
    <cfRule type="expression" dxfId="261" priority="33" stopIfTrue="1">
      <formula>$AP$45=1</formula>
    </cfRule>
  </conditionalFormatting>
  <conditionalFormatting sqref="A44:B44">
    <cfRule type="expression" dxfId="260" priority="32" stopIfTrue="1">
      <formula>$AP$44=1</formula>
    </cfRule>
  </conditionalFormatting>
  <conditionalFormatting sqref="A43:B43">
    <cfRule type="expression" dxfId="259" priority="31" stopIfTrue="1">
      <formula>$AP$43=1</formula>
    </cfRule>
  </conditionalFormatting>
  <conditionalFormatting sqref="A42:B42">
    <cfRule type="expression" dxfId="258" priority="30" stopIfTrue="1">
      <formula>$AP$42=1</formula>
    </cfRule>
  </conditionalFormatting>
  <conditionalFormatting sqref="A41:B41">
    <cfRule type="expression" dxfId="257" priority="29" stopIfTrue="1">
      <formula>$AP$41=1</formula>
    </cfRule>
  </conditionalFormatting>
  <conditionalFormatting sqref="A40:B40">
    <cfRule type="expression" dxfId="256" priority="28" stopIfTrue="1">
      <formula>$AP$40=1</formula>
    </cfRule>
  </conditionalFormatting>
  <conditionalFormatting sqref="A39:B39">
    <cfRule type="expression" dxfId="255" priority="27" stopIfTrue="1">
      <formula>$AP$39=1</formula>
    </cfRule>
  </conditionalFormatting>
  <conditionalFormatting sqref="A38:B38">
    <cfRule type="expression" dxfId="254" priority="26" stopIfTrue="1">
      <formula>$AP$38=1</formula>
    </cfRule>
  </conditionalFormatting>
  <conditionalFormatting sqref="A37:B37">
    <cfRule type="expression" dxfId="253" priority="25" stopIfTrue="1">
      <formula>$AP$37=1</formula>
    </cfRule>
  </conditionalFormatting>
  <conditionalFormatting sqref="A36:B36">
    <cfRule type="expression" dxfId="252" priority="24" stopIfTrue="1">
      <formula>$AP$36=1</formula>
    </cfRule>
  </conditionalFormatting>
  <conditionalFormatting sqref="A31:B31">
    <cfRule type="expression" dxfId="251" priority="23" stopIfTrue="1">
      <formula>$AP$31=1</formula>
    </cfRule>
  </conditionalFormatting>
  <conditionalFormatting sqref="A30:B30">
    <cfRule type="expression" dxfId="250" priority="22" stopIfTrue="1">
      <formula>$AP$30=1</formula>
    </cfRule>
  </conditionalFormatting>
  <conditionalFormatting sqref="A29:B29">
    <cfRule type="expression" dxfId="249" priority="21" stopIfTrue="1">
      <formula>$AP$29=1</formula>
    </cfRule>
  </conditionalFormatting>
  <conditionalFormatting sqref="A28:B28">
    <cfRule type="expression" dxfId="248" priority="20" stopIfTrue="1">
      <formula>$AP$28=1</formula>
    </cfRule>
  </conditionalFormatting>
  <conditionalFormatting sqref="A27:B27">
    <cfRule type="expression" dxfId="247" priority="19" stopIfTrue="1">
      <formula>$AP$27=1</formula>
    </cfRule>
  </conditionalFormatting>
  <conditionalFormatting sqref="A26:B26">
    <cfRule type="expression" dxfId="246" priority="18" stopIfTrue="1">
      <formula>$AP$26=1</formula>
    </cfRule>
  </conditionalFormatting>
  <conditionalFormatting sqref="A25:B25">
    <cfRule type="expression" dxfId="245" priority="17" stopIfTrue="1">
      <formula>$AP$25=1</formula>
    </cfRule>
  </conditionalFormatting>
  <conditionalFormatting sqref="A24:B24">
    <cfRule type="expression" dxfId="244" priority="16" stopIfTrue="1">
      <formula>$AP$24=1</formula>
    </cfRule>
  </conditionalFormatting>
  <conditionalFormatting sqref="A23:B23">
    <cfRule type="expression" dxfId="243" priority="15" stopIfTrue="1">
      <formula>$AP$23=1</formula>
    </cfRule>
  </conditionalFormatting>
  <conditionalFormatting sqref="A22:B22">
    <cfRule type="expression" dxfId="242" priority="14" stopIfTrue="1">
      <formula>$AP$22=1</formula>
    </cfRule>
  </conditionalFormatting>
  <conditionalFormatting sqref="A21:B21">
    <cfRule type="expression" dxfId="241" priority="13" stopIfTrue="1">
      <formula>$AP$21=1</formula>
    </cfRule>
  </conditionalFormatting>
  <conditionalFormatting sqref="A20:B20">
    <cfRule type="expression" dxfId="240" priority="12" stopIfTrue="1">
      <formula>$AP$20=1</formula>
    </cfRule>
  </conditionalFormatting>
  <conditionalFormatting sqref="A19:B19">
    <cfRule type="expression" dxfId="239" priority="11" stopIfTrue="1">
      <formula>$AP$19=1</formula>
    </cfRule>
  </conditionalFormatting>
  <conditionalFormatting sqref="A18:B18">
    <cfRule type="expression" dxfId="238" priority="10" stopIfTrue="1">
      <formula>$AP$18=1</formula>
    </cfRule>
  </conditionalFormatting>
  <conditionalFormatting sqref="A17:B17">
    <cfRule type="expression" dxfId="237" priority="9" stopIfTrue="1">
      <formula>$AP$17=1</formula>
    </cfRule>
  </conditionalFormatting>
  <conditionalFormatting sqref="A16:B16">
    <cfRule type="expression" dxfId="236" priority="8" stopIfTrue="1">
      <formula>$AP$16=1</formula>
    </cfRule>
  </conditionalFormatting>
  <conditionalFormatting sqref="A15:B15">
    <cfRule type="expression" dxfId="235" priority="7" stopIfTrue="1">
      <formula>$AP$15=1</formula>
    </cfRule>
  </conditionalFormatting>
  <conditionalFormatting sqref="A14:B14">
    <cfRule type="expression" dxfId="234" priority="6" stopIfTrue="1">
      <formula>$AP$14=1</formula>
    </cfRule>
  </conditionalFormatting>
  <conditionalFormatting sqref="A13:B13">
    <cfRule type="expression" dxfId="233" priority="5" stopIfTrue="1">
      <formula>$AP$13=1</formula>
    </cfRule>
  </conditionalFormatting>
  <conditionalFormatting sqref="A12:B12">
    <cfRule type="expression" dxfId="232" priority="4" stopIfTrue="1">
      <formula>$AP$12=1</formula>
    </cfRule>
  </conditionalFormatting>
  <conditionalFormatting sqref="A11:B11">
    <cfRule type="expression" dxfId="231" priority="3" stopIfTrue="1">
      <formula>$AP$11=1</formula>
    </cfRule>
  </conditionalFormatting>
  <conditionalFormatting sqref="A10:B10">
    <cfRule type="expression" dxfId="230" priority="2" stopIfTrue="1">
      <formula>$AP$10=1</formula>
    </cfRule>
  </conditionalFormatting>
  <conditionalFormatting sqref="A32:B35">
    <cfRule type="expression" dxfId="229" priority="1" stopIfTrue="1">
      <formula>$AP$31=1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AP75"/>
  <sheetViews>
    <sheetView topLeftCell="A7" zoomScale="70" zoomScaleNormal="70" workbookViewId="0">
      <selection activeCell="I63" sqref="I63"/>
    </sheetView>
  </sheetViews>
  <sheetFormatPr baseColWidth="10" defaultColWidth="11.42578125" defaultRowHeight="12.75" x14ac:dyDescent="0.2"/>
  <cols>
    <col min="1" max="1" width="9.7109375" style="84" customWidth="1"/>
    <col min="2" max="2" width="12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7" t="s">
        <v>78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478.98299999999995</v>
      </c>
      <c r="AM4" s="93">
        <f>SUM(AM5:AM46)</f>
        <v>13</v>
      </c>
      <c r="AN4" s="93">
        <f>SUM(AN5:AN46)</f>
        <v>478.98299999999995</v>
      </c>
      <c r="AO4" s="93">
        <f>SUM(AO5:AO46)</f>
        <v>23</v>
      </c>
      <c r="AP4" s="86"/>
    </row>
    <row r="5" spans="1:42" ht="15.75" x14ac:dyDescent="0.25">
      <c r="A5" s="94">
        <f t="shared" ref="A5:A32" si="0">AF5</f>
        <v>0</v>
      </c>
      <c r="B5" s="95">
        <f t="shared" ref="B5:B32" si="1">AD5</f>
        <v>480.02</v>
      </c>
      <c r="C5" s="96" t="str">
        <f>IF(AG5="","",AG5)</f>
        <v xml:space="preserve">S/BM </v>
      </c>
      <c r="D5" s="190"/>
      <c r="X5" s="97"/>
      <c r="Y5" s="98"/>
      <c r="Z5" s="99">
        <v>1.1519999999999999</v>
      </c>
      <c r="AA5" s="100"/>
      <c r="AB5" s="101"/>
      <c r="AC5" s="102">
        <f>IF(AA5="",AD5+Z5,"")</f>
        <v>481.17199999999997</v>
      </c>
      <c r="AD5" s="103">
        <v>480.02</v>
      </c>
      <c r="AE5" s="104">
        <v>0</v>
      </c>
      <c r="AF5" s="105"/>
      <c r="AG5" s="166" t="s">
        <v>46</v>
      </c>
      <c r="AH5" s="86">
        <f t="shared" ref="AH5:AH46" si="2">IF(AND(AJ5="NAOI",AJ5=AJ6),AK5,AI5)</f>
        <v>481.17199999999997</v>
      </c>
      <c r="AI5" s="86">
        <f>IF(AA5="",AC5,AI4)</f>
        <v>481.17199999999997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480.72300000000001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0.46300000000000002</v>
      </c>
      <c r="AB6" s="111"/>
      <c r="AC6" s="112" t="str">
        <f>IF(AA6="",AD6+Z6,"")</f>
        <v/>
      </c>
      <c r="AD6" s="113">
        <v>480.72300000000001</v>
      </c>
      <c r="AE6" s="114">
        <v>0</v>
      </c>
      <c r="AF6" s="113">
        <f>AE6</f>
        <v>0</v>
      </c>
      <c r="AG6" s="115" t="s">
        <v>4</v>
      </c>
      <c r="AH6" s="86">
        <f t="shared" si="2"/>
        <v>481.17199999999997</v>
      </c>
      <c r="AI6" s="86">
        <f t="shared" ref="AI6:AI46" si="6">IF(AA6="",AC6,AI5)</f>
        <v>481.17199999999997</v>
      </c>
      <c r="AJ6" s="86" t="str">
        <f t="shared" si="3"/>
        <v>PRI</v>
      </c>
      <c r="AK6" s="93">
        <f t="shared" si="4"/>
        <v>480.72300000000001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1</v>
      </c>
      <c r="B7" s="95">
        <f t="shared" si="1"/>
        <v>480.20199999999994</v>
      </c>
      <c r="C7" s="96" t="str">
        <f t="shared" si="5"/>
        <v/>
      </c>
      <c r="D7" s="190"/>
      <c r="X7" s="107"/>
      <c r="Y7" s="108"/>
      <c r="Z7" s="109"/>
      <c r="AA7" s="110">
        <v>0.97</v>
      </c>
      <c r="AB7" s="111"/>
      <c r="AC7" s="112" t="str">
        <f t="shared" ref="AC7:AC31" si="11">IF(AA7="",AD7+Z7,"")</f>
        <v/>
      </c>
      <c r="AD7" s="113">
        <f>IF(AA7="",AH6-AB7,AH6-AA7)</f>
        <v>480.20199999999994</v>
      </c>
      <c r="AE7" s="114">
        <v>1</v>
      </c>
      <c r="AF7" s="113">
        <f t="shared" ref="AF7:AF32" si="12">+AF6+AE7</f>
        <v>1</v>
      </c>
      <c r="AG7" s="116"/>
      <c r="AH7" s="86">
        <f t="shared" si="2"/>
        <v>481.17199999999997</v>
      </c>
      <c r="AI7" s="86">
        <f t="shared" si="6"/>
        <v>481.17199999999997</v>
      </c>
      <c r="AJ7" s="86" t="str">
        <f t="shared" si="3"/>
        <v>PRI</v>
      </c>
      <c r="AK7" s="93">
        <f t="shared" si="4"/>
        <v>480.20199999999994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6</v>
      </c>
      <c r="B8" s="95">
        <f t="shared" si="1"/>
        <v>480.14</v>
      </c>
      <c r="C8" s="96" t="str">
        <f t="shared" si="5"/>
        <v/>
      </c>
      <c r="D8" s="190"/>
      <c r="X8" s="107"/>
      <c r="Y8" s="108"/>
      <c r="Z8" s="109"/>
      <c r="AA8" s="110">
        <v>1.032</v>
      </c>
      <c r="AB8" s="111"/>
      <c r="AC8" s="112" t="str">
        <f t="shared" si="11"/>
        <v/>
      </c>
      <c r="AD8" s="113">
        <f>IF(AA8="",AH7-AB8,AH7-AA8)</f>
        <v>480.14</v>
      </c>
      <c r="AE8" s="114">
        <v>5</v>
      </c>
      <c r="AF8" s="113">
        <f t="shared" si="12"/>
        <v>6</v>
      </c>
      <c r="AG8" s="116"/>
      <c r="AH8" s="86">
        <f t="shared" si="2"/>
        <v>481.17199999999997</v>
      </c>
      <c r="AI8" s="86">
        <f t="shared" si="6"/>
        <v>481.17199999999997</v>
      </c>
      <c r="AJ8" s="86" t="str">
        <f t="shared" si="3"/>
        <v>PRI</v>
      </c>
      <c r="AK8" s="93">
        <f t="shared" si="4"/>
        <v>480.14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10</v>
      </c>
      <c r="B9" s="95">
        <f t="shared" si="1"/>
        <v>480.34299999999996</v>
      </c>
      <c r="C9" s="96" t="str">
        <f t="shared" si="5"/>
        <v/>
      </c>
      <c r="D9" s="190"/>
      <c r="X9" s="107"/>
      <c r="Y9" s="108"/>
      <c r="Z9" s="109"/>
      <c r="AA9" s="110">
        <v>0.82899999999999996</v>
      </c>
      <c r="AB9" s="111"/>
      <c r="AC9" s="112" t="str">
        <f t="shared" si="11"/>
        <v/>
      </c>
      <c r="AD9" s="113">
        <f>IF(AA9="",AH8-AB9,AH8-AA9)</f>
        <v>480.34299999999996</v>
      </c>
      <c r="AE9" s="114">
        <v>4</v>
      </c>
      <c r="AF9" s="113">
        <f t="shared" si="12"/>
        <v>10</v>
      </c>
      <c r="AG9" s="115"/>
      <c r="AH9" s="86">
        <f t="shared" si="2"/>
        <v>481.17199999999997</v>
      </c>
      <c r="AI9" s="86">
        <f t="shared" si="6"/>
        <v>481.17199999999997</v>
      </c>
      <c r="AJ9" s="86" t="str">
        <f t="shared" si="3"/>
        <v>PRI</v>
      </c>
      <c r="AK9" s="93">
        <f t="shared" si="4"/>
        <v>480.34299999999996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12</v>
      </c>
      <c r="B10" s="95">
        <f t="shared" si="1"/>
        <v>479.34899999999999</v>
      </c>
      <c r="C10" s="96" t="str">
        <f t="shared" si="5"/>
        <v/>
      </c>
      <c r="D10" s="190"/>
      <c r="E10" s="84">
        <f>(B12+B35)/2</f>
        <v>239.39649999999997</v>
      </c>
      <c r="X10" s="107"/>
      <c r="Y10" s="108"/>
      <c r="Z10" s="109"/>
      <c r="AA10" s="110">
        <v>1.823</v>
      </c>
      <c r="AB10" s="111"/>
      <c r="AC10" s="112" t="str">
        <f t="shared" si="11"/>
        <v/>
      </c>
      <c r="AD10" s="113">
        <f t="shared" ref="AD10:AD32" si="13">IF(AJ9="S/BM",AD9,IF(AA10="",AH9-AB10,AH9-AA10))</f>
        <v>479.34899999999999</v>
      </c>
      <c r="AE10" s="114">
        <v>2</v>
      </c>
      <c r="AF10" s="113">
        <f t="shared" si="12"/>
        <v>12</v>
      </c>
      <c r="AG10" s="116"/>
      <c r="AH10" s="86">
        <f t="shared" si="2"/>
        <v>481.17199999999997</v>
      </c>
      <c r="AI10" s="86">
        <f t="shared" si="6"/>
        <v>481.17199999999997</v>
      </c>
      <c r="AJ10" s="86" t="str">
        <f t="shared" si="3"/>
        <v>PRI</v>
      </c>
      <c r="AK10" s="93">
        <f t="shared" si="4"/>
        <v>479.34899999999999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13</v>
      </c>
      <c r="B11" s="95">
        <f t="shared" si="1"/>
        <v>478.98299999999995</v>
      </c>
      <c r="C11" s="96" t="str">
        <f t="shared" si="5"/>
        <v>NAOI</v>
      </c>
      <c r="D11" s="190"/>
      <c r="E11" s="117">
        <v>0.33</v>
      </c>
      <c r="X11" s="107"/>
      <c r="Y11" s="108"/>
      <c r="Z11" s="109"/>
      <c r="AA11" s="110">
        <v>2.1890000000000001</v>
      </c>
      <c r="AB11" s="111"/>
      <c r="AC11" s="112" t="str">
        <f t="shared" si="11"/>
        <v/>
      </c>
      <c r="AD11" s="113">
        <f t="shared" si="13"/>
        <v>478.98299999999995</v>
      </c>
      <c r="AE11" s="114">
        <v>1</v>
      </c>
      <c r="AF11" s="113">
        <f t="shared" si="12"/>
        <v>13</v>
      </c>
      <c r="AG11" s="115" t="s">
        <v>9</v>
      </c>
      <c r="AH11" s="86">
        <f t="shared" si="2"/>
        <v>478.98299999999995</v>
      </c>
      <c r="AI11" s="86">
        <f t="shared" si="6"/>
        <v>481.17199999999997</v>
      </c>
      <c r="AJ11" s="86" t="str">
        <f t="shared" si="3"/>
        <v>NAOI</v>
      </c>
      <c r="AK11" s="93">
        <f t="shared" si="4"/>
        <v>478.98299999999995</v>
      </c>
      <c r="AL11" s="86">
        <f t="shared" si="7"/>
        <v>478.98299999999995</v>
      </c>
      <c r="AM11" s="93">
        <f t="shared" si="8"/>
        <v>13</v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13.5</v>
      </c>
      <c r="B12" s="95">
        <f t="shared" si="1"/>
        <v>478.79299999999995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0.19</v>
      </c>
      <c r="AB12" s="111"/>
      <c r="AC12" s="112" t="str">
        <f>IF(AA12="",AD12+Z12,"")</f>
        <v/>
      </c>
      <c r="AD12" s="113">
        <f t="shared" si="13"/>
        <v>478.79299999999995</v>
      </c>
      <c r="AE12" s="114">
        <v>0.5</v>
      </c>
      <c r="AF12" s="113">
        <f t="shared" si="12"/>
        <v>13.5</v>
      </c>
      <c r="AG12" s="115"/>
      <c r="AH12" s="86">
        <f t="shared" si="2"/>
        <v>478.98299999999995</v>
      </c>
      <c r="AI12" s="86">
        <f t="shared" si="6"/>
        <v>481.17199999999997</v>
      </c>
      <c r="AJ12" s="86" t="str">
        <f t="shared" si="3"/>
        <v>NAOI</v>
      </c>
      <c r="AK12" s="93">
        <f t="shared" si="4"/>
        <v>478.98299999999995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14</v>
      </c>
      <c r="B13" s="95">
        <f t="shared" si="1"/>
        <v>478.76299999999992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0.22</v>
      </c>
      <c r="AB13" s="111"/>
      <c r="AC13" s="112" t="str">
        <f t="shared" si="11"/>
        <v/>
      </c>
      <c r="AD13" s="113">
        <f t="shared" si="13"/>
        <v>478.76299999999992</v>
      </c>
      <c r="AE13" s="114">
        <v>0.5</v>
      </c>
      <c r="AF13" s="113">
        <f t="shared" si="12"/>
        <v>14</v>
      </c>
      <c r="AG13" s="115"/>
      <c r="AH13" s="86">
        <f t="shared" si="2"/>
        <v>478.98299999999995</v>
      </c>
      <c r="AI13" s="86">
        <f t="shared" si="6"/>
        <v>481.17199999999997</v>
      </c>
      <c r="AJ13" s="86" t="str">
        <f t="shared" si="3"/>
        <v>NAOI</v>
      </c>
      <c r="AK13" s="93">
        <f t="shared" si="4"/>
        <v>478.98299999999995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14.5</v>
      </c>
      <c r="B14" s="95">
        <f t="shared" si="1"/>
        <v>478.74299999999994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0.24</v>
      </c>
      <c r="AB14" s="111"/>
      <c r="AC14" s="112" t="str">
        <f t="shared" si="11"/>
        <v/>
      </c>
      <c r="AD14" s="113">
        <f t="shared" si="13"/>
        <v>478.74299999999994</v>
      </c>
      <c r="AE14" s="114">
        <v>0.5</v>
      </c>
      <c r="AF14" s="113">
        <f t="shared" si="12"/>
        <v>14.5</v>
      </c>
      <c r="AG14" s="116"/>
      <c r="AH14" s="86">
        <f t="shared" si="2"/>
        <v>478.98299999999995</v>
      </c>
      <c r="AI14" s="86">
        <f t="shared" si="6"/>
        <v>481.17199999999997</v>
      </c>
      <c r="AJ14" s="86" t="str">
        <f t="shared" si="3"/>
        <v>NAOI</v>
      </c>
      <c r="AK14" s="93">
        <f>IF(AND(AJ14="NAOI",AJ13="NAOI"),AK13,AD14)</f>
        <v>478.98299999999995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15</v>
      </c>
      <c r="B15" s="95">
        <f t="shared" si="1"/>
        <v>478.75299999999993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0.23</v>
      </c>
      <c r="AB15" s="111"/>
      <c r="AC15" s="112" t="str">
        <f t="shared" si="11"/>
        <v/>
      </c>
      <c r="AD15" s="113">
        <f t="shared" si="13"/>
        <v>478.75299999999993</v>
      </c>
      <c r="AE15" s="114">
        <v>0.5</v>
      </c>
      <c r="AF15" s="113">
        <f t="shared" si="12"/>
        <v>15</v>
      </c>
      <c r="AG15" s="115"/>
      <c r="AH15" s="86">
        <f t="shared" si="2"/>
        <v>478.98299999999995</v>
      </c>
      <c r="AI15" s="86">
        <f t="shared" si="6"/>
        <v>481.17199999999997</v>
      </c>
      <c r="AJ15" s="86" t="str">
        <f t="shared" si="3"/>
        <v>NAOI</v>
      </c>
      <c r="AK15" s="93">
        <f>IF(AND(AJ15="NAOI",AJ14="NAOI"),AK14,AD15)</f>
        <v>478.98299999999995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15.5</v>
      </c>
      <c r="B16" s="95">
        <f t="shared" si="1"/>
        <v>478.71299999999997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0.27</v>
      </c>
      <c r="AB16" s="111"/>
      <c r="AC16" s="112" t="str">
        <f t="shared" si="11"/>
        <v/>
      </c>
      <c r="AD16" s="113">
        <f t="shared" si="13"/>
        <v>478.71299999999997</v>
      </c>
      <c r="AE16" s="114">
        <v>0.5</v>
      </c>
      <c r="AF16" s="113">
        <f t="shared" si="12"/>
        <v>15.5</v>
      </c>
      <c r="AG16" s="118"/>
      <c r="AH16" s="86">
        <f t="shared" si="2"/>
        <v>478.98299999999995</v>
      </c>
      <c r="AI16" s="86">
        <f t="shared" si="6"/>
        <v>481.17199999999997</v>
      </c>
      <c r="AJ16" s="86" t="str">
        <f t="shared" si="3"/>
        <v>NAOI</v>
      </c>
      <c r="AK16" s="93">
        <f>IF(AND(AJ16="NAOI",AJ15="NAOI"),AK15,AD16)</f>
        <v>478.98299999999995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16</v>
      </c>
      <c r="B17" s="95">
        <f t="shared" si="1"/>
        <v>478.69299999999993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0.28999999999999998</v>
      </c>
      <c r="AB17" s="111"/>
      <c r="AC17" s="112" t="str">
        <f t="shared" si="11"/>
        <v/>
      </c>
      <c r="AD17" s="113">
        <f t="shared" si="13"/>
        <v>478.69299999999993</v>
      </c>
      <c r="AE17" s="114">
        <v>0.5</v>
      </c>
      <c r="AF17" s="113">
        <f t="shared" si="12"/>
        <v>16</v>
      </c>
      <c r="AG17" s="118"/>
      <c r="AH17" s="86">
        <f t="shared" si="2"/>
        <v>478.98299999999995</v>
      </c>
      <c r="AI17" s="86">
        <f t="shared" si="6"/>
        <v>481.17199999999997</v>
      </c>
      <c r="AJ17" s="86" t="str">
        <f t="shared" si="3"/>
        <v>NAOI</v>
      </c>
      <c r="AK17" s="93">
        <f t="shared" ref="AK17:AK46" si="15">IF(AND(AJ17="NAOI",AJ16="NAOI"),AK16,AD17)</f>
        <v>478.98299999999995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16.5</v>
      </c>
      <c r="B18" s="95">
        <f t="shared" si="1"/>
        <v>478.70299999999997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0.28000000000000003</v>
      </c>
      <c r="AB18" s="111"/>
      <c r="AC18" s="112" t="str">
        <f t="shared" si="11"/>
        <v/>
      </c>
      <c r="AD18" s="113">
        <f t="shared" si="13"/>
        <v>478.70299999999997</v>
      </c>
      <c r="AE18" s="114">
        <v>0.5</v>
      </c>
      <c r="AF18" s="113">
        <f t="shared" si="12"/>
        <v>16.5</v>
      </c>
      <c r="AG18" s="118"/>
      <c r="AH18" s="86">
        <f t="shared" si="2"/>
        <v>478.98299999999995</v>
      </c>
      <c r="AI18" s="86">
        <f t="shared" si="6"/>
        <v>481.17199999999997</v>
      </c>
      <c r="AJ18" s="86" t="str">
        <f t="shared" si="3"/>
        <v>NAOI</v>
      </c>
      <c r="AK18" s="93">
        <f t="shared" si="15"/>
        <v>478.98299999999995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17</v>
      </c>
      <c r="B19" s="95">
        <f t="shared" si="1"/>
        <v>478.65299999999996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0.33</v>
      </c>
      <c r="AB19" s="111"/>
      <c r="AC19" s="112" t="str">
        <f t="shared" si="11"/>
        <v/>
      </c>
      <c r="AD19" s="113">
        <f t="shared" si="13"/>
        <v>478.65299999999996</v>
      </c>
      <c r="AE19" s="114">
        <v>0.5</v>
      </c>
      <c r="AF19" s="113">
        <f t="shared" si="12"/>
        <v>17</v>
      </c>
      <c r="AG19" s="118"/>
      <c r="AH19" s="86">
        <f t="shared" si="2"/>
        <v>478.98299999999995</v>
      </c>
      <c r="AI19" s="86">
        <f t="shared" si="6"/>
        <v>481.17199999999997</v>
      </c>
      <c r="AJ19" s="86" t="str">
        <f t="shared" si="3"/>
        <v>NAOI</v>
      </c>
      <c r="AK19" s="93">
        <f t="shared" si="15"/>
        <v>478.98299999999995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17.5</v>
      </c>
      <c r="B20" s="95">
        <f t="shared" si="1"/>
        <v>478.63299999999992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0.35</v>
      </c>
      <c r="AB20" s="111"/>
      <c r="AC20" s="112" t="str">
        <f t="shared" si="11"/>
        <v/>
      </c>
      <c r="AD20" s="113">
        <f t="shared" si="13"/>
        <v>478.63299999999992</v>
      </c>
      <c r="AE20" s="114">
        <v>0.5</v>
      </c>
      <c r="AF20" s="113">
        <f t="shared" si="12"/>
        <v>17.5</v>
      </c>
      <c r="AG20" s="118"/>
      <c r="AH20" s="86">
        <f t="shared" si="2"/>
        <v>478.98299999999995</v>
      </c>
      <c r="AI20" s="86">
        <f t="shared" si="6"/>
        <v>481.17199999999997</v>
      </c>
      <c r="AJ20" s="86" t="str">
        <f t="shared" si="3"/>
        <v>NAOI</v>
      </c>
      <c r="AK20" s="93">
        <f t="shared" si="15"/>
        <v>478.98299999999995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18</v>
      </c>
      <c r="B21" s="95">
        <f t="shared" si="1"/>
        <v>478.60299999999995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0.38</v>
      </c>
      <c r="AB21" s="111"/>
      <c r="AC21" s="112" t="str">
        <f t="shared" si="11"/>
        <v/>
      </c>
      <c r="AD21" s="113">
        <f t="shared" si="13"/>
        <v>478.60299999999995</v>
      </c>
      <c r="AE21" s="114">
        <v>0.5</v>
      </c>
      <c r="AF21" s="113">
        <f t="shared" si="12"/>
        <v>18</v>
      </c>
      <c r="AG21" s="118"/>
      <c r="AH21" s="86">
        <f t="shared" si="2"/>
        <v>478.98299999999995</v>
      </c>
      <c r="AI21" s="86">
        <f t="shared" si="6"/>
        <v>481.17199999999997</v>
      </c>
      <c r="AJ21" s="86" t="str">
        <f t="shared" si="3"/>
        <v>NAOI</v>
      </c>
      <c r="AK21" s="93">
        <f t="shared" si="15"/>
        <v>478.98299999999995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18.5</v>
      </c>
      <c r="B22" s="95">
        <f t="shared" si="1"/>
        <v>478.62299999999993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0.36</v>
      </c>
      <c r="AB22" s="111"/>
      <c r="AC22" s="112" t="str">
        <f t="shared" si="11"/>
        <v/>
      </c>
      <c r="AD22" s="113">
        <f t="shared" si="13"/>
        <v>478.62299999999993</v>
      </c>
      <c r="AE22" s="114">
        <v>0.5</v>
      </c>
      <c r="AF22" s="113">
        <f t="shared" si="12"/>
        <v>18.5</v>
      </c>
      <c r="AG22" s="118"/>
      <c r="AH22" s="86">
        <f t="shared" si="2"/>
        <v>478.98299999999995</v>
      </c>
      <c r="AI22" s="86">
        <f t="shared" si="6"/>
        <v>481.17199999999997</v>
      </c>
      <c r="AJ22" s="86" t="str">
        <f t="shared" si="3"/>
        <v>NAOI</v>
      </c>
      <c r="AK22" s="93">
        <f t="shared" si="15"/>
        <v>478.98299999999995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19</v>
      </c>
      <c r="B23" s="95">
        <f t="shared" si="1"/>
        <v>478.63299999999992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0.35</v>
      </c>
      <c r="AB23" s="111"/>
      <c r="AC23" s="112" t="str">
        <f t="shared" si="11"/>
        <v/>
      </c>
      <c r="AD23" s="113">
        <f t="shared" si="13"/>
        <v>478.63299999999992</v>
      </c>
      <c r="AE23" s="114">
        <v>0.5</v>
      </c>
      <c r="AF23" s="113">
        <f t="shared" si="12"/>
        <v>19</v>
      </c>
      <c r="AG23" s="118"/>
      <c r="AH23" s="86">
        <f t="shared" si="2"/>
        <v>478.98299999999995</v>
      </c>
      <c r="AI23" s="86">
        <f t="shared" si="6"/>
        <v>481.17199999999997</v>
      </c>
      <c r="AJ23" s="86" t="str">
        <f t="shared" si="3"/>
        <v>NAOI</v>
      </c>
      <c r="AK23" s="93">
        <f t="shared" si="15"/>
        <v>478.98299999999995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19.5</v>
      </c>
      <c r="B24" s="95">
        <f t="shared" si="1"/>
        <v>478.66299999999995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0.32</v>
      </c>
      <c r="AB24" s="111"/>
      <c r="AC24" s="112" t="str">
        <f t="shared" si="11"/>
        <v/>
      </c>
      <c r="AD24" s="113">
        <f t="shared" si="13"/>
        <v>478.66299999999995</v>
      </c>
      <c r="AE24" s="114">
        <v>0.5</v>
      </c>
      <c r="AF24" s="113">
        <f t="shared" si="12"/>
        <v>19.5</v>
      </c>
      <c r="AG24" s="118"/>
      <c r="AH24" s="86">
        <f t="shared" si="2"/>
        <v>478.98299999999995</v>
      </c>
      <c r="AI24" s="86">
        <f t="shared" si="6"/>
        <v>481.17199999999997</v>
      </c>
      <c r="AJ24" s="86" t="str">
        <f t="shared" si="3"/>
        <v>NAOI</v>
      </c>
      <c r="AK24" s="93">
        <f t="shared" si="15"/>
        <v>478.98299999999995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20</v>
      </c>
      <c r="B25" s="95">
        <f t="shared" si="1"/>
        <v>478.69299999999993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0.28999999999999998</v>
      </c>
      <c r="AB25" s="111"/>
      <c r="AC25" s="112" t="str">
        <f t="shared" si="11"/>
        <v/>
      </c>
      <c r="AD25" s="113">
        <f t="shared" si="13"/>
        <v>478.69299999999993</v>
      </c>
      <c r="AE25" s="114">
        <v>0.5</v>
      </c>
      <c r="AF25" s="113">
        <f t="shared" si="12"/>
        <v>20</v>
      </c>
      <c r="AG25" s="118"/>
      <c r="AH25" s="86">
        <f t="shared" si="2"/>
        <v>478.98299999999995</v>
      </c>
      <c r="AI25" s="86">
        <f t="shared" si="6"/>
        <v>481.17199999999997</v>
      </c>
      <c r="AJ25" s="86" t="str">
        <f t="shared" si="3"/>
        <v>NAOI</v>
      </c>
      <c r="AK25" s="93">
        <f t="shared" si="15"/>
        <v>478.98299999999995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20.5</v>
      </c>
      <c r="B26" s="95">
        <f t="shared" si="1"/>
        <v>478.73299999999995</v>
      </c>
      <c r="C26" s="96" t="str">
        <f t="shared" si="5"/>
        <v/>
      </c>
      <c r="D26" s="190"/>
      <c r="E26" s="117">
        <v>1.7</v>
      </c>
      <c r="X26" s="107"/>
      <c r="Y26" s="108"/>
      <c r="Z26" s="109"/>
      <c r="AA26" s="110">
        <v>0.25</v>
      </c>
      <c r="AB26" s="111"/>
      <c r="AC26" s="112" t="str">
        <f t="shared" si="11"/>
        <v/>
      </c>
      <c r="AD26" s="113">
        <f t="shared" si="13"/>
        <v>478.73299999999995</v>
      </c>
      <c r="AE26" s="114">
        <v>0.5</v>
      </c>
      <c r="AF26" s="113">
        <f t="shared" si="12"/>
        <v>20.5</v>
      </c>
      <c r="AG26" s="115"/>
      <c r="AH26" s="86">
        <f t="shared" si="2"/>
        <v>478.98299999999995</v>
      </c>
      <c r="AI26" s="86">
        <f t="shared" si="6"/>
        <v>481.17199999999997</v>
      </c>
      <c r="AJ26" s="86" t="str">
        <f t="shared" si="3"/>
        <v>NAOI</v>
      </c>
      <c r="AK26" s="93">
        <f t="shared" si="15"/>
        <v>478.98299999999995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21</v>
      </c>
      <c r="B27" s="95">
        <f t="shared" si="1"/>
        <v>478.77299999999997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0.21</v>
      </c>
      <c r="AB27" s="111"/>
      <c r="AC27" s="112" t="str">
        <f t="shared" si="11"/>
        <v/>
      </c>
      <c r="AD27" s="113">
        <f t="shared" si="13"/>
        <v>478.77299999999997</v>
      </c>
      <c r="AE27" s="114">
        <v>0.5</v>
      </c>
      <c r="AF27" s="113">
        <f t="shared" si="12"/>
        <v>21</v>
      </c>
      <c r="AG27" s="118"/>
      <c r="AH27" s="86">
        <f t="shared" si="2"/>
        <v>478.98299999999995</v>
      </c>
      <c r="AI27" s="86">
        <f t="shared" si="6"/>
        <v>481.17199999999997</v>
      </c>
      <c r="AJ27" s="86" t="str">
        <f t="shared" si="3"/>
        <v>NAOI</v>
      </c>
      <c r="AK27" s="93">
        <f t="shared" si="15"/>
        <v>478.98299999999995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21.5</v>
      </c>
      <c r="B28" s="95">
        <f t="shared" si="1"/>
        <v>478.70299999999997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0.28000000000000003</v>
      </c>
      <c r="AB28" s="111"/>
      <c r="AC28" s="112" t="str">
        <f t="shared" si="11"/>
        <v/>
      </c>
      <c r="AD28" s="113">
        <f t="shared" si="13"/>
        <v>478.70299999999997</v>
      </c>
      <c r="AE28" s="114">
        <v>0.5</v>
      </c>
      <c r="AF28" s="113">
        <f t="shared" si="12"/>
        <v>21.5</v>
      </c>
      <c r="AG28" s="118"/>
      <c r="AH28" s="86">
        <f t="shared" si="2"/>
        <v>481.17199999999997</v>
      </c>
      <c r="AI28" s="86">
        <f t="shared" si="6"/>
        <v>481.17199999999997</v>
      </c>
      <c r="AJ28" s="86" t="str">
        <f t="shared" si="3"/>
        <v>NAOI</v>
      </c>
      <c r="AK28" s="93">
        <f t="shared" si="15"/>
        <v>478.98299999999995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23</v>
      </c>
      <c r="B29" s="95">
        <f t="shared" si="1"/>
        <v>478.98299999999995</v>
      </c>
      <c r="C29" s="96" t="str">
        <f t="shared" si="5"/>
        <v>NAOD</v>
      </c>
      <c r="D29" s="190"/>
      <c r="E29" s="117">
        <v>1.2</v>
      </c>
      <c r="X29" s="107"/>
      <c r="Y29" s="108"/>
      <c r="Z29" s="109"/>
      <c r="AA29" s="110">
        <v>2.1890000000000001</v>
      </c>
      <c r="AB29" s="111"/>
      <c r="AC29" s="112" t="str">
        <f t="shared" si="11"/>
        <v/>
      </c>
      <c r="AD29" s="113">
        <f t="shared" si="13"/>
        <v>478.98299999999995</v>
      </c>
      <c r="AE29" s="114">
        <v>1.5</v>
      </c>
      <c r="AF29" s="113">
        <f t="shared" si="12"/>
        <v>23</v>
      </c>
      <c r="AG29" s="115" t="s">
        <v>10</v>
      </c>
      <c r="AH29" s="86">
        <f t="shared" si="2"/>
        <v>481.17199999999997</v>
      </c>
      <c r="AI29" s="86">
        <f t="shared" si="6"/>
        <v>481.17199999999997</v>
      </c>
      <c r="AJ29" s="86" t="str">
        <f t="shared" si="3"/>
        <v>NAOD</v>
      </c>
      <c r="AK29" s="93">
        <f t="shared" si="15"/>
        <v>478.98299999999995</v>
      </c>
      <c r="AL29" s="86" t="str">
        <f t="shared" si="7"/>
        <v/>
      </c>
      <c r="AM29" s="93" t="str">
        <f t="shared" si="8"/>
        <v/>
      </c>
      <c r="AN29" s="86">
        <f t="shared" si="9"/>
        <v>478.98299999999995</v>
      </c>
      <c r="AO29" s="86">
        <f t="shared" si="10"/>
        <v>23</v>
      </c>
      <c r="AP29" s="86">
        <f t="shared" si="14"/>
        <v>0</v>
      </c>
    </row>
    <row r="30" spans="1:42" ht="15.75" x14ac:dyDescent="0.25">
      <c r="A30" s="94">
        <f t="shared" si="0"/>
        <v>25</v>
      </c>
      <c r="B30" s="95">
        <f t="shared" si="1"/>
        <v>479.42399999999998</v>
      </c>
      <c r="C30" s="96" t="str">
        <f t="shared" si="5"/>
        <v/>
      </c>
      <c r="D30" s="190"/>
      <c r="E30" s="117">
        <v>0.8</v>
      </c>
      <c r="X30" s="107"/>
      <c r="Y30" s="108"/>
      <c r="Z30" s="109"/>
      <c r="AA30" s="110">
        <v>1.748</v>
      </c>
      <c r="AB30" s="111"/>
      <c r="AC30" s="112" t="str">
        <f t="shared" si="11"/>
        <v/>
      </c>
      <c r="AD30" s="113">
        <f t="shared" si="13"/>
        <v>479.42399999999998</v>
      </c>
      <c r="AE30" s="114">
        <v>2</v>
      </c>
      <c r="AF30" s="113">
        <f t="shared" si="12"/>
        <v>25</v>
      </c>
      <c r="AG30" s="115"/>
      <c r="AH30" s="86">
        <f t="shared" si="2"/>
        <v>481.17199999999997</v>
      </c>
      <c r="AI30" s="86">
        <f t="shared" si="6"/>
        <v>481.17199999999997</v>
      </c>
      <c r="AJ30" s="86" t="str">
        <f t="shared" si="3"/>
        <v>NAOD</v>
      </c>
      <c r="AK30" s="93">
        <f t="shared" si="15"/>
        <v>479.42399999999998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27.5</v>
      </c>
      <c r="B31" s="95">
        <f t="shared" si="1"/>
        <v>480.70699999999999</v>
      </c>
      <c r="C31" s="96" t="str">
        <f t="shared" si="5"/>
        <v/>
      </c>
      <c r="D31" s="190"/>
      <c r="E31" s="117">
        <v>0.55000000000000004</v>
      </c>
      <c r="X31" s="107"/>
      <c r="Y31" s="108"/>
      <c r="Z31" s="109"/>
      <c r="AA31" s="110">
        <v>0.46500000000000002</v>
      </c>
      <c r="AB31" s="111"/>
      <c r="AC31" s="112" t="str">
        <f t="shared" si="11"/>
        <v/>
      </c>
      <c r="AD31" s="113">
        <f t="shared" si="13"/>
        <v>480.70699999999999</v>
      </c>
      <c r="AE31" s="114">
        <v>2.5</v>
      </c>
      <c r="AF31" s="113">
        <f t="shared" si="12"/>
        <v>27.5</v>
      </c>
      <c r="AG31" s="115"/>
      <c r="AH31" s="86">
        <f t="shared" si="2"/>
        <v>481.17199999999997</v>
      </c>
      <c r="AI31" s="86">
        <f t="shared" si="6"/>
        <v>481.17199999999997</v>
      </c>
      <c r="AJ31" s="86" t="str">
        <f t="shared" si="3"/>
        <v>NAOD</v>
      </c>
      <c r="AK31" s="93">
        <f t="shared" si="15"/>
        <v>480.70699999999999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28.5</v>
      </c>
      <c r="B32" s="95">
        <f t="shared" si="1"/>
        <v>481.02199999999999</v>
      </c>
      <c r="C32" s="96" t="str">
        <f t="shared" si="5"/>
        <v>PRD</v>
      </c>
      <c r="D32" s="190"/>
      <c r="E32" s="117">
        <v>0.35</v>
      </c>
      <c r="X32" s="107"/>
      <c r="Y32" s="108"/>
      <c r="Z32" s="109"/>
      <c r="AA32" s="110">
        <v>0.15</v>
      </c>
      <c r="AB32" s="111"/>
      <c r="AC32" s="112"/>
      <c r="AD32" s="113">
        <f t="shared" si="13"/>
        <v>481.02199999999999</v>
      </c>
      <c r="AE32" s="114">
        <v>1</v>
      </c>
      <c r="AF32" s="113">
        <f t="shared" si="12"/>
        <v>28.5</v>
      </c>
      <c r="AG32" s="115" t="s">
        <v>5</v>
      </c>
      <c r="AH32" s="86">
        <f t="shared" si="2"/>
        <v>481.17199999999997</v>
      </c>
      <c r="AI32" s="86">
        <f t="shared" si="6"/>
        <v>481.17199999999997</v>
      </c>
      <c r="AJ32" s="86" t="str">
        <f t="shared" si="3"/>
        <v>PRD</v>
      </c>
      <c r="AK32" s="93">
        <f t="shared" si="15"/>
        <v>481.02199999999999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/>
      <c r="B33" s="95"/>
      <c r="C33" s="96" t="str">
        <f t="shared" si="5"/>
        <v/>
      </c>
      <c r="D33" s="190"/>
      <c r="X33" s="107"/>
      <c r="Y33" s="108"/>
      <c r="Z33" s="109"/>
      <c r="AA33" s="110"/>
      <c r="AB33" s="111"/>
      <c r="AC33" s="112"/>
      <c r="AD33" s="113"/>
      <c r="AE33" s="114"/>
      <c r="AF33" s="113"/>
      <c r="AG33" s="115"/>
      <c r="AH33" s="86">
        <f t="shared" si="2"/>
        <v>0</v>
      </c>
      <c r="AI33" s="86">
        <f t="shared" si="6"/>
        <v>0</v>
      </c>
      <c r="AJ33" s="86" t="str">
        <f t="shared" si="3"/>
        <v>PRD</v>
      </c>
      <c r="AK33" s="93">
        <f t="shared" si="15"/>
        <v>0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5"/>
        <v/>
      </c>
      <c r="D34" s="190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2"/>
        <v>0</v>
      </c>
      <c r="AI34" s="86">
        <f t="shared" si="6"/>
        <v>0</v>
      </c>
      <c r="AJ34" s="86" t="str">
        <f t="shared" si="3"/>
        <v>PRD</v>
      </c>
      <c r="AK34" s="93">
        <f t="shared" si="15"/>
        <v>0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/>
      <c r="B35" s="95"/>
      <c r="C35" s="96" t="str">
        <f t="shared" si="5"/>
        <v/>
      </c>
      <c r="D35" s="190"/>
      <c r="X35" s="107"/>
      <c r="Y35" s="108"/>
      <c r="Z35" s="109"/>
      <c r="AA35" s="110"/>
      <c r="AB35" s="111"/>
      <c r="AC35" s="112"/>
      <c r="AD35" s="113"/>
      <c r="AE35" s="114"/>
      <c r="AF35" s="113"/>
      <c r="AG35" s="115"/>
      <c r="AH35" s="86">
        <f t="shared" si="2"/>
        <v>0</v>
      </c>
      <c r="AI35" s="86">
        <f t="shared" si="6"/>
        <v>0</v>
      </c>
      <c r="AJ35" s="86" t="str">
        <f t="shared" si="3"/>
        <v>PRD</v>
      </c>
      <c r="AK35" s="93">
        <f t="shared" si="15"/>
        <v>0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/>
      <c r="B36" s="95"/>
      <c r="C36" s="96" t="str">
        <f t="shared" si="5"/>
        <v/>
      </c>
      <c r="D36" s="190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6"/>
        <v>0</v>
      </c>
      <c r="AJ36" s="86" t="str">
        <f t="shared" si="3"/>
        <v>PRD</v>
      </c>
      <c r="AK36" s="93">
        <f t="shared" si="15"/>
        <v>0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/>
      <c r="B37" s="95"/>
      <c r="C37" s="96" t="str">
        <f t="shared" si="5"/>
        <v/>
      </c>
      <c r="D37" s="190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>PRD</v>
      </c>
      <c r="AK37" s="93">
        <f t="shared" si="15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/>
      <c r="B38" s="95"/>
      <c r="C38" s="96" t="str">
        <f t="shared" si="5"/>
        <v/>
      </c>
      <c r="D38" s="190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>PRD</v>
      </c>
      <c r="AK38" s="93">
        <f t="shared" si="15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5"/>
        <v/>
      </c>
      <c r="D39" s="190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6"/>
        <v>0</v>
      </c>
      <c r="AJ39" s="86" t="str">
        <f t="shared" si="3"/>
        <v>PRD</v>
      </c>
      <c r="AK39" s="93">
        <f t="shared" si="15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/>
      </c>
      <c r="D40" s="190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>PRD</v>
      </c>
      <c r="AK40" s="93">
        <f t="shared" si="15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>PRD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>PRD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90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>PRD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90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>PRD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>PRD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>PRD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6">IF(AG47="","",AG47)</f>
        <v/>
      </c>
      <c r="D47" s="190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>PRD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6"/>
        <v/>
      </c>
      <c r="D48" s="190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>PRD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7">IF(AJ47="S/BM",1,0)</f>
        <v>0</v>
      </c>
    </row>
    <row r="49" spans="1:42" ht="15.75" x14ac:dyDescent="0.25">
      <c r="A49" s="94"/>
      <c r="B49" s="95"/>
      <c r="C49" s="96" t="str">
        <f t="shared" si="16"/>
        <v/>
      </c>
      <c r="D49" s="190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>PRD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7"/>
        <v>0</v>
      </c>
    </row>
    <row r="50" spans="1:42" ht="15.75" x14ac:dyDescent="0.25">
      <c r="A50" s="94"/>
      <c r="B50" s="95"/>
      <c r="C50" s="96" t="str">
        <f t="shared" si="16"/>
        <v/>
      </c>
      <c r="D50" s="190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>PRD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7"/>
        <v>0</v>
      </c>
    </row>
    <row r="51" spans="1:42" ht="16.5" thickBot="1" x14ac:dyDescent="0.3">
      <c r="A51" s="122"/>
      <c r="B51" s="123"/>
      <c r="C51" s="96" t="str">
        <f t="shared" si="16"/>
        <v/>
      </c>
      <c r="D51" s="190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>PRD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7"/>
        <v>0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13</v>
      </c>
      <c r="B53" s="136">
        <f>AL4</f>
        <v>478.98299999999995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23</v>
      </c>
      <c r="B54" s="136">
        <f>AN4</f>
        <v>478.98299999999995</v>
      </c>
      <c r="C54" s="139" t="s">
        <v>10</v>
      </c>
      <c r="D54" s="178"/>
    </row>
    <row r="55" spans="1:42" ht="20.100000000000001" customHeight="1" x14ac:dyDescent="0.2">
      <c r="A55" s="140">
        <v>22</v>
      </c>
      <c r="B55" s="141">
        <v>478.34899999999999</v>
      </c>
      <c r="C55" s="142" t="s">
        <v>8</v>
      </c>
      <c r="D55" s="178"/>
    </row>
    <row r="56" spans="1:42" ht="20.100000000000001" customHeight="1" x14ac:dyDescent="0.2">
      <c r="A56" s="140">
        <v>22</v>
      </c>
      <c r="B56" s="143">
        <f>B55+2</f>
        <v>480.34899999999999</v>
      </c>
      <c r="C56" s="142" t="s">
        <v>8</v>
      </c>
      <c r="D56" s="178"/>
    </row>
    <row r="57" spans="1:42" ht="20.100000000000001" customHeight="1" x14ac:dyDescent="0.2">
      <c r="A57" s="144">
        <v>24</v>
      </c>
      <c r="B57" s="143">
        <v>479.33600000000001</v>
      </c>
      <c r="C57" s="145" t="s">
        <v>2</v>
      </c>
      <c r="D57" s="178"/>
    </row>
    <row r="58" spans="1:42" ht="20.100000000000001" customHeight="1" thickBot="1" x14ac:dyDescent="0.25">
      <c r="A58" s="140">
        <v>24</v>
      </c>
      <c r="B58" s="143">
        <f>B57+1.5</f>
        <v>480.83600000000001</v>
      </c>
      <c r="C58" s="146" t="s">
        <v>2</v>
      </c>
      <c r="D58" s="178"/>
    </row>
    <row r="59" spans="1:42" ht="13.5" thickBot="1" x14ac:dyDescent="0.25">
      <c r="A59" s="147">
        <v>0</v>
      </c>
      <c r="B59" s="148">
        <f>AD32</f>
        <v>481.02199999999999</v>
      </c>
      <c r="C59" s="149" t="s">
        <v>7</v>
      </c>
      <c r="D59" s="150"/>
    </row>
    <row r="60" spans="1:42" ht="13.5" thickBot="1" x14ac:dyDescent="0.25">
      <c r="A60" s="151">
        <f>AF32</f>
        <v>28.5</v>
      </c>
      <c r="B60" s="148">
        <f>AD32</f>
        <v>481.02199999999999</v>
      </c>
      <c r="C60" s="149" t="s">
        <v>7</v>
      </c>
      <c r="D60" s="150"/>
    </row>
    <row r="61" spans="1:42" ht="18" x14ac:dyDescent="0.25">
      <c r="A61" s="152" t="s">
        <v>79</v>
      </c>
      <c r="B61" s="153"/>
      <c r="C61" s="164"/>
      <c r="D61" s="150"/>
    </row>
    <row r="62" spans="1:42" ht="18" x14ac:dyDescent="0.25">
      <c r="A62" s="152" t="s">
        <v>50</v>
      </c>
      <c r="B62" s="153"/>
      <c r="C62" s="155">
        <f>B55</f>
        <v>478.34899999999999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69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76</v>
      </c>
      <c r="C69" s="175"/>
    </row>
    <row r="70" spans="1:4" ht="14.25" x14ac:dyDescent="0.2">
      <c r="A70" s="158" t="s">
        <v>57</v>
      </c>
      <c r="B70" s="175" t="s">
        <v>76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43300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228" priority="81" stopIfTrue="1">
      <formula>$AP$47=1</formula>
    </cfRule>
  </conditionalFormatting>
  <conditionalFormatting sqref="AC46:AF46">
    <cfRule type="expression" dxfId="227" priority="80" stopIfTrue="1">
      <formula>$AP$46</formula>
    </cfRule>
  </conditionalFormatting>
  <conditionalFormatting sqref="AC50:AF50">
    <cfRule type="expression" dxfId="226" priority="79" stopIfTrue="1">
      <formula>$AP$50=1</formula>
    </cfRule>
  </conditionalFormatting>
  <conditionalFormatting sqref="AC51:AF51">
    <cfRule type="expression" dxfId="225" priority="78" stopIfTrue="1">
      <formula>$AP$51=1</formula>
    </cfRule>
  </conditionalFormatting>
  <conditionalFormatting sqref="AC49:AF49">
    <cfRule type="expression" dxfId="224" priority="77" stopIfTrue="1">
      <formula>$AP$49=1</formula>
    </cfRule>
  </conditionalFormatting>
  <conditionalFormatting sqref="AC48:AF48">
    <cfRule type="expression" dxfId="223" priority="76" stopIfTrue="1">
      <formula>$AP$48=1</formula>
    </cfRule>
  </conditionalFormatting>
  <conditionalFormatting sqref="AC45:AF45">
    <cfRule type="expression" dxfId="222" priority="75" stopIfTrue="1">
      <formula>$AP$45=1</formula>
    </cfRule>
  </conditionalFormatting>
  <conditionalFormatting sqref="AC44:AF44">
    <cfRule type="expression" dxfId="221" priority="74" stopIfTrue="1">
      <formula>$AP$44=1</formula>
    </cfRule>
  </conditionalFormatting>
  <conditionalFormatting sqref="AC43:AF43">
    <cfRule type="expression" dxfId="220" priority="73" stopIfTrue="1">
      <formula>$AP$43=1</formula>
    </cfRule>
  </conditionalFormatting>
  <conditionalFormatting sqref="AC42:AF42">
    <cfRule type="expression" dxfId="219" priority="72" stopIfTrue="1">
      <formula>$AP$42=1</formula>
    </cfRule>
  </conditionalFormatting>
  <conditionalFormatting sqref="AC41:AF41">
    <cfRule type="expression" dxfId="218" priority="71" stopIfTrue="1">
      <formula>$AP$41=1</formula>
    </cfRule>
  </conditionalFormatting>
  <conditionalFormatting sqref="AC40:AF40">
    <cfRule type="expression" dxfId="217" priority="70" stopIfTrue="1">
      <formula>$AP$40=1</formula>
    </cfRule>
  </conditionalFormatting>
  <conditionalFormatting sqref="AC39:AF39">
    <cfRule type="expression" dxfId="216" priority="69" stopIfTrue="1">
      <formula>$AP$39=1</formula>
    </cfRule>
  </conditionalFormatting>
  <conditionalFormatting sqref="AC38:AF38">
    <cfRule type="expression" dxfId="215" priority="68" stopIfTrue="1">
      <formula>$AP$38=1</formula>
    </cfRule>
  </conditionalFormatting>
  <conditionalFormatting sqref="AC37:AF37">
    <cfRule type="expression" dxfId="214" priority="67" stopIfTrue="1">
      <formula>$AP$37=1</formula>
    </cfRule>
  </conditionalFormatting>
  <conditionalFormatting sqref="AC36:AF36">
    <cfRule type="expression" dxfId="213" priority="66" stopIfTrue="1">
      <formula>$AP$36=1</formula>
    </cfRule>
  </conditionalFormatting>
  <conditionalFormatting sqref="AC35:AF35">
    <cfRule type="expression" dxfId="212" priority="64" stopIfTrue="1">
      <formula>$AP$35=1</formula>
    </cfRule>
    <cfRule type="expression" dxfId="211" priority="65" stopIfTrue="1">
      <formula>$AP$35=1</formula>
    </cfRule>
  </conditionalFormatting>
  <conditionalFormatting sqref="AC34 AE34">
    <cfRule type="expression" dxfId="210" priority="63" stopIfTrue="1">
      <formula>$AP$34=1</formula>
    </cfRule>
  </conditionalFormatting>
  <conditionalFormatting sqref="AC33 AE33">
    <cfRule type="expression" dxfId="209" priority="62" stopIfTrue="1">
      <formula>$AP$33=1</formula>
    </cfRule>
  </conditionalFormatting>
  <conditionalFormatting sqref="AC32 AE32">
    <cfRule type="expression" dxfId="208" priority="61" stopIfTrue="1">
      <formula>$AP$32=1</formula>
    </cfRule>
  </conditionalFormatting>
  <conditionalFormatting sqref="AC31 AD34 AF32:AF34 AE31:AF31">
    <cfRule type="expression" dxfId="207" priority="60" stopIfTrue="1">
      <formula>$AP$31=1</formula>
    </cfRule>
  </conditionalFormatting>
  <conditionalFormatting sqref="AC30:AF30 AD31:AD33">
    <cfRule type="expression" dxfId="206" priority="59" stopIfTrue="1">
      <formula>$AP$30</formula>
    </cfRule>
  </conditionalFormatting>
  <conditionalFormatting sqref="AC29:AD29 AF29">
    <cfRule type="expression" dxfId="205" priority="58" stopIfTrue="1">
      <formula>$AP$29=1</formula>
    </cfRule>
  </conditionalFormatting>
  <conditionalFormatting sqref="AC28:AD28 AF28">
    <cfRule type="expression" dxfId="204" priority="57" stopIfTrue="1">
      <formula>$AP$28=1</formula>
    </cfRule>
  </conditionalFormatting>
  <conditionalFormatting sqref="AC27:AD27 AF27">
    <cfRule type="expression" dxfId="203" priority="56" stopIfTrue="1">
      <formula>$AP$27=1</formula>
    </cfRule>
  </conditionalFormatting>
  <conditionalFormatting sqref="AC26:AD26 AF26">
    <cfRule type="expression" dxfId="202" priority="55" stopIfTrue="1">
      <formula>$AP$26=1</formula>
    </cfRule>
  </conditionalFormatting>
  <conditionalFormatting sqref="AC25:AD25 AF25">
    <cfRule type="expression" dxfId="201" priority="54" stopIfTrue="1">
      <formula>$AP$25=1</formula>
    </cfRule>
  </conditionalFormatting>
  <conditionalFormatting sqref="AC24:AD24 AF24">
    <cfRule type="expression" dxfId="200" priority="53" stopIfTrue="1">
      <formula>$AP$24=1</formula>
    </cfRule>
  </conditionalFormatting>
  <conditionalFormatting sqref="AC23:AD23 AF23">
    <cfRule type="expression" dxfId="199" priority="52" stopIfTrue="1">
      <formula>$AP$23=1</formula>
    </cfRule>
  </conditionalFormatting>
  <conditionalFormatting sqref="AC22:AD22 AF22">
    <cfRule type="expression" dxfId="198" priority="51" stopIfTrue="1">
      <formula>$AP$22=1</formula>
    </cfRule>
  </conditionalFormatting>
  <conditionalFormatting sqref="AC21:AD21 AF21">
    <cfRule type="expression" dxfId="197" priority="50" stopIfTrue="1">
      <formula>$AP$21=1</formula>
    </cfRule>
  </conditionalFormatting>
  <conditionalFormatting sqref="AC20:AD20 AF20">
    <cfRule type="expression" dxfId="196" priority="49" stopIfTrue="1">
      <formula>$AP$20=1</formula>
    </cfRule>
  </conditionalFormatting>
  <conditionalFormatting sqref="AC19:AD19 AF19">
    <cfRule type="expression" dxfId="195" priority="48" stopIfTrue="1">
      <formula>$AP$19=1</formula>
    </cfRule>
  </conditionalFormatting>
  <conditionalFormatting sqref="AC18:AD18 AF18">
    <cfRule type="expression" dxfId="194" priority="47" stopIfTrue="1">
      <formula>$AP$18=1</formula>
    </cfRule>
  </conditionalFormatting>
  <conditionalFormatting sqref="AC17:AD17 AF17">
    <cfRule type="expression" dxfId="193" priority="46" stopIfTrue="1">
      <formula>$AP$17=1</formula>
    </cfRule>
  </conditionalFormatting>
  <conditionalFormatting sqref="AC16:AD16 AF16">
    <cfRule type="expression" dxfId="192" priority="45" stopIfTrue="1">
      <formula>$AP$16=1</formula>
    </cfRule>
  </conditionalFormatting>
  <conditionalFormatting sqref="AC15:AD15 AF15">
    <cfRule type="expression" dxfId="191" priority="44" stopIfTrue="1">
      <formula>$AP$15=1</formula>
    </cfRule>
  </conditionalFormatting>
  <conditionalFormatting sqref="AC14:AD14 AF14">
    <cfRule type="expression" dxfId="190" priority="43" stopIfTrue="1">
      <formula>$AP$14=1</formula>
    </cfRule>
  </conditionalFormatting>
  <conditionalFormatting sqref="AC13:AD13 AF13">
    <cfRule type="expression" dxfId="189" priority="42" stopIfTrue="1">
      <formula>$AP$13=1</formula>
    </cfRule>
  </conditionalFormatting>
  <conditionalFormatting sqref="AC12:AD12 AF12">
    <cfRule type="expression" dxfId="188" priority="41" stopIfTrue="1">
      <formula>$AP$12=1</formula>
    </cfRule>
  </conditionalFormatting>
  <conditionalFormatting sqref="AC11:AF11 AE12:AE29">
    <cfRule type="expression" dxfId="187" priority="40" stopIfTrue="1">
      <formula>$AP$11=1</formula>
    </cfRule>
  </conditionalFormatting>
  <conditionalFormatting sqref="A51:B51">
    <cfRule type="expression" dxfId="186" priority="39" stopIfTrue="1">
      <formula>$AP$51=1</formula>
    </cfRule>
  </conditionalFormatting>
  <conditionalFormatting sqref="A50:B50">
    <cfRule type="expression" dxfId="185" priority="38" stopIfTrue="1">
      <formula>$AP$50=1</formula>
    </cfRule>
  </conditionalFormatting>
  <conditionalFormatting sqref="A49:B49">
    <cfRule type="expression" dxfId="184" priority="37" stopIfTrue="1">
      <formula>$AP$49=1</formula>
    </cfRule>
  </conditionalFormatting>
  <conditionalFormatting sqref="A48:B48">
    <cfRule type="expression" dxfId="183" priority="36" stopIfTrue="1">
      <formula>$AP$48=1</formula>
    </cfRule>
  </conditionalFormatting>
  <conditionalFormatting sqref="A47:B47">
    <cfRule type="expression" dxfId="182" priority="35" stopIfTrue="1">
      <formula>$AP$47=1</formula>
    </cfRule>
  </conditionalFormatting>
  <conditionalFormatting sqref="A46:B46">
    <cfRule type="expression" dxfId="181" priority="34" stopIfTrue="1">
      <formula>$AP$46=1</formula>
    </cfRule>
  </conditionalFormatting>
  <conditionalFormatting sqref="A45:B45">
    <cfRule type="expression" dxfId="180" priority="33" stopIfTrue="1">
      <formula>$AP$45=1</formula>
    </cfRule>
  </conditionalFormatting>
  <conditionalFormatting sqref="A44:B44">
    <cfRule type="expression" dxfId="179" priority="32" stopIfTrue="1">
      <formula>$AP$44=1</formula>
    </cfRule>
  </conditionalFormatting>
  <conditionalFormatting sqref="A43:B43">
    <cfRule type="expression" dxfId="178" priority="31" stopIfTrue="1">
      <formula>$AP$43=1</formula>
    </cfRule>
  </conditionalFormatting>
  <conditionalFormatting sqref="A42:B42">
    <cfRule type="expression" dxfId="177" priority="30" stopIfTrue="1">
      <formula>$AP$42=1</formula>
    </cfRule>
  </conditionalFormatting>
  <conditionalFormatting sqref="A41:B41">
    <cfRule type="expression" dxfId="176" priority="29" stopIfTrue="1">
      <formula>$AP$41=1</formula>
    </cfRule>
  </conditionalFormatting>
  <conditionalFormatting sqref="A40:B40">
    <cfRule type="expression" dxfId="175" priority="28" stopIfTrue="1">
      <formula>$AP$40=1</formula>
    </cfRule>
  </conditionalFormatting>
  <conditionalFormatting sqref="A39:B39">
    <cfRule type="expression" dxfId="174" priority="27" stopIfTrue="1">
      <formula>$AP$39=1</formula>
    </cfRule>
  </conditionalFormatting>
  <conditionalFormatting sqref="A38:B38">
    <cfRule type="expression" dxfId="173" priority="26" stopIfTrue="1">
      <formula>$AP$38=1</formula>
    </cfRule>
  </conditionalFormatting>
  <conditionalFormatting sqref="A37:B37">
    <cfRule type="expression" dxfId="172" priority="25" stopIfTrue="1">
      <formula>$AP$37=1</formula>
    </cfRule>
  </conditionalFormatting>
  <conditionalFormatting sqref="A36:B36">
    <cfRule type="expression" dxfId="171" priority="24" stopIfTrue="1">
      <formula>$AP$36=1</formula>
    </cfRule>
  </conditionalFormatting>
  <conditionalFormatting sqref="A31:B31">
    <cfRule type="expression" dxfId="170" priority="23" stopIfTrue="1">
      <formula>$AP$31=1</formula>
    </cfRule>
  </conditionalFormatting>
  <conditionalFormatting sqref="A30:B30">
    <cfRule type="expression" dxfId="169" priority="22" stopIfTrue="1">
      <formula>$AP$30=1</formula>
    </cfRule>
  </conditionalFormatting>
  <conditionalFormatting sqref="A29:B29">
    <cfRule type="expression" dxfId="168" priority="21" stopIfTrue="1">
      <formula>$AP$29=1</formula>
    </cfRule>
  </conditionalFormatting>
  <conditionalFormatting sqref="A28:B28">
    <cfRule type="expression" dxfId="167" priority="20" stopIfTrue="1">
      <formula>$AP$28=1</formula>
    </cfRule>
  </conditionalFormatting>
  <conditionalFormatting sqref="A27:B27">
    <cfRule type="expression" dxfId="166" priority="19" stopIfTrue="1">
      <formula>$AP$27=1</formula>
    </cfRule>
  </conditionalFormatting>
  <conditionalFormatting sqref="A26:B26">
    <cfRule type="expression" dxfId="165" priority="18" stopIfTrue="1">
      <formula>$AP$26=1</formula>
    </cfRule>
  </conditionalFormatting>
  <conditionalFormatting sqref="A25:B25">
    <cfRule type="expression" dxfId="164" priority="17" stopIfTrue="1">
      <formula>$AP$25=1</formula>
    </cfRule>
  </conditionalFormatting>
  <conditionalFormatting sqref="A24:B24">
    <cfRule type="expression" dxfId="163" priority="16" stopIfTrue="1">
      <formula>$AP$24=1</formula>
    </cfRule>
  </conditionalFormatting>
  <conditionalFormatting sqref="A23:B23">
    <cfRule type="expression" dxfId="162" priority="15" stopIfTrue="1">
      <formula>$AP$23=1</formula>
    </cfRule>
  </conditionalFormatting>
  <conditionalFormatting sqref="A22:B22">
    <cfRule type="expression" dxfId="161" priority="14" stopIfTrue="1">
      <formula>$AP$22=1</formula>
    </cfRule>
  </conditionalFormatting>
  <conditionalFormatting sqref="A21:B21">
    <cfRule type="expression" dxfId="160" priority="13" stopIfTrue="1">
      <formula>$AP$21=1</formula>
    </cfRule>
  </conditionalFormatting>
  <conditionalFormatting sqref="A20:B20">
    <cfRule type="expression" dxfId="159" priority="12" stopIfTrue="1">
      <formula>$AP$20=1</formula>
    </cfRule>
  </conditionalFormatting>
  <conditionalFormatting sqref="A19:B19">
    <cfRule type="expression" dxfId="158" priority="11" stopIfTrue="1">
      <formula>$AP$19=1</formula>
    </cfRule>
  </conditionalFormatting>
  <conditionalFormatting sqref="A18:B18">
    <cfRule type="expression" dxfId="157" priority="10" stopIfTrue="1">
      <formula>$AP$18=1</formula>
    </cfRule>
  </conditionalFormatting>
  <conditionalFormatting sqref="A17:B17">
    <cfRule type="expression" dxfId="156" priority="9" stopIfTrue="1">
      <formula>$AP$17=1</formula>
    </cfRule>
  </conditionalFormatting>
  <conditionalFormatting sqref="A16:B16">
    <cfRule type="expression" dxfId="155" priority="8" stopIfTrue="1">
      <formula>$AP$16=1</formula>
    </cfRule>
  </conditionalFormatting>
  <conditionalFormatting sqref="A15:B15">
    <cfRule type="expression" dxfId="154" priority="7" stopIfTrue="1">
      <formula>$AP$15=1</formula>
    </cfRule>
  </conditionalFormatting>
  <conditionalFormatting sqref="A14:B14">
    <cfRule type="expression" dxfId="153" priority="6" stopIfTrue="1">
      <formula>$AP$14=1</formula>
    </cfRule>
  </conditionalFormatting>
  <conditionalFormatting sqref="A13:B13">
    <cfRule type="expression" dxfId="152" priority="5" stopIfTrue="1">
      <formula>$AP$13=1</formula>
    </cfRule>
  </conditionalFormatting>
  <conditionalFormatting sqref="A12:B12">
    <cfRule type="expression" dxfId="151" priority="4" stopIfTrue="1">
      <formula>$AP$12=1</formula>
    </cfRule>
  </conditionalFormatting>
  <conditionalFormatting sqref="A11:B11">
    <cfRule type="expression" dxfId="150" priority="3" stopIfTrue="1">
      <formula>$AP$11=1</formula>
    </cfRule>
  </conditionalFormatting>
  <conditionalFormatting sqref="A10:B10">
    <cfRule type="expression" dxfId="149" priority="2" stopIfTrue="1">
      <formula>$AP$10=1</formula>
    </cfRule>
  </conditionalFormatting>
  <conditionalFormatting sqref="A32:B35">
    <cfRule type="expression" dxfId="148" priority="1" stopIfTrue="1">
      <formula>$AP$31=1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AP75"/>
  <sheetViews>
    <sheetView topLeftCell="A16" zoomScale="70" zoomScaleNormal="70" workbookViewId="0">
      <selection activeCell="A61" sqref="A61"/>
    </sheetView>
  </sheetViews>
  <sheetFormatPr baseColWidth="10" defaultColWidth="11.42578125" defaultRowHeight="12.75" x14ac:dyDescent="0.2"/>
  <cols>
    <col min="1" max="1" width="9.7109375" style="84" customWidth="1"/>
    <col min="2" max="2" width="12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0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7" t="s">
        <v>82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478.86500000000001</v>
      </c>
      <c r="AM4" s="93">
        <f>SUM(AM5:AM46)</f>
        <v>14.5</v>
      </c>
      <c r="AN4" s="93">
        <f>SUM(AN5:AN46)</f>
        <v>478.86500000000001</v>
      </c>
      <c r="AO4" s="93">
        <f>SUM(AO5:AO46)</f>
        <v>23</v>
      </c>
      <c r="AP4" s="86"/>
    </row>
    <row r="5" spans="1:42" ht="15.75" x14ac:dyDescent="0.25">
      <c r="A5" s="94">
        <f t="shared" ref="A5:A28" si="0">AF5</f>
        <v>0</v>
      </c>
      <c r="B5" s="95">
        <f t="shared" ref="B5:B28" si="1">AD5</f>
        <v>480.02</v>
      </c>
      <c r="C5" s="96" t="str">
        <f>IF(AG5="","",AG5)</f>
        <v xml:space="preserve">S/BM </v>
      </c>
      <c r="D5" s="190"/>
      <c r="X5" s="97"/>
      <c r="Y5" s="98"/>
      <c r="Z5" s="99">
        <v>0.247</v>
      </c>
      <c r="AA5" s="100"/>
      <c r="AB5" s="101"/>
      <c r="AC5" s="102">
        <f>IF(AA5="",AD5+Z5,"")</f>
        <v>480.267</v>
      </c>
      <c r="AD5" s="103">
        <v>480.02</v>
      </c>
      <c r="AE5" s="104">
        <v>0</v>
      </c>
      <c r="AF5" s="105"/>
      <c r="AG5" s="166" t="s">
        <v>46</v>
      </c>
      <c r="AH5" s="86">
        <f t="shared" ref="AH5:AH46" si="2">IF(AND(AJ5="NAOI",AJ5=AJ6),AK5,AI5)</f>
        <v>480.267</v>
      </c>
      <c r="AI5" s="86">
        <f>IF(AA5="",AC5,AI4)</f>
        <v>480.267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480.72300000000001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0.84</v>
      </c>
      <c r="AB6" s="111"/>
      <c r="AC6" s="112" t="str">
        <f>IF(AA6="",AD6+Z6,"")</f>
        <v/>
      </c>
      <c r="AD6" s="113">
        <v>480.72300000000001</v>
      </c>
      <c r="AE6" s="114">
        <v>0</v>
      </c>
      <c r="AF6" s="113">
        <f>AE6</f>
        <v>0</v>
      </c>
      <c r="AG6" s="115" t="s">
        <v>4</v>
      </c>
      <c r="AH6" s="86">
        <f t="shared" si="2"/>
        <v>480.267</v>
      </c>
      <c r="AI6" s="86">
        <f t="shared" ref="AI6:AI46" si="6">IF(AA6="",AC6,AI5)</f>
        <v>480.267</v>
      </c>
      <c r="AJ6" s="86" t="str">
        <f t="shared" si="3"/>
        <v>PRI</v>
      </c>
      <c r="AK6" s="93">
        <f t="shared" si="4"/>
        <v>480.72300000000001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2</v>
      </c>
      <c r="B7" s="95">
        <f t="shared" si="1"/>
        <v>479.78699999999998</v>
      </c>
      <c r="C7" s="96" t="str">
        <f t="shared" si="5"/>
        <v/>
      </c>
      <c r="D7" s="190"/>
      <c r="X7" s="107"/>
      <c r="Y7" s="108"/>
      <c r="Z7" s="109"/>
      <c r="AA7" s="110">
        <v>0.48</v>
      </c>
      <c r="AB7" s="111"/>
      <c r="AC7" s="112" t="str">
        <f t="shared" ref="AC7:AC28" si="11">IF(AA7="",AD7+Z7,"")</f>
        <v/>
      </c>
      <c r="AD7" s="113">
        <f>IF(AA7="",AH6-AB7,AH6-AA7)</f>
        <v>479.78699999999998</v>
      </c>
      <c r="AE7" s="114">
        <v>2</v>
      </c>
      <c r="AF7" s="113">
        <f t="shared" ref="AF7:AF29" si="12">+AF6+AE7</f>
        <v>2</v>
      </c>
      <c r="AG7" s="116"/>
      <c r="AH7" s="86">
        <f t="shared" si="2"/>
        <v>480.267</v>
      </c>
      <c r="AI7" s="86">
        <f t="shared" si="6"/>
        <v>480.267</v>
      </c>
      <c r="AJ7" s="86" t="str">
        <f t="shared" si="3"/>
        <v>PRI</v>
      </c>
      <c r="AK7" s="93">
        <f t="shared" si="4"/>
        <v>479.78699999999998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7</v>
      </c>
      <c r="B8" s="95">
        <f t="shared" si="1"/>
        <v>479.71600000000001</v>
      </c>
      <c r="C8" s="96" t="str">
        <f t="shared" si="5"/>
        <v/>
      </c>
      <c r="D8" s="190"/>
      <c r="X8" s="107"/>
      <c r="Y8" s="108"/>
      <c r="Z8" s="109"/>
      <c r="AA8" s="110">
        <v>0.55100000000000005</v>
      </c>
      <c r="AB8" s="111"/>
      <c r="AC8" s="112" t="str">
        <f t="shared" si="11"/>
        <v/>
      </c>
      <c r="AD8" s="113">
        <f>IF(AA8="",AH7-AB8,AH7-AA8)</f>
        <v>479.71600000000001</v>
      </c>
      <c r="AE8" s="114">
        <v>5</v>
      </c>
      <c r="AF8" s="113">
        <f t="shared" si="12"/>
        <v>7</v>
      </c>
      <c r="AG8" s="116"/>
      <c r="AH8" s="86">
        <f t="shared" si="2"/>
        <v>480.267</v>
      </c>
      <c r="AI8" s="86">
        <f t="shared" si="6"/>
        <v>480.267</v>
      </c>
      <c r="AJ8" s="86" t="str">
        <f t="shared" si="3"/>
        <v>PRI</v>
      </c>
      <c r="AK8" s="93">
        <f t="shared" si="4"/>
        <v>479.71600000000001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10.5</v>
      </c>
      <c r="B9" s="95">
        <f t="shared" si="1"/>
        <v>480.089</v>
      </c>
      <c r="C9" s="96" t="str">
        <f t="shared" si="5"/>
        <v/>
      </c>
      <c r="D9" s="190"/>
      <c r="X9" s="107"/>
      <c r="Y9" s="108"/>
      <c r="Z9" s="109"/>
      <c r="AA9" s="110">
        <v>0.17799999999999999</v>
      </c>
      <c r="AB9" s="111"/>
      <c r="AC9" s="112" t="str">
        <f t="shared" si="11"/>
        <v/>
      </c>
      <c r="AD9" s="113">
        <f>IF(AA9="",AH8-AB9,AH8-AA9)</f>
        <v>480.089</v>
      </c>
      <c r="AE9" s="114">
        <v>3.5</v>
      </c>
      <c r="AF9" s="113">
        <f t="shared" si="12"/>
        <v>10.5</v>
      </c>
      <c r="AG9" s="115"/>
      <c r="AH9" s="86">
        <f t="shared" si="2"/>
        <v>480.267</v>
      </c>
      <c r="AI9" s="86">
        <f t="shared" si="6"/>
        <v>480.267</v>
      </c>
      <c r="AJ9" s="86" t="str">
        <f t="shared" si="3"/>
        <v>PRI</v>
      </c>
      <c r="AK9" s="93">
        <f t="shared" si="4"/>
        <v>480.089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11.5</v>
      </c>
      <c r="B10" s="95">
        <f t="shared" si="1"/>
        <v>479.10899999999998</v>
      </c>
      <c r="C10" s="96" t="str">
        <f t="shared" si="5"/>
        <v/>
      </c>
      <c r="D10" s="190"/>
      <c r="E10" s="84">
        <f>(B12+B35)/2</f>
        <v>239.3775</v>
      </c>
      <c r="X10" s="107"/>
      <c r="Y10" s="108"/>
      <c r="Z10" s="109"/>
      <c r="AA10" s="110">
        <v>1.1579999999999999</v>
      </c>
      <c r="AB10" s="111"/>
      <c r="AC10" s="112" t="str">
        <f t="shared" si="11"/>
        <v/>
      </c>
      <c r="AD10" s="113">
        <f t="shared" ref="AD10:AD29" si="13">IF(AJ9="S/BM",AD9,IF(AA10="",AH9-AB10,AH9-AA10))</f>
        <v>479.10899999999998</v>
      </c>
      <c r="AE10" s="114">
        <v>1</v>
      </c>
      <c r="AF10" s="113">
        <f t="shared" si="12"/>
        <v>11.5</v>
      </c>
      <c r="AG10" s="116"/>
      <c r="AH10" s="86">
        <f t="shared" si="2"/>
        <v>480.267</v>
      </c>
      <c r="AI10" s="86">
        <f t="shared" si="6"/>
        <v>480.267</v>
      </c>
      <c r="AJ10" s="86" t="str">
        <f t="shared" si="3"/>
        <v>PRI</v>
      </c>
      <c r="AK10" s="93">
        <f t="shared" si="4"/>
        <v>479.10899999999998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14.5</v>
      </c>
      <c r="B11" s="95">
        <f t="shared" si="1"/>
        <v>478.86500000000001</v>
      </c>
      <c r="C11" s="96" t="str">
        <f t="shared" si="5"/>
        <v>NAOI</v>
      </c>
      <c r="D11" s="190"/>
      <c r="E11" s="117">
        <v>0.33</v>
      </c>
      <c r="X11" s="107"/>
      <c r="Y11" s="108"/>
      <c r="Z11" s="109"/>
      <c r="AA11" s="110">
        <v>1.4019999999999999</v>
      </c>
      <c r="AB11" s="111"/>
      <c r="AC11" s="112" t="str">
        <f t="shared" si="11"/>
        <v/>
      </c>
      <c r="AD11" s="113">
        <f t="shared" si="13"/>
        <v>478.86500000000001</v>
      </c>
      <c r="AE11" s="114">
        <v>3</v>
      </c>
      <c r="AF11" s="113">
        <f t="shared" si="12"/>
        <v>14.5</v>
      </c>
      <c r="AG11" s="115" t="s">
        <v>9</v>
      </c>
      <c r="AH11" s="86">
        <f t="shared" si="2"/>
        <v>478.86500000000001</v>
      </c>
      <c r="AI11" s="86">
        <f t="shared" si="6"/>
        <v>480.267</v>
      </c>
      <c r="AJ11" s="86" t="str">
        <f t="shared" si="3"/>
        <v>NAOI</v>
      </c>
      <c r="AK11" s="93">
        <f t="shared" si="4"/>
        <v>478.86500000000001</v>
      </c>
      <c r="AL11" s="86">
        <f t="shared" si="7"/>
        <v>478.86500000000001</v>
      </c>
      <c r="AM11" s="93">
        <f t="shared" si="8"/>
        <v>14.5</v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15.5</v>
      </c>
      <c r="B12" s="95">
        <f t="shared" si="1"/>
        <v>478.755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0.11</v>
      </c>
      <c r="AB12" s="111"/>
      <c r="AC12" s="112" t="str">
        <f>IF(AA12="",AD12+Z12,"")</f>
        <v/>
      </c>
      <c r="AD12" s="113">
        <f t="shared" si="13"/>
        <v>478.755</v>
      </c>
      <c r="AE12" s="114">
        <v>1</v>
      </c>
      <c r="AF12" s="113">
        <f t="shared" si="12"/>
        <v>15.5</v>
      </c>
      <c r="AG12" s="115"/>
      <c r="AH12" s="86">
        <f t="shared" si="2"/>
        <v>478.86500000000001</v>
      </c>
      <c r="AI12" s="86">
        <f t="shared" si="6"/>
        <v>480.267</v>
      </c>
      <c r="AJ12" s="86" t="str">
        <f t="shared" si="3"/>
        <v>NAOI</v>
      </c>
      <c r="AK12" s="93">
        <f t="shared" si="4"/>
        <v>478.86500000000001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16</v>
      </c>
      <c r="B13" s="95">
        <f t="shared" si="1"/>
        <v>478.69499999999999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0.17</v>
      </c>
      <c r="AB13" s="111"/>
      <c r="AC13" s="112" t="str">
        <f t="shared" si="11"/>
        <v/>
      </c>
      <c r="AD13" s="113">
        <f t="shared" si="13"/>
        <v>478.69499999999999</v>
      </c>
      <c r="AE13" s="114">
        <v>0.5</v>
      </c>
      <c r="AF13" s="113">
        <f t="shared" si="12"/>
        <v>16</v>
      </c>
      <c r="AG13" s="115"/>
      <c r="AH13" s="86">
        <f t="shared" si="2"/>
        <v>478.86500000000001</v>
      </c>
      <c r="AI13" s="86">
        <f t="shared" si="6"/>
        <v>480.267</v>
      </c>
      <c r="AJ13" s="86" t="str">
        <f t="shared" si="3"/>
        <v>NAOI</v>
      </c>
      <c r="AK13" s="93">
        <f t="shared" si="4"/>
        <v>478.86500000000001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16.5</v>
      </c>
      <c r="B14" s="95">
        <f t="shared" si="1"/>
        <v>478.66500000000002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0.2</v>
      </c>
      <c r="AB14" s="111"/>
      <c r="AC14" s="112" t="str">
        <f t="shared" si="11"/>
        <v/>
      </c>
      <c r="AD14" s="113">
        <f t="shared" si="13"/>
        <v>478.66500000000002</v>
      </c>
      <c r="AE14" s="114">
        <v>0.5</v>
      </c>
      <c r="AF14" s="113">
        <f t="shared" si="12"/>
        <v>16.5</v>
      </c>
      <c r="AG14" s="116"/>
      <c r="AH14" s="86">
        <f t="shared" si="2"/>
        <v>478.86500000000001</v>
      </c>
      <c r="AI14" s="86">
        <f t="shared" si="6"/>
        <v>480.267</v>
      </c>
      <c r="AJ14" s="86" t="str">
        <f t="shared" si="3"/>
        <v>NAOI</v>
      </c>
      <c r="AK14" s="93">
        <f>IF(AND(AJ14="NAOI",AJ13="NAOI"),AK13,AD14)</f>
        <v>478.86500000000001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17</v>
      </c>
      <c r="B15" s="95">
        <f t="shared" si="1"/>
        <v>478.65500000000003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0.21</v>
      </c>
      <c r="AB15" s="111"/>
      <c r="AC15" s="112" t="str">
        <f t="shared" si="11"/>
        <v/>
      </c>
      <c r="AD15" s="113">
        <f t="shared" si="13"/>
        <v>478.65500000000003</v>
      </c>
      <c r="AE15" s="114">
        <v>0.5</v>
      </c>
      <c r="AF15" s="113">
        <f t="shared" si="12"/>
        <v>17</v>
      </c>
      <c r="AG15" s="115"/>
      <c r="AH15" s="86">
        <f t="shared" si="2"/>
        <v>478.86500000000001</v>
      </c>
      <c r="AI15" s="86">
        <f t="shared" si="6"/>
        <v>480.267</v>
      </c>
      <c r="AJ15" s="86" t="str">
        <f t="shared" si="3"/>
        <v>NAOI</v>
      </c>
      <c r="AK15" s="93">
        <f>IF(AND(AJ15="NAOI",AJ14="NAOI"),AK14,AD15)</f>
        <v>478.86500000000001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17.5</v>
      </c>
      <c r="B16" s="95">
        <f t="shared" si="1"/>
        <v>478.69499999999999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0.17</v>
      </c>
      <c r="AB16" s="111"/>
      <c r="AC16" s="112" t="str">
        <f t="shared" si="11"/>
        <v/>
      </c>
      <c r="AD16" s="113">
        <f t="shared" si="13"/>
        <v>478.69499999999999</v>
      </c>
      <c r="AE16" s="114">
        <v>0.5</v>
      </c>
      <c r="AF16" s="113">
        <f t="shared" si="12"/>
        <v>17.5</v>
      </c>
      <c r="AG16" s="118"/>
      <c r="AH16" s="86">
        <f t="shared" si="2"/>
        <v>478.86500000000001</v>
      </c>
      <c r="AI16" s="86">
        <f t="shared" si="6"/>
        <v>480.267</v>
      </c>
      <c r="AJ16" s="86" t="str">
        <f t="shared" si="3"/>
        <v>NAOI</v>
      </c>
      <c r="AK16" s="93">
        <f>IF(AND(AJ16="NAOI",AJ15="NAOI"),AK15,AD16)</f>
        <v>478.86500000000001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18</v>
      </c>
      <c r="B17" s="95">
        <f t="shared" si="1"/>
        <v>478.685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0.18</v>
      </c>
      <c r="AB17" s="111"/>
      <c r="AC17" s="112" t="str">
        <f t="shared" si="11"/>
        <v/>
      </c>
      <c r="AD17" s="113">
        <f t="shared" si="13"/>
        <v>478.685</v>
      </c>
      <c r="AE17" s="114">
        <v>0.5</v>
      </c>
      <c r="AF17" s="113">
        <f t="shared" si="12"/>
        <v>18</v>
      </c>
      <c r="AG17" s="118"/>
      <c r="AH17" s="86">
        <f t="shared" si="2"/>
        <v>478.86500000000001</v>
      </c>
      <c r="AI17" s="86">
        <f t="shared" si="6"/>
        <v>480.267</v>
      </c>
      <c r="AJ17" s="86" t="str">
        <f t="shared" si="3"/>
        <v>NAOI</v>
      </c>
      <c r="AK17" s="93">
        <f t="shared" ref="AK17:AK46" si="15">IF(AND(AJ17="NAOI",AJ16="NAOI"),AK16,AD17)</f>
        <v>478.86500000000001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18.5</v>
      </c>
      <c r="B18" s="95">
        <f t="shared" si="1"/>
        <v>478.625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0.24</v>
      </c>
      <c r="AB18" s="111"/>
      <c r="AC18" s="112" t="str">
        <f t="shared" si="11"/>
        <v/>
      </c>
      <c r="AD18" s="113">
        <f t="shared" si="13"/>
        <v>478.625</v>
      </c>
      <c r="AE18" s="114">
        <v>0.5</v>
      </c>
      <c r="AF18" s="113">
        <f t="shared" si="12"/>
        <v>18.5</v>
      </c>
      <c r="AG18" s="118"/>
      <c r="AH18" s="86">
        <f t="shared" si="2"/>
        <v>478.86500000000001</v>
      </c>
      <c r="AI18" s="86">
        <f t="shared" si="6"/>
        <v>480.267</v>
      </c>
      <c r="AJ18" s="86" t="str">
        <f t="shared" si="3"/>
        <v>NAOI</v>
      </c>
      <c r="AK18" s="93">
        <f t="shared" si="15"/>
        <v>478.86500000000001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19</v>
      </c>
      <c r="B19" s="95">
        <f t="shared" si="1"/>
        <v>478.65500000000003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0.21</v>
      </c>
      <c r="AB19" s="111"/>
      <c r="AC19" s="112" t="str">
        <f t="shared" si="11"/>
        <v/>
      </c>
      <c r="AD19" s="113">
        <f t="shared" si="13"/>
        <v>478.65500000000003</v>
      </c>
      <c r="AE19" s="114">
        <v>0.5</v>
      </c>
      <c r="AF19" s="113">
        <f t="shared" si="12"/>
        <v>19</v>
      </c>
      <c r="AG19" s="118"/>
      <c r="AH19" s="86">
        <f t="shared" si="2"/>
        <v>478.86500000000001</v>
      </c>
      <c r="AI19" s="86">
        <f t="shared" si="6"/>
        <v>480.267</v>
      </c>
      <c r="AJ19" s="86" t="str">
        <f t="shared" si="3"/>
        <v>NAOI</v>
      </c>
      <c r="AK19" s="93">
        <f t="shared" si="15"/>
        <v>478.86500000000001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19.5</v>
      </c>
      <c r="B20" s="95">
        <f t="shared" si="1"/>
        <v>478.58500000000004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0.28000000000000003</v>
      </c>
      <c r="AB20" s="111"/>
      <c r="AC20" s="112" t="str">
        <f t="shared" si="11"/>
        <v/>
      </c>
      <c r="AD20" s="113">
        <f t="shared" si="13"/>
        <v>478.58500000000004</v>
      </c>
      <c r="AE20" s="114">
        <v>0.5</v>
      </c>
      <c r="AF20" s="113">
        <f t="shared" si="12"/>
        <v>19.5</v>
      </c>
      <c r="AG20" s="118"/>
      <c r="AH20" s="86">
        <f t="shared" si="2"/>
        <v>478.86500000000001</v>
      </c>
      <c r="AI20" s="86">
        <f t="shared" si="6"/>
        <v>480.267</v>
      </c>
      <c r="AJ20" s="86" t="str">
        <f t="shared" si="3"/>
        <v>NAOI</v>
      </c>
      <c r="AK20" s="93">
        <f t="shared" si="15"/>
        <v>478.86500000000001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20</v>
      </c>
      <c r="B21" s="95">
        <f t="shared" si="1"/>
        <v>478.71500000000003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0.15</v>
      </c>
      <c r="AB21" s="111"/>
      <c r="AC21" s="112" t="str">
        <f t="shared" si="11"/>
        <v/>
      </c>
      <c r="AD21" s="113">
        <f t="shared" si="13"/>
        <v>478.71500000000003</v>
      </c>
      <c r="AE21" s="114">
        <v>0.5</v>
      </c>
      <c r="AF21" s="113">
        <f t="shared" si="12"/>
        <v>20</v>
      </c>
      <c r="AG21" s="118"/>
      <c r="AH21" s="86">
        <f t="shared" si="2"/>
        <v>478.86500000000001</v>
      </c>
      <c r="AI21" s="86">
        <f t="shared" si="6"/>
        <v>480.267</v>
      </c>
      <c r="AJ21" s="86" t="str">
        <f t="shared" si="3"/>
        <v>NAOI</v>
      </c>
      <c r="AK21" s="93">
        <f t="shared" si="15"/>
        <v>478.86500000000001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20.5</v>
      </c>
      <c r="B22" s="95">
        <f t="shared" si="1"/>
        <v>478.63499999999999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0.23</v>
      </c>
      <c r="AB22" s="111"/>
      <c r="AC22" s="112" t="str">
        <f t="shared" si="11"/>
        <v/>
      </c>
      <c r="AD22" s="113">
        <f t="shared" si="13"/>
        <v>478.63499999999999</v>
      </c>
      <c r="AE22" s="114">
        <v>0.5</v>
      </c>
      <c r="AF22" s="113">
        <f t="shared" si="12"/>
        <v>20.5</v>
      </c>
      <c r="AG22" s="118"/>
      <c r="AH22" s="86">
        <f t="shared" si="2"/>
        <v>478.86500000000001</v>
      </c>
      <c r="AI22" s="86">
        <f t="shared" si="6"/>
        <v>480.267</v>
      </c>
      <c r="AJ22" s="86" t="str">
        <f t="shared" si="3"/>
        <v>NAOI</v>
      </c>
      <c r="AK22" s="93">
        <f t="shared" si="15"/>
        <v>478.86500000000001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21</v>
      </c>
      <c r="B23" s="95">
        <f t="shared" si="1"/>
        <v>478.66500000000002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0.2</v>
      </c>
      <c r="AB23" s="111"/>
      <c r="AC23" s="112" t="str">
        <f t="shared" si="11"/>
        <v/>
      </c>
      <c r="AD23" s="113">
        <f t="shared" si="13"/>
        <v>478.66500000000002</v>
      </c>
      <c r="AE23" s="114">
        <v>0.5</v>
      </c>
      <c r="AF23" s="113">
        <f t="shared" si="12"/>
        <v>21</v>
      </c>
      <c r="AG23" s="118"/>
      <c r="AH23" s="86">
        <f t="shared" si="2"/>
        <v>478.86500000000001</v>
      </c>
      <c r="AI23" s="86">
        <f t="shared" si="6"/>
        <v>480.267</v>
      </c>
      <c r="AJ23" s="86" t="str">
        <f t="shared" si="3"/>
        <v>NAOI</v>
      </c>
      <c r="AK23" s="93">
        <f t="shared" si="15"/>
        <v>478.86500000000001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21.5</v>
      </c>
      <c r="B24" s="95">
        <f t="shared" si="1"/>
        <v>478.70499999999998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0.16</v>
      </c>
      <c r="AB24" s="111"/>
      <c r="AC24" s="112" t="str">
        <f t="shared" si="11"/>
        <v/>
      </c>
      <c r="AD24" s="113">
        <f t="shared" si="13"/>
        <v>478.70499999999998</v>
      </c>
      <c r="AE24" s="114">
        <v>0.5</v>
      </c>
      <c r="AF24" s="113">
        <f t="shared" si="12"/>
        <v>21.5</v>
      </c>
      <c r="AG24" s="118"/>
      <c r="AH24" s="86">
        <f t="shared" si="2"/>
        <v>478.86500000000001</v>
      </c>
      <c r="AI24" s="86">
        <f t="shared" si="6"/>
        <v>480.267</v>
      </c>
      <c r="AJ24" s="86" t="str">
        <f t="shared" si="3"/>
        <v>NAOI</v>
      </c>
      <c r="AK24" s="93">
        <f t="shared" si="15"/>
        <v>478.86500000000001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22</v>
      </c>
      <c r="B25" s="95">
        <f t="shared" si="1"/>
        <v>478.70499999999998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0.16</v>
      </c>
      <c r="AB25" s="111"/>
      <c r="AC25" s="112" t="str">
        <f t="shared" si="11"/>
        <v/>
      </c>
      <c r="AD25" s="113">
        <f t="shared" si="13"/>
        <v>478.70499999999998</v>
      </c>
      <c r="AE25" s="114">
        <v>0.5</v>
      </c>
      <c r="AF25" s="113">
        <f t="shared" si="12"/>
        <v>22</v>
      </c>
      <c r="AG25" s="115"/>
      <c r="AH25" s="86">
        <f t="shared" si="2"/>
        <v>480.267</v>
      </c>
      <c r="AI25" s="86">
        <f t="shared" si="6"/>
        <v>480.267</v>
      </c>
      <c r="AJ25" s="86" t="str">
        <f t="shared" si="3"/>
        <v>NAOI</v>
      </c>
      <c r="AK25" s="93">
        <f t="shared" si="15"/>
        <v>478.86500000000001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23</v>
      </c>
      <c r="B26" s="95">
        <f t="shared" si="1"/>
        <v>478.86500000000001</v>
      </c>
      <c r="C26" s="96" t="str">
        <f t="shared" si="5"/>
        <v>NAOD</v>
      </c>
      <c r="D26" s="190"/>
      <c r="E26" s="117">
        <v>1.7</v>
      </c>
      <c r="X26" s="107"/>
      <c r="Y26" s="108"/>
      <c r="Z26" s="109"/>
      <c r="AA26" s="110">
        <v>1.4019999999999999</v>
      </c>
      <c r="AB26" s="111"/>
      <c r="AC26" s="112" t="str">
        <f t="shared" si="11"/>
        <v/>
      </c>
      <c r="AD26" s="113">
        <f t="shared" si="13"/>
        <v>478.86500000000001</v>
      </c>
      <c r="AE26" s="114">
        <v>1</v>
      </c>
      <c r="AF26" s="113">
        <f t="shared" si="12"/>
        <v>23</v>
      </c>
      <c r="AG26" s="115" t="s">
        <v>10</v>
      </c>
      <c r="AH26" s="86">
        <f t="shared" si="2"/>
        <v>480.267</v>
      </c>
      <c r="AI26" s="86">
        <f t="shared" si="6"/>
        <v>480.267</v>
      </c>
      <c r="AJ26" s="86" t="str">
        <f t="shared" si="3"/>
        <v>NAOD</v>
      </c>
      <c r="AK26" s="93">
        <f t="shared" si="15"/>
        <v>478.86500000000001</v>
      </c>
      <c r="AL26" s="86" t="str">
        <f t="shared" si="7"/>
        <v/>
      </c>
      <c r="AM26" s="93" t="str">
        <f t="shared" si="8"/>
        <v/>
      </c>
      <c r="AN26" s="86">
        <f t="shared" si="9"/>
        <v>478.86500000000001</v>
      </c>
      <c r="AO26" s="86">
        <f t="shared" si="10"/>
        <v>23</v>
      </c>
      <c r="AP26" s="86">
        <f t="shared" si="14"/>
        <v>0</v>
      </c>
    </row>
    <row r="27" spans="1:42" ht="15.75" x14ac:dyDescent="0.25">
      <c r="A27" s="94">
        <f t="shared" si="0"/>
        <v>24.5</v>
      </c>
      <c r="B27" s="95">
        <f t="shared" si="1"/>
        <v>479.09300000000002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1.1739999999999999</v>
      </c>
      <c r="AB27" s="111"/>
      <c r="AC27" s="112" t="str">
        <f t="shared" si="11"/>
        <v/>
      </c>
      <c r="AD27" s="113">
        <f t="shared" si="13"/>
        <v>479.09300000000002</v>
      </c>
      <c r="AE27" s="114">
        <v>1.5</v>
      </c>
      <c r="AF27" s="113">
        <f t="shared" si="12"/>
        <v>24.5</v>
      </c>
      <c r="AG27" s="115"/>
      <c r="AH27" s="86">
        <f t="shared" si="2"/>
        <v>480.267</v>
      </c>
      <c r="AI27" s="86">
        <f t="shared" si="6"/>
        <v>480.267</v>
      </c>
      <c r="AJ27" s="86" t="str">
        <f t="shared" si="3"/>
        <v>NAOD</v>
      </c>
      <c r="AK27" s="93">
        <f t="shared" si="15"/>
        <v>479.09300000000002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26</v>
      </c>
      <c r="B28" s="95">
        <f t="shared" si="1"/>
        <v>479.46199999999999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0.80500000000000005</v>
      </c>
      <c r="AB28" s="111"/>
      <c r="AC28" s="112" t="str">
        <f t="shared" si="11"/>
        <v/>
      </c>
      <c r="AD28" s="113">
        <f t="shared" si="13"/>
        <v>479.46199999999999</v>
      </c>
      <c r="AE28" s="114">
        <v>1.5</v>
      </c>
      <c r="AF28" s="113">
        <f t="shared" si="12"/>
        <v>26</v>
      </c>
      <c r="AG28" s="115"/>
      <c r="AH28" s="86">
        <f t="shared" si="2"/>
        <v>480.267</v>
      </c>
      <c r="AI28" s="86">
        <f t="shared" si="6"/>
        <v>480.267</v>
      </c>
      <c r="AJ28" s="86" t="str">
        <f t="shared" si="3"/>
        <v>NAOD</v>
      </c>
      <c r="AK28" s="93">
        <f t="shared" si="15"/>
        <v>479.46199999999999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ref="A29" si="16">AF29</f>
        <v>27.7</v>
      </c>
      <c r="B29" s="95">
        <f t="shared" ref="B29" si="17">AD29</f>
        <v>480.23</v>
      </c>
      <c r="C29" s="96" t="str">
        <f t="shared" si="5"/>
        <v>PRD</v>
      </c>
      <c r="D29" s="190"/>
      <c r="E29" s="117">
        <v>1.2</v>
      </c>
      <c r="X29" s="107"/>
      <c r="Y29" s="108"/>
      <c r="Z29" s="109"/>
      <c r="AA29" s="110">
        <v>3.6999999999999998E-2</v>
      </c>
      <c r="AB29" s="111"/>
      <c r="AC29" s="112"/>
      <c r="AD29" s="113">
        <f t="shared" si="13"/>
        <v>480.23</v>
      </c>
      <c r="AE29" s="114">
        <v>1.7</v>
      </c>
      <c r="AF29" s="113">
        <f t="shared" si="12"/>
        <v>27.7</v>
      </c>
      <c r="AG29" s="115" t="s">
        <v>5</v>
      </c>
      <c r="AH29" s="86">
        <f t="shared" si="2"/>
        <v>480.267</v>
      </c>
      <c r="AI29" s="86">
        <f t="shared" si="6"/>
        <v>480.267</v>
      </c>
      <c r="AJ29" s="86" t="str">
        <f t="shared" si="3"/>
        <v>PRD</v>
      </c>
      <c r="AK29" s="93">
        <f t="shared" si="15"/>
        <v>480.23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/>
      <c r="B30" s="95"/>
      <c r="C30" s="96" t="str">
        <f t="shared" si="5"/>
        <v/>
      </c>
      <c r="D30" s="190"/>
      <c r="E30" s="117">
        <v>0.8</v>
      </c>
      <c r="X30" s="107"/>
      <c r="Y30" s="108"/>
      <c r="Z30" s="109"/>
      <c r="AA30" s="110"/>
      <c r="AB30" s="111"/>
      <c r="AC30" s="112"/>
      <c r="AD30" s="113"/>
      <c r="AE30" s="114"/>
      <c r="AF30" s="113"/>
      <c r="AG30" s="115"/>
      <c r="AH30" s="86">
        <f t="shared" si="2"/>
        <v>0</v>
      </c>
      <c r="AI30" s="86">
        <f t="shared" si="6"/>
        <v>0</v>
      </c>
      <c r="AJ30" s="86" t="str">
        <f t="shared" si="3"/>
        <v>PRD</v>
      </c>
      <c r="AK30" s="93">
        <f t="shared" si="15"/>
        <v>0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/>
      <c r="B31" s="95"/>
      <c r="C31" s="96" t="str">
        <f t="shared" si="5"/>
        <v/>
      </c>
      <c r="D31" s="190"/>
      <c r="E31" s="117">
        <v>0.55000000000000004</v>
      </c>
      <c r="X31" s="107"/>
      <c r="Y31" s="108"/>
      <c r="Z31" s="109"/>
      <c r="AA31" s="110"/>
      <c r="AB31" s="111"/>
      <c r="AC31" s="112"/>
      <c r="AD31" s="113"/>
      <c r="AE31" s="114"/>
      <c r="AF31" s="113"/>
      <c r="AG31" s="115"/>
      <c r="AH31" s="86">
        <f t="shared" si="2"/>
        <v>0</v>
      </c>
      <c r="AI31" s="86">
        <f t="shared" si="6"/>
        <v>0</v>
      </c>
      <c r="AJ31" s="86" t="str">
        <f t="shared" si="3"/>
        <v>PRD</v>
      </c>
      <c r="AK31" s="93">
        <f t="shared" si="15"/>
        <v>0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/>
      <c r="B32" s="95"/>
      <c r="C32" s="96" t="str">
        <f t="shared" si="5"/>
        <v/>
      </c>
      <c r="D32" s="190"/>
      <c r="E32" s="117">
        <v>0.35</v>
      </c>
      <c r="X32" s="107"/>
      <c r="Y32" s="108"/>
      <c r="Z32" s="109"/>
      <c r="AA32" s="110"/>
      <c r="AB32" s="111"/>
      <c r="AC32" s="112"/>
      <c r="AD32" s="113"/>
      <c r="AE32" s="114"/>
      <c r="AF32" s="113"/>
      <c r="AG32" s="115"/>
      <c r="AH32" s="86">
        <f t="shared" si="2"/>
        <v>0</v>
      </c>
      <c r="AI32" s="86">
        <f t="shared" si="6"/>
        <v>0</v>
      </c>
      <c r="AJ32" s="86" t="str">
        <f t="shared" si="3"/>
        <v>PRD</v>
      </c>
      <c r="AK32" s="93">
        <f t="shared" si="15"/>
        <v>0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/>
      <c r="B33" s="95"/>
      <c r="C33" s="96" t="str">
        <f t="shared" si="5"/>
        <v/>
      </c>
      <c r="D33" s="190"/>
      <c r="X33" s="107"/>
      <c r="Y33" s="108"/>
      <c r="Z33" s="109"/>
      <c r="AA33" s="110"/>
      <c r="AB33" s="111"/>
      <c r="AC33" s="112"/>
      <c r="AD33" s="113"/>
      <c r="AE33" s="114"/>
      <c r="AF33" s="113"/>
      <c r="AG33" s="115"/>
      <c r="AH33" s="86">
        <f t="shared" si="2"/>
        <v>0</v>
      </c>
      <c r="AI33" s="86">
        <f t="shared" si="6"/>
        <v>0</v>
      </c>
      <c r="AJ33" s="86" t="str">
        <f t="shared" si="3"/>
        <v>PRD</v>
      </c>
      <c r="AK33" s="93">
        <f t="shared" si="15"/>
        <v>0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5"/>
        <v/>
      </c>
      <c r="D34" s="190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2"/>
        <v>0</v>
      </c>
      <c r="AI34" s="86">
        <f t="shared" si="6"/>
        <v>0</v>
      </c>
      <c r="AJ34" s="86" t="str">
        <f t="shared" si="3"/>
        <v>PRD</v>
      </c>
      <c r="AK34" s="93">
        <f t="shared" si="15"/>
        <v>0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/>
      <c r="B35" s="95"/>
      <c r="C35" s="96" t="str">
        <f t="shared" si="5"/>
        <v/>
      </c>
      <c r="D35" s="190"/>
      <c r="X35" s="107"/>
      <c r="Y35" s="108"/>
      <c r="Z35" s="109"/>
      <c r="AA35" s="110"/>
      <c r="AB35" s="111"/>
      <c r="AC35" s="112"/>
      <c r="AD35" s="113"/>
      <c r="AE35" s="114"/>
      <c r="AF35" s="113"/>
      <c r="AG35" s="115"/>
      <c r="AH35" s="86">
        <f t="shared" si="2"/>
        <v>0</v>
      </c>
      <c r="AI35" s="86">
        <f t="shared" si="6"/>
        <v>0</v>
      </c>
      <c r="AJ35" s="86" t="str">
        <f t="shared" si="3"/>
        <v>PRD</v>
      </c>
      <c r="AK35" s="93">
        <f t="shared" si="15"/>
        <v>0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/>
      <c r="B36" s="95"/>
      <c r="C36" s="96" t="str">
        <f t="shared" si="5"/>
        <v/>
      </c>
      <c r="D36" s="190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6"/>
        <v>0</v>
      </c>
      <c r="AJ36" s="86" t="str">
        <f t="shared" si="3"/>
        <v>PRD</v>
      </c>
      <c r="AK36" s="93">
        <f t="shared" si="15"/>
        <v>0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/>
      <c r="B37" s="95"/>
      <c r="C37" s="96" t="str">
        <f t="shared" si="5"/>
        <v/>
      </c>
      <c r="D37" s="190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>PRD</v>
      </c>
      <c r="AK37" s="93">
        <f t="shared" si="15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/>
      <c r="B38" s="95"/>
      <c r="C38" s="96" t="str">
        <f t="shared" si="5"/>
        <v/>
      </c>
      <c r="D38" s="190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>PRD</v>
      </c>
      <c r="AK38" s="93">
        <f t="shared" si="15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5"/>
        <v/>
      </c>
      <c r="D39" s="190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6"/>
        <v>0</v>
      </c>
      <c r="AJ39" s="86" t="str">
        <f t="shared" si="3"/>
        <v>PRD</v>
      </c>
      <c r="AK39" s="93">
        <f t="shared" si="15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/>
      </c>
      <c r="D40" s="190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>PRD</v>
      </c>
      <c r="AK40" s="93">
        <f t="shared" si="15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>PRD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>PRD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90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>PRD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90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>PRD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>PRD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>PRD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8">IF(AG47="","",AG47)</f>
        <v/>
      </c>
      <c r="D47" s="190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>PRD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8"/>
        <v/>
      </c>
      <c r="D48" s="190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>PRD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9">IF(AJ47="S/BM",1,0)</f>
        <v>0</v>
      </c>
    </row>
    <row r="49" spans="1:42" ht="15.75" x14ac:dyDescent="0.25">
      <c r="A49" s="94"/>
      <c r="B49" s="95"/>
      <c r="C49" s="96" t="str">
        <f t="shared" si="18"/>
        <v/>
      </c>
      <c r="D49" s="190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>PRD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9"/>
        <v>0</v>
      </c>
    </row>
    <row r="50" spans="1:42" ht="15.75" x14ac:dyDescent="0.25">
      <c r="A50" s="94"/>
      <c r="B50" s="95"/>
      <c r="C50" s="96" t="str">
        <f t="shared" si="18"/>
        <v/>
      </c>
      <c r="D50" s="190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>PRD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9"/>
        <v>0</v>
      </c>
    </row>
    <row r="51" spans="1:42" ht="16.5" thickBot="1" x14ac:dyDescent="0.3">
      <c r="A51" s="122"/>
      <c r="B51" s="123"/>
      <c r="C51" s="96" t="str">
        <f t="shared" si="18"/>
        <v/>
      </c>
      <c r="D51" s="190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>PRD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9"/>
        <v>0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14.5</v>
      </c>
      <c r="B53" s="136">
        <f>AL4</f>
        <v>478.86500000000001</v>
      </c>
      <c r="C53" s="137" t="s">
        <v>9</v>
      </c>
      <c r="D53" s="178" t="s">
        <v>6</v>
      </c>
    </row>
    <row r="54" spans="1:42" ht="20.100000000000001" customHeight="1" x14ac:dyDescent="0.2">
      <c r="A54" s="138">
        <f>AO4</f>
        <v>23</v>
      </c>
      <c r="B54" s="136">
        <f>AN4</f>
        <v>478.86500000000001</v>
      </c>
      <c r="C54" s="139" t="s">
        <v>10</v>
      </c>
      <c r="D54" s="178"/>
    </row>
    <row r="55" spans="1:42" ht="20.100000000000001" customHeight="1" x14ac:dyDescent="0.2">
      <c r="A55" s="140">
        <v>22</v>
      </c>
      <c r="B55" s="141">
        <v>478.34699999999998</v>
      </c>
      <c r="C55" s="142" t="s">
        <v>8</v>
      </c>
      <c r="D55" s="178"/>
    </row>
    <row r="56" spans="1:42" ht="20.100000000000001" customHeight="1" x14ac:dyDescent="0.2">
      <c r="A56" s="140">
        <v>22</v>
      </c>
      <c r="B56" s="143">
        <f>B55+2</f>
        <v>480.34699999999998</v>
      </c>
      <c r="C56" s="142" t="s">
        <v>8</v>
      </c>
      <c r="D56" s="178"/>
    </row>
    <row r="57" spans="1:42" ht="20.100000000000001" customHeight="1" x14ac:dyDescent="0.2">
      <c r="A57" s="144">
        <v>24</v>
      </c>
      <c r="B57" s="143">
        <v>479.33600000000001</v>
      </c>
      <c r="C57" s="145" t="s">
        <v>2</v>
      </c>
      <c r="D57" s="178"/>
    </row>
    <row r="58" spans="1:42" ht="20.100000000000001" customHeight="1" thickBot="1" x14ac:dyDescent="0.25">
      <c r="A58" s="140">
        <v>24</v>
      </c>
      <c r="B58" s="143">
        <f>B57+1.5</f>
        <v>480.83600000000001</v>
      </c>
      <c r="C58" s="146" t="s">
        <v>2</v>
      </c>
      <c r="D58" s="178"/>
    </row>
    <row r="59" spans="1:42" ht="13.5" thickBot="1" x14ac:dyDescent="0.25">
      <c r="A59" s="147">
        <v>0</v>
      </c>
      <c r="B59" s="148">
        <f>AD32</f>
        <v>0</v>
      </c>
      <c r="C59" s="149" t="s">
        <v>7</v>
      </c>
      <c r="D59" s="150"/>
    </row>
    <row r="60" spans="1:42" ht="13.5" thickBot="1" x14ac:dyDescent="0.25">
      <c r="A60" s="151">
        <f>AF32</f>
        <v>0</v>
      </c>
      <c r="B60" s="148">
        <f>AD32</f>
        <v>0</v>
      </c>
      <c r="C60" s="149" t="s">
        <v>7</v>
      </c>
      <c r="D60" s="150"/>
    </row>
    <row r="61" spans="1:42" ht="18" x14ac:dyDescent="0.25">
      <c r="A61" s="152" t="s">
        <v>83</v>
      </c>
      <c r="B61" s="153"/>
      <c r="C61" s="164"/>
      <c r="D61" s="150"/>
    </row>
    <row r="62" spans="1:42" ht="18" x14ac:dyDescent="0.25">
      <c r="A62" s="152" t="s">
        <v>50</v>
      </c>
      <c r="B62" s="153"/>
      <c r="C62" s="155">
        <f>B55</f>
        <v>478.34699999999998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70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80</v>
      </c>
      <c r="C69" s="175"/>
    </row>
    <row r="70" spans="1:4" ht="14.25" x14ac:dyDescent="0.2">
      <c r="A70" s="158" t="s">
        <v>57</v>
      </c>
      <c r="B70" s="175" t="s">
        <v>81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43894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147" priority="81" stopIfTrue="1">
      <formula>$AP$47=1</formula>
    </cfRule>
  </conditionalFormatting>
  <conditionalFormatting sqref="AC46:AF46">
    <cfRule type="expression" dxfId="146" priority="80" stopIfTrue="1">
      <formula>$AP$46</formula>
    </cfRule>
  </conditionalFormatting>
  <conditionalFormatting sqref="AC50:AF50">
    <cfRule type="expression" dxfId="145" priority="79" stopIfTrue="1">
      <formula>$AP$50=1</formula>
    </cfRule>
  </conditionalFormatting>
  <conditionalFormatting sqref="AC51:AF51">
    <cfRule type="expression" dxfId="144" priority="78" stopIfTrue="1">
      <formula>$AP$51=1</formula>
    </cfRule>
  </conditionalFormatting>
  <conditionalFormatting sqref="AC49:AF49">
    <cfRule type="expression" dxfId="143" priority="77" stopIfTrue="1">
      <formula>$AP$49=1</formula>
    </cfRule>
  </conditionalFormatting>
  <conditionalFormatting sqref="AC48:AF48">
    <cfRule type="expression" dxfId="142" priority="76" stopIfTrue="1">
      <formula>$AP$48=1</formula>
    </cfRule>
  </conditionalFormatting>
  <conditionalFormatting sqref="AC45:AF45">
    <cfRule type="expression" dxfId="141" priority="75" stopIfTrue="1">
      <formula>$AP$45=1</formula>
    </cfRule>
  </conditionalFormatting>
  <conditionalFormatting sqref="AC44:AF44">
    <cfRule type="expression" dxfId="140" priority="74" stopIfTrue="1">
      <formula>$AP$44=1</formula>
    </cfRule>
  </conditionalFormatting>
  <conditionalFormatting sqref="AC43:AF43">
    <cfRule type="expression" dxfId="139" priority="73" stopIfTrue="1">
      <formula>$AP$43=1</formula>
    </cfRule>
  </conditionalFormatting>
  <conditionalFormatting sqref="AC42:AF42">
    <cfRule type="expression" dxfId="138" priority="72" stopIfTrue="1">
      <formula>$AP$42=1</formula>
    </cfRule>
  </conditionalFormatting>
  <conditionalFormatting sqref="AC41:AF41">
    <cfRule type="expression" dxfId="137" priority="71" stopIfTrue="1">
      <formula>$AP$41=1</formula>
    </cfRule>
  </conditionalFormatting>
  <conditionalFormatting sqref="AC40:AF40">
    <cfRule type="expression" dxfId="136" priority="70" stopIfTrue="1">
      <formula>$AP$40=1</formula>
    </cfRule>
  </conditionalFormatting>
  <conditionalFormatting sqref="AC39:AF39">
    <cfRule type="expression" dxfId="135" priority="69" stopIfTrue="1">
      <formula>$AP$39=1</formula>
    </cfRule>
  </conditionalFormatting>
  <conditionalFormatting sqref="AC38:AF38">
    <cfRule type="expression" dxfId="134" priority="68" stopIfTrue="1">
      <formula>$AP$38=1</formula>
    </cfRule>
  </conditionalFormatting>
  <conditionalFormatting sqref="AC37:AF37">
    <cfRule type="expression" dxfId="133" priority="67" stopIfTrue="1">
      <formula>$AP$37=1</formula>
    </cfRule>
  </conditionalFormatting>
  <conditionalFormatting sqref="AC36:AF36">
    <cfRule type="expression" dxfId="132" priority="66" stopIfTrue="1">
      <formula>$AP$36=1</formula>
    </cfRule>
  </conditionalFormatting>
  <conditionalFormatting sqref="AC35:AF35">
    <cfRule type="expression" dxfId="131" priority="64" stopIfTrue="1">
      <formula>$AP$35=1</formula>
    </cfRule>
    <cfRule type="expression" dxfId="130" priority="65" stopIfTrue="1">
      <formula>$AP$35=1</formula>
    </cfRule>
  </conditionalFormatting>
  <conditionalFormatting sqref="AC34 AE34">
    <cfRule type="expression" dxfId="129" priority="63" stopIfTrue="1">
      <formula>$AP$34=1</formula>
    </cfRule>
  </conditionalFormatting>
  <conditionalFormatting sqref="AC33 AE33">
    <cfRule type="expression" dxfId="128" priority="62" stopIfTrue="1">
      <formula>$AP$33=1</formula>
    </cfRule>
  </conditionalFormatting>
  <conditionalFormatting sqref="AC32 AE32">
    <cfRule type="expression" dxfId="127" priority="61" stopIfTrue="1">
      <formula>$AP$32=1</formula>
    </cfRule>
  </conditionalFormatting>
  <conditionalFormatting sqref="AC31 AD34 AF32:AF34 AE31:AF31">
    <cfRule type="expression" dxfId="126" priority="60" stopIfTrue="1">
      <formula>$AP$31=1</formula>
    </cfRule>
  </conditionalFormatting>
  <conditionalFormatting sqref="AC30:AF30 AD31:AD33">
    <cfRule type="expression" dxfId="125" priority="59" stopIfTrue="1">
      <formula>$AP$30</formula>
    </cfRule>
  </conditionalFormatting>
  <conditionalFormatting sqref="AC29">
    <cfRule type="expression" dxfId="124" priority="58" stopIfTrue="1">
      <formula>$AP$29=1</formula>
    </cfRule>
  </conditionalFormatting>
  <conditionalFormatting sqref="AC28:AD28 AF28:AF29">
    <cfRule type="expression" dxfId="123" priority="57" stopIfTrue="1">
      <formula>$AP$28=1</formula>
    </cfRule>
  </conditionalFormatting>
  <conditionalFormatting sqref="AC27:AD27 AF27">
    <cfRule type="expression" dxfId="122" priority="56" stopIfTrue="1">
      <formula>$AP$27=1</formula>
    </cfRule>
  </conditionalFormatting>
  <conditionalFormatting sqref="AC26:AD26 AF26 AD29">
    <cfRule type="expression" dxfId="121" priority="55" stopIfTrue="1">
      <formula>$AP$26=1</formula>
    </cfRule>
  </conditionalFormatting>
  <conditionalFormatting sqref="AC25:AD25 AF25">
    <cfRule type="expression" dxfId="120" priority="54" stopIfTrue="1">
      <formula>$AP$25=1</formula>
    </cfRule>
  </conditionalFormatting>
  <conditionalFormatting sqref="AC24:AD24 AF24">
    <cfRule type="expression" dxfId="119" priority="53" stopIfTrue="1">
      <formula>$AP$24=1</formula>
    </cfRule>
  </conditionalFormatting>
  <conditionalFormatting sqref="AC23:AD23 AF23">
    <cfRule type="expression" dxfId="118" priority="52" stopIfTrue="1">
      <formula>$AP$23=1</formula>
    </cfRule>
  </conditionalFormatting>
  <conditionalFormatting sqref="AC22:AD22 AF22">
    <cfRule type="expression" dxfId="117" priority="51" stopIfTrue="1">
      <formula>$AP$22=1</formula>
    </cfRule>
  </conditionalFormatting>
  <conditionalFormatting sqref="AC21:AD21 AF21">
    <cfRule type="expression" dxfId="116" priority="50" stopIfTrue="1">
      <formula>$AP$21=1</formula>
    </cfRule>
  </conditionalFormatting>
  <conditionalFormatting sqref="AC20:AD20 AF20">
    <cfRule type="expression" dxfId="115" priority="49" stopIfTrue="1">
      <formula>$AP$20=1</formula>
    </cfRule>
  </conditionalFormatting>
  <conditionalFormatting sqref="AC19:AD19 AF19">
    <cfRule type="expression" dxfId="114" priority="48" stopIfTrue="1">
      <formula>$AP$19=1</formula>
    </cfRule>
  </conditionalFormatting>
  <conditionalFormatting sqref="AC18:AD18 AF18">
    <cfRule type="expression" dxfId="113" priority="47" stopIfTrue="1">
      <formula>$AP$18=1</formula>
    </cfRule>
  </conditionalFormatting>
  <conditionalFormatting sqref="AC17:AD17 AF17">
    <cfRule type="expression" dxfId="112" priority="46" stopIfTrue="1">
      <formula>$AP$17=1</formula>
    </cfRule>
  </conditionalFormatting>
  <conditionalFormatting sqref="AC16:AD16 AF16">
    <cfRule type="expression" dxfId="111" priority="45" stopIfTrue="1">
      <formula>$AP$16=1</formula>
    </cfRule>
  </conditionalFormatting>
  <conditionalFormatting sqref="AC15:AD15 AF15">
    <cfRule type="expression" dxfId="110" priority="44" stopIfTrue="1">
      <formula>$AP$15=1</formula>
    </cfRule>
  </conditionalFormatting>
  <conditionalFormatting sqref="AC14:AD14 AF14">
    <cfRule type="expression" dxfId="109" priority="43" stopIfTrue="1">
      <formula>$AP$14=1</formula>
    </cfRule>
  </conditionalFormatting>
  <conditionalFormatting sqref="AC13:AD13 AF13">
    <cfRule type="expression" dxfId="108" priority="42" stopIfTrue="1">
      <formula>$AP$13=1</formula>
    </cfRule>
  </conditionalFormatting>
  <conditionalFormatting sqref="AC12:AD12 AF12">
    <cfRule type="expression" dxfId="107" priority="41" stopIfTrue="1">
      <formula>$AP$12=1</formula>
    </cfRule>
  </conditionalFormatting>
  <conditionalFormatting sqref="AC11:AF11 AE12:AE29">
    <cfRule type="expression" dxfId="106" priority="40" stopIfTrue="1">
      <formula>$AP$11=1</formula>
    </cfRule>
  </conditionalFormatting>
  <conditionalFormatting sqref="A51:B51">
    <cfRule type="expression" dxfId="105" priority="39" stopIfTrue="1">
      <formula>$AP$51=1</formula>
    </cfRule>
  </conditionalFormatting>
  <conditionalFormatting sqref="A50:B50">
    <cfRule type="expression" dxfId="104" priority="38" stopIfTrue="1">
      <formula>$AP$50=1</formula>
    </cfRule>
  </conditionalFormatting>
  <conditionalFormatting sqref="A49:B49">
    <cfRule type="expression" dxfId="103" priority="37" stopIfTrue="1">
      <formula>$AP$49=1</formula>
    </cfRule>
  </conditionalFormatting>
  <conditionalFormatting sqref="A48:B48">
    <cfRule type="expression" dxfId="102" priority="36" stopIfTrue="1">
      <formula>$AP$48=1</formula>
    </cfRule>
  </conditionalFormatting>
  <conditionalFormatting sqref="A47:B47">
    <cfRule type="expression" dxfId="101" priority="35" stopIfTrue="1">
      <formula>$AP$47=1</formula>
    </cfRule>
  </conditionalFormatting>
  <conditionalFormatting sqref="A46:B46">
    <cfRule type="expression" dxfId="100" priority="34" stopIfTrue="1">
      <formula>$AP$46=1</formula>
    </cfRule>
  </conditionalFormatting>
  <conditionalFormatting sqref="A45:B45">
    <cfRule type="expression" dxfId="99" priority="33" stopIfTrue="1">
      <formula>$AP$45=1</formula>
    </cfRule>
  </conditionalFormatting>
  <conditionalFormatting sqref="A44:B44">
    <cfRule type="expression" dxfId="98" priority="32" stopIfTrue="1">
      <formula>$AP$44=1</formula>
    </cfRule>
  </conditionalFormatting>
  <conditionalFormatting sqref="A43:B43">
    <cfRule type="expression" dxfId="97" priority="31" stopIfTrue="1">
      <formula>$AP$43=1</formula>
    </cfRule>
  </conditionalFormatting>
  <conditionalFormatting sqref="A42:B42">
    <cfRule type="expression" dxfId="96" priority="30" stopIfTrue="1">
      <formula>$AP$42=1</formula>
    </cfRule>
  </conditionalFormatting>
  <conditionalFormatting sqref="A41:B41">
    <cfRule type="expression" dxfId="95" priority="29" stopIfTrue="1">
      <formula>$AP$41=1</formula>
    </cfRule>
  </conditionalFormatting>
  <conditionalFormatting sqref="A40:B40">
    <cfRule type="expression" dxfId="94" priority="28" stopIfTrue="1">
      <formula>$AP$40=1</formula>
    </cfRule>
  </conditionalFormatting>
  <conditionalFormatting sqref="A39:B39">
    <cfRule type="expression" dxfId="93" priority="27" stopIfTrue="1">
      <formula>$AP$39=1</formula>
    </cfRule>
  </conditionalFormatting>
  <conditionalFormatting sqref="A38:B38">
    <cfRule type="expression" dxfId="92" priority="26" stopIfTrue="1">
      <formula>$AP$38=1</formula>
    </cfRule>
  </conditionalFormatting>
  <conditionalFormatting sqref="A37:B37">
    <cfRule type="expression" dxfId="91" priority="25" stopIfTrue="1">
      <formula>$AP$37=1</formula>
    </cfRule>
  </conditionalFormatting>
  <conditionalFormatting sqref="A36:B36">
    <cfRule type="expression" dxfId="90" priority="24" stopIfTrue="1">
      <formula>$AP$36=1</formula>
    </cfRule>
  </conditionalFormatting>
  <conditionalFormatting sqref="A31:B31">
    <cfRule type="expression" dxfId="89" priority="23" stopIfTrue="1">
      <formula>$AP$31=1</formula>
    </cfRule>
  </conditionalFormatting>
  <conditionalFormatting sqref="A30:B30">
    <cfRule type="expression" dxfId="88" priority="22" stopIfTrue="1">
      <formula>$AP$30=1</formula>
    </cfRule>
  </conditionalFormatting>
  <conditionalFormatting sqref="A28:B28">
    <cfRule type="expression" dxfId="87" priority="20" stopIfTrue="1">
      <formula>$AP$28=1</formula>
    </cfRule>
  </conditionalFormatting>
  <conditionalFormatting sqref="A27:B27 A29:B29">
    <cfRule type="expression" dxfId="86" priority="19" stopIfTrue="1">
      <formula>$AP$27=1</formula>
    </cfRule>
  </conditionalFormatting>
  <conditionalFormatting sqref="A26:B26">
    <cfRule type="expression" dxfId="85" priority="18" stopIfTrue="1">
      <formula>$AP$26=1</formula>
    </cfRule>
  </conditionalFormatting>
  <conditionalFormatting sqref="A25:B25">
    <cfRule type="expression" dxfId="84" priority="17" stopIfTrue="1">
      <formula>$AP$25=1</formula>
    </cfRule>
  </conditionalFormatting>
  <conditionalFormatting sqref="A24:B24">
    <cfRule type="expression" dxfId="83" priority="16" stopIfTrue="1">
      <formula>$AP$24=1</formula>
    </cfRule>
  </conditionalFormatting>
  <conditionalFormatting sqref="A23:B23">
    <cfRule type="expression" dxfId="82" priority="15" stopIfTrue="1">
      <formula>$AP$23=1</formula>
    </cfRule>
  </conditionalFormatting>
  <conditionalFormatting sqref="A22:B22">
    <cfRule type="expression" dxfId="81" priority="14" stopIfTrue="1">
      <formula>$AP$22=1</formula>
    </cfRule>
  </conditionalFormatting>
  <conditionalFormatting sqref="A21:B21">
    <cfRule type="expression" dxfId="80" priority="13" stopIfTrue="1">
      <formula>$AP$21=1</formula>
    </cfRule>
  </conditionalFormatting>
  <conditionalFormatting sqref="A20:B20">
    <cfRule type="expression" dxfId="79" priority="12" stopIfTrue="1">
      <formula>$AP$20=1</formula>
    </cfRule>
  </conditionalFormatting>
  <conditionalFormatting sqref="A19:B19">
    <cfRule type="expression" dxfId="78" priority="11" stopIfTrue="1">
      <formula>$AP$19=1</formula>
    </cfRule>
  </conditionalFormatting>
  <conditionalFormatting sqref="A18:B18">
    <cfRule type="expression" dxfId="77" priority="10" stopIfTrue="1">
      <formula>$AP$18=1</formula>
    </cfRule>
  </conditionalFormatting>
  <conditionalFormatting sqref="A17:B17">
    <cfRule type="expression" dxfId="76" priority="9" stopIfTrue="1">
      <formula>$AP$17=1</formula>
    </cfRule>
  </conditionalFormatting>
  <conditionalFormatting sqref="A16:B16">
    <cfRule type="expression" dxfId="75" priority="8" stopIfTrue="1">
      <formula>$AP$16=1</formula>
    </cfRule>
  </conditionalFormatting>
  <conditionalFormatting sqref="A15:B15">
    <cfRule type="expression" dxfId="74" priority="7" stopIfTrue="1">
      <formula>$AP$15=1</formula>
    </cfRule>
  </conditionalFormatting>
  <conditionalFormatting sqref="A14:B14">
    <cfRule type="expression" dxfId="73" priority="6" stopIfTrue="1">
      <formula>$AP$14=1</formula>
    </cfRule>
  </conditionalFormatting>
  <conditionalFormatting sqref="A13:B13">
    <cfRule type="expression" dxfId="72" priority="5" stopIfTrue="1">
      <formula>$AP$13=1</formula>
    </cfRule>
  </conditionalFormatting>
  <conditionalFormatting sqref="A12:B12">
    <cfRule type="expression" dxfId="71" priority="4" stopIfTrue="1">
      <formula>$AP$12=1</formula>
    </cfRule>
  </conditionalFormatting>
  <conditionalFormatting sqref="A11:B11">
    <cfRule type="expression" dxfId="70" priority="3" stopIfTrue="1">
      <formula>$AP$11=1</formula>
    </cfRule>
  </conditionalFormatting>
  <conditionalFormatting sqref="A10:B10">
    <cfRule type="expression" dxfId="69" priority="2" stopIfTrue="1">
      <formula>$AP$10=1</formula>
    </cfRule>
  </conditionalFormatting>
  <conditionalFormatting sqref="A32:B35">
    <cfRule type="expression" dxfId="68" priority="1" stopIfTrue="1">
      <formula>$AP$31=1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AP75"/>
  <sheetViews>
    <sheetView tabSelected="1" topLeftCell="A25" zoomScale="70" zoomScaleNormal="70" workbookViewId="0">
      <selection activeCell="Y57" sqref="Y57"/>
    </sheetView>
  </sheetViews>
  <sheetFormatPr baseColWidth="10" defaultColWidth="11.42578125" defaultRowHeight="12.75" x14ac:dyDescent="0.2"/>
  <cols>
    <col min="1" max="1" width="9.7109375" style="84" customWidth="1"/>
    <col min="2" max="2" width="12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80" t="s">
        <v>64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X1" s="181" t="s">
        <v>33</v>
      </c>
      <c r="Y1" s="182"/>
      <c r="Z1" s="182"/>
      <c r="AA1" s="182"/>
      <c r="AB1" s="182"/>
      <c r="AC1" s="182"/>
      <c r="AD1" s="182"/>
      <c r="AE1" s="182"/>
      <c r="AF1" s="182"/>
      <c r="AG1" s="183"/>
    </row>
    <row r="2" spans="1:42" x14ac:dyDescent="0.2">
      <c r="A2" s="184" t="s">
        <v>0</v>
      </c>
      <c r="B2" s="186" t="s">
        <v>1</v>
      </c>
      <c r="C2" s="188" t="s">
        <v>3</v>
      </c>
      <c r="D2" s="198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97" t="s">
        <v>85</v>
      </c>
      <c r="Y2" s="192"/>
      <c r="Z2" s="192"/>
      <c r="AA2" s="192"/>
      <c r="AB2" s="192"/>
      <c r="AC2" s="192"/>
      <c r="AD2" s="192"/>
      <c r="AE2" s="192"/>
      <c r="AF2" s="192"/>
      <c r="AG2" s="193"/>
    </row>
    <row r="3" spans="1:42" ht="13.5" thickBot="1" x14ac:dyDescent="0.25">
      <c r="A3" s="185"/>
      <c r="B3" s="187"/>
      <c r="C3" s="189"/>
      <c r="D3" s="190"/>
      <c r="X3" s="194" t="s">
        <v>35</v>
      </c>
      <c r="Y3" s="195"/>
      <c r="Z3" s="195"/>
      <c r="AA3" s="195"/>
      <c r="AB3" s="195"/>
      <c r="AC3" s="195"/>
      <c r="AD3" s="195"/>
      <c r="AE3" s="195"/>
      <c r="AF3" s="195"/>
      <c r="AG3" s="196"/>
      <c r="AH3" s="86"/>
      <c r="AI3" s="86"/>
      <c r="AJ3" s="86"/>
      <c r="AK3" s="86"/>
      <c r="AL3" s="177" t="s">
        <v>9</v>
      </c>
      <c r="AM3" s="177"/>
      <c r="AN3" s="177" t="s">
        <v>10</v>
      </c>
      <c r="AO3" s="177"/>
      <c r="AP3" s="86" t="s">
        <v>36</v>
      </c>
    </row>
    <row r="4" spans="1:42" ht="39.75" thickTop="1" thickBot="1" x14ac:dyDescent="0.25">
      <c r="A4" s="185"/>
      <c r="B4" s="187"/>
      <c r="C4" s="189"/>
      <c r="D4" s="190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480.02</v>
      </c>
      <c r="AI4" s="92">
        <f>AH4</f>
        <v>480.02</v>
      </c>
      <c r="AJ4" s="86"/>
      <c r="AK4" s="86"/>
      <c r="AL4" s="93">
        <f>SUM(AL5:AL46)</f>
        <v>478.90099999999995</v>
      </c>
      <c r="AM4" s="93">
        <f>SUM(AM5:AM46)</f>
        <v>3.2</v>
      </c>
      <c r="AN4" s="93">
        <f>SUM(AN5:AN46)</f>
        <v>478.89899999999994</v>
      </c>
      <c r="AO4" s="93">
        <f>SUM(AO5:AO46)</f>
        <v>13</v>
      </c>
      <c r="AP4" s="86"/>
    </row>
    <row r="5" spans="1:42" ht="15.75" x14ac:dyDescent="0.25">
      <c r="A5" s="94">
        <f t="shared" ref="A5:A29" si="0">AF5</f>
        <v>0</v>
      </c>
      <c r="B5" s="95">
        <f t="shared" ref="B5:B29" si="1">AD5</f>
        <v>480.02</v>
      </c>
      <c r="C5" s="96" t="str">
        <f>IF(AG5="","",AG5)</f>
        <v>S/BM</v>
      </c>
      <c r="D5" s="190"/>
      <c r="X5" s="97" t="s">
        <v>17</v>
      </c>
      <c r="Y5" s="98"/>
      <c r="Z5" s="99">
        <v>0.628</v>
      </c>
      <c r="AA5" s="100"/>
      <c r="AB5" s="101"/>
      <c r="AC5" s="102">
        <f>IF(AA5="",AD5+Z5,"")</f>
        <v>480.64799999999997</v>
      </c>
      <c r="AD5" s="103">
        <v>480.02</v>
      </c>
      <c r="AE5" s="104">
        <v>0</v>
      </c>
      <c r="AF5" s="105"/>
      <c r="AG5" s="166" t="s">
        <v>19</v>
      </c>
      <c r="AH5" s="86">
        <f t="shared" ref="AH5:AH46" si="2">IF(AND(AJ5="NAOI",AJ5=AJ6),AK5,AI5)</f>
        <v>480.64799999999997</v>
      </c>
      <c r="AI5" s="86">
        <f>IF(AA5="",AC5,AI4)</f>
        <v>480.64799999999997</v>
      </c>
      <c r="AJ5" s="86" t="str">
        <f t="shared" ref="AJ5:AJ51" si="3">IF(AG5="",AJ4,AG5)</f>
        <v>S/BM</v>
      </c>
      <c r="AK5" s="93">
        <f t="shared" ref="AK5:AK13" si="4">IF(AND(AJ5="NAOI",AJ4="NAOI"),AK4,AD5)</f>
        <v>480.02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480.56399999999996</v>
      </c>
      <c r="C6" s="96" t="str">
        <f t="shared" ref="C6:C44" si="5">IF(AG6="","",AG6)</f>
        <v>PRI</v>
      </c>
      <c r="D6" s="190"/>
      <c r="X6" s="107"/>
      <c r="Y6" s="108"/>
      <c r="Z6" s="109"/>
      <c r="AA6" s="110">
        <v>8.4000000000000005E-2</v>
      </c>
      <c r="AB6" s="111"/>
      <c r="AC6" s="112" t="str">
        <f t="shared" ref="AC6:AC28" si="6">IF(AA6="",AD6+Z6,"")</f>
        <v/>
      </c>
      <c r="AD6" s="113">
        <f>IF(AA6="",AH5-AB6,AH5-AA6)</f>
        <v>480.56399999999996</v>
      </c>
      <c r="AE6" s="114">
        <v>0</v>
      </c>
      <c r="AF6" s="113">
        <f>AE6</f>
        <v>0</v>
      </c>
      <c r="AG6" s="115" t="s">
        <v>4</v>
      </c>
      <c r="AH6" s="86">
        <f t="shared" si="2"/>
        <v>480.64799999999997</v>
      </c>
      <c r="AI6" s="86">
        <f t="shared" ref="AI6:AI46" si="7">IF(AA6="",AC6,AI5)</f>
        <v>480.64799999999997</v>
      </c>
      <c r="AJ6" s="86" t="str">
        <f t="shared" si="3"/>
        <v>PRI</v>
      </c>
      <c r="AK6" s="93">
        <f t="shared" si="4"/>
        <v>480.56399999999996</v>
      </c>
      <c r="AL6" s="86" t="str">
        <f t="shared" ref="AL6:AL51" si="8">IF(AG6="NAOI",AD6,"")</f>
        <v/>
      </c>
      <c r="AM6" s="93" t="str">
        <f t="shared" ref="AM6:AM51" si="9">IF(AG6="NAOI",AF6,"")</f>
        <v/>
      </c>
      <c r="AN6" s="86" t="str">
        <f t="shared" ref="AN6:AN51" si="10">IF(AG6="NAOD",AD6,"")</f>
        <v/>
      </c>
      <c r="AO6" s="86" t="str">
        <f t="shared" ref="AO6:AO51" si="11">IF(AG6="NAOD",AF6,"")</f>
        <v/>
      </c>
      <c r="AP6" s="86"/>
    </row>
    <row r="7" spans="1:42" ht="15.75" x14ac:dyDescent="0.25">
      <c r="A7" s="94">
        <f t="shared" si="0"/>
        <v>1</v>
      </c>
      <c r="B7" s="95">
        <f t="shared" si="1"/>
        <v>478.78499999999997</v>
      </c>
      <c r="C7" s="96" t="str">
        <f t="shared" si="5"/>
        <v/>
      </c>
      <c r="D7" s="190"/>
      <c r="X7" s="107"/>
      <c r="Y7" s="108"/>
      <c r="Z7" s="109"/>
      <c r="AA7" s="110">
        <v>1.863</v>
      </c>
      <c r="AB7" s="111"/>
      <c r="AC7" s="112" t="str">
        <f t="shared" si="6"/>
        <v/>
      </c>
      <c r="AD7" s="113">
        <f>IF(AA7="",AH6-AB7,AH6-AA7)</f>
        <v>478.78499999999997</v>
      </c>
      <c r="AE7" s="114">
        <v>1</v>
      </c>
      <c r="AF7" s="113">
        <f t="shared" ref="AF7:AF31" si="12">+AF6+AE7</f>
        <v>1</v>
      </c>
      <c r="AG7" s="116"/>
      <c r="AH7" s="86">
        <f t="shared" si="2"/>
        <v>480.64799999999997</v>
      </c>
      <c r="AI7" s="86">
        <f t="shared" si="7"/>
        <v>480.64799999999997</v>
      </c>
      <c r="AJ7" s="86" t="str">
        <f t="shared" si="3"/>
        <v>PRI</v>
      </c>
      <c r="AK7" s="93">
        <f t="shared" si="4"/>
        <v>478.78499999999997</v>
      </c>
      <c r="AL7" s="86" t="str">
        <f t="shared" si="8"/>
        <v/>
      </c>
      <c r="AM7" s="93" t="str">
        <f t="shared" si="9"/>
        <v/>
      </c>
      <c r="AN7" s="86" t="str">
        <f t="shared" si="10"/>
        <v/>
      </c>
      <c r="AO7" s="86" t="str">
        <f t="shared" si="11"/>
        <v/>
      </c>
      <c r="AP7" s="86"/>
    </row>
    <row r="8" spans="1:42" ht="15.75" x14ac:dyDescent="0.25">
      <c r="A8" s="94">
        <f t="shared" si="0"/>
        <v>2</v>
      </c>
      <c r="B8" s="95">
        <f t="shared" si="1"/>
        <v>479.30599999999998</v>
      </c>
      <c r="C8" s="96" t="str">
        <f t="shared" si="5"/>
        <v/>
      </c>
      <c r="D8" s="190"/>
      <c r="X8" s="107"/>
      <c r="Y8" s="108"/>
      <c r="Z8" s="109"/>
      <c r="AA8" s="110">
        <v>1.3420000000000001</v>
      </c>
      <c r="AB8" s="111"/>
      <c r="AC8" s="112" t="str">
        <f t="shared" si="6"/>
        <v/>
      </c>
      <c r="AD8" s="113">
        <f>IF(AA8="",AH7-AB8,AH7-AA8)</f>
        <v>479.30599999999998</v>
      </c>
      <c r="AE8" s="114">
        <v>1</v>
      </c>
      <c r="AF8" s="113">
        <f t="shared" si="12"/>
        <v>2</v>
      </c>
      <c r="AG8" s="116"/>
      <c r="AH8" s="86">
        <f t="shared" si="2"/>
        <v>480.64799999999997</v>
      </c>
      <c r="AI8" s="86">
        <f t="shared" si="7"/>
        <v>480.64799999999997</v>
      </c>
      <c r="AJ8" s="86" t="str">
        <f t="shared" si="3"/>
        <v>PRI</v>
      </c>
      <c r="AK8" s="93">
        <f t="shared" si="4"/>
        <v>479.30599999999998</v>
      </c>
      <c r="AL8" s="86" t="str">
        <f t="shared" si="8"/>
        <v/>
      </c>
      <c r="AM8" s="93" t="str">
        <f t="shared" si="9"/>
        <v/>
      </c>
      <c r="AN8" s="86" t="str">
        <f t="shared" si="10"/>
        <v/>
      </c>
      <c r="AO8" s="86" t="str">
        <f t="shared" si="11"/>
        <v/>
      </c>
      <c r="AP8" s="86"/>
    </row>
    <row r="9" spans="1:42" ht="15.75" x14ac:dyDescent="0.25">
      <c r="A9" s="94">
        <f t="shared" si="0"/>
        <v>3.2</v>
      </c>
      <c r="B9" s="95">
        <f t="shared" si="1"/>
        <v>478.90099999999995</v>
      </c>
      <c r="C9" s="96" t="str">
        <f t="shared" si="5"/>
        <v>NAOI</v>
      </c>
      <c r="D9" s="190"/>
      <c r="X9" s="107"/>
      <c r="Y9" s="108"/>
      <c r="Z9" s="109"/>
      <c r="AA9" s="110">
        <v>1.7470000000000001</v>
      </c>
      <c r="AB9" s="111"/>
      <c r="AC9" s="112" t="str">
        <f t="shared" si="6"/>
        <v/>
      </c>
      <c r="AD9" s="113">
        <f>IF(AA9="",AH8-AB9,AH8-AA9)</f>
        <v>478.90099999999995</v>
      </c>
      <c r="AE9" s="114">
        <v>1.2</v>
      </c>
      <c r="AF9" s="113">
        <f t="shared" si="12"/>
        <v>3.2</v>
      </c>
      <c r="AG9" s="115" t="s">
        <v>9</v>
      </c>
      <c r="AH9" s="86">
        <f t="shared" si="2"/>
        <v>478.90099999999995</v>
      </c>
      <c r="AI9" s="86">
        <f t="shared" si="7"/>
        <v>480.64799999999997</v>
      </c>
      <c r="AJ9" s="86" t="str">
        <f t="shared" si="3"/>
        <v>NAOI</v>
      </c>
      <c r="AK9" s="93">
        <f t="shared" si="4"/>
        <v>478.90099999999995</v>
      </c>
      <c r="AL9" s="86">
        <f t="shared" si="8"/>
        <v>478.90099999999995</v>
      </c>
      <c r="AM9" s="93">
        <f t="shared" si="9"/>
        <v>3.2</v>
      </c>
      <c r="AN9" s="86" t="str">
        <f t="shared" si="10"/>
        <v/>
      </c>
      <c r="AO9" s="86" t="str">
        <f t="shared" si="11"/>
        <v/>
      </c>
      <c r="AP9" s="86"/>
    </row>
    <row r="10" spans="1:42" ht="15.75" x14ac:dyDescent="0.25">
      <c r="A10" s="94">
        <f t="shared" si="0"/>
        <v>3.2</v>
      </c>
      <c r="B10" s="95">
        <f t="shared" si="1"/>
        <v>478.51099999999997</v>
      </c>
      <c r="C10" s="96" t="str">
        <f t="shared" si="5"/>
        <v/>
      </c>
      <c r="D10" s="190"/>
      <c r="E10" s="84">
        <f>(B12+B35)/2</f>
        <v>239.23549999999997</v>
      </c>
      <c r="X10" s="107"/>
      <c r="Y10" s="108"/>
      <c r="Z10" s="109"/>
      <c r="AA10" s="110">
        <v>0.39</v>
      </c>
      <c r="AB10" s="111"/>
      <c r="AC10" s="112" t="str">
        <f t="shared" si="6"/>
        <v/>
      </c>
      <c r="AD10" s="113">
        <f t="shared" ref="AD10:AD31" si="13">IF(AJ9="S/BM",AD9,IF(AA10="",AH9-AB10,AH9-AA10))</f>
        <v>478.51099999999997</v>
      </c>
      <c r="AE10" s="114">
        <v>0</v>
      </c>
      <c r="AF10" s="113">
        <f t="shared" si="12"/>
        <v>3.2</v>
      </c>
      <c r="AG10" s="116"/>
      <c r="AH10" s="86">
        <f t="shared" si="2"/>
        <v>478.90099999999995</v>
      </c>
      <c r="AI10" s="86">
        <f t="shared" si="7"/>
        <v>480.64799999999997</v>
      </c>
      <c r="AJ10" s="86" t="str">
        <f t="shared" si="3"/>
        <v>NAOI</v>
      </c>
      <c r="AK10" s="93">
        <f t="shared" si="4"/>
        <v>478.90099999999995</v>
      </c>
      <c r="AL10" s="86" t="str">
        <f t="shared" si="8"/>
        <v/>
      </c>
      <c r="AM10" s="93" t="str">
        <f t="shared" si="9"/>
        <v/>
      </c>
      <c r="AN10" s="86" t="str">
        <f t="shared" si="10"/>
        <v/>
      </c>
      <c r="AO10" s="86" t="str">
        <f t="shared" si="11"/>
        <v/>
      </c>
      <c r="AP10" s="86"/>
    </row>
    <row r="11" spans="1:42" s="117" customFormat="1" ht="15.75" x14ac:dyDescent="0.25">
      <c r="A11" s="94">
        <f t="shared" si="0"/>
        <v>3.7160000000000002</v>
      </c>
      <c r="B11" s="95">
        <f t="shared" si="1"/>
        <v>478.51099999999997</v>
      </c>
      <c r="C11" s="96" t="str">
        <f t="shared" si="5"/>
        <v/>
      </c>
      <c r="D11" s="190"/>
      <c r="E11" s="117">
        <v>0.33</v>
      </c>
      <c r="X11" s="107"/>
      <c r="Y11" s="108"/>
      <c r="Z11" s="109"/>
      <c r="AA11" s="110">
        <v>0.39</v>
      </c>
      <c r="AB11" s="111"/>
      <c r="AC11" s="112" t="str">
        <f t="shared" si="6"/>
        <v/>
      </c>
      <c r="AD11" s="113">
        <f t="shared" si="13"/>
        <v>478.51099999999997</v>
      </c>
      <c r="AE11" s="114">
        <v>0.51600000000000001</v>
      </c>
      <c r="AF11" s="113">
        <f t="shared" si="12"/>
        <v>3.7160000000000002</v>
      </c>
      <c r="AG11" s="115"/>
      <c r="AH11" s="86">
        <f t="shared" si="2"/>
        <v>478.90099999999995</v>
      </c>
      <c r="AI11" s="86">
        <f t="shared" si="7"/>
        <v>480.64799999999997</v>
      </c>
      <c r="AJ11" s="86" t="str">
        <f t="shared" si="3"/>
        <v>NAOI</v>
      </c>
      <c r="AK11" s="93">
        <f t="shared" si="4"/>
        <v>478.90099999999995</v>
      </c>
      <c r="AL11" s="86" t="str">
        <f t="shared" si="8"/>
        <v/>
      </c>
      <c r="AM11" s="93" t="str">
        <f t="shared" si="9"/>
        <v/>
      </c>
      <c r="AN11" s="86" t="str">
        <f t="shared" si="10"/>
        <v/>
      </c>
      <c r="AO11" s="86" t="str">
        <f t="shared" si="11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4.2320000000000002</v>
      </c>
      <c r="B12" s="95">
        <f t="shared" si="1"/>
        <v>478.47099999999995</v>
      </c>
      <c r="C12" s="96" t="str">
        <f t="shared" si="5"/>
        <v/>
      </c>
      <c r="D12" s="190"/>
      <c r="E12" s="117">
        <v>0.3</v>
      </c>
      <c r="X12" s="107"/>
      <c r="Y12" s="108"/>
      <c r="Z12" s="109"/>
      <c r="AA12" s="110">
        <v>0.43</v>
      </c>
      <c r="AB12" s="111"/>
      <c r="AC12" s="112" t="str">
        <f>IF(AA12="",AD12+Z12,"")</f>
        <v/>
      </c>
      <c r="AD12" s="113">
        <f t="shared" si="13"/>
        <v>478.47099999999995</v>
      </c>
      <c r="AE12" s="114">
        <v>0.51600000000000001</v>
      </c>
      <c r="AF12" s="113">
        <f t="shared" si="12"/>
        <v>4.2320000000000002</v>
      </c>
      <c r="AG12" s="115"/>
      <c r="AH12" s="86">
        <f t="shared" si="2"/>
        <v>478.90099999999995</v>
      </c>
      <c r="AI12" s="86">
        <f t="shared" si="7"/>
        <v>480.64799999999997</v>
      </c>
      <c r="AJ12" s="86" t="str">
        <f t="shared" si="3"/>
        <v>NAOI</v>
      </c>
      <c r="AK12" s="93">
        <f t="shared" si="4"/>
        <v>478.90099999999995</v>
      </c>
      <c r="AL12" s="86" t="str">
        <f t="shared" si="8"/>
        <v/>
      </c>
      <c r="AM12" s="93" t="str">
        <f t="shared" si="9"/>
        <v/>
      </c>
      <c r="AN12" s="86" t="str">
        <f t="shared" si="10"/>
        <v/>
      </c>
      <c r="AO12" s="86" t="str">
        <f t="shared" si="11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4.7480000000000002</v>
      </c>
      <c r="B13" s="95">
        <f t="shared" si="1"/>
        <v>478.43099999999993</v>
      </c>
      <c r="C13" s="96" t="str">
        <f t="shared" si="5"/>
        <v/>
      </c>
      <c r="D13" s="190"/>
      <c r="E13" s="117">
        <v>0.35</v>
      </c>
      <c r="X13" s="107"/>
      <c r="Y13" s="108"/>
      <c r="Z13" s="109"/>
      <c r="AA13" s="110">
        <v>0.47</v>
      </c>
      <c r="AB13" s="111"/>
      <c r="AC13" s="112" t="str">
        <f t="shared" si="6"/>
        <v/>
      </c>
      <c r="AD13" s="113">
        <f t="shared" si="13"/>
        <v>478.43099999999993</v>
      </c>
      <c r="AE13" s="114">
        <v>0.51600000000000001</v>
      </c>
      <c r="AF13" s="113">
        <f t="shared" si="12"/>
        <v>4.7480000000000002</v>
      </c>
      <c r="AG13" s="115"/>
      <c r="AH13" s="86">
        <f t="shared" si="2"/>
        <v>478.90099999999995</v>
      </c>
      <c r="AI13" s="86">
        <f t="shared" si="7"/>
        <v>480.64799999999997</v>
      </c>
      <c r="AJ13" s="86" t="str">
        <f t="shared" si="3"/>
        <v>NAOI</v>
      </c>
      <c r="AK13" s="93">
        <f t="shared" si="4"/>
        <v>478.90099999999995</v>
      </c>
      <c r="AL13" s="86" t="str">
        <f t="shared" si="8"/>
        <v/>
      </c>
      <c r="AM13" s="93" t="str">
        <f t="shared" si="9"/>
        <v/>
      </c>
      <c r="AN13" s="86" t="str">
        <f t="shared" si="10"/>
        <v/>
      </c>
      <c r="AO13" s="86" t="str">
        <f t="shared" si="11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5.2640000000000002</v>
      </c>
      <c r="B14" s="95">
        <f t="shared" si="1"/>
        <v>478.19099999999997</v>
      </c>
      <c r="C14" s="96" t="str">
        <f t="shared" si="5"/>
        <v/>
      </c>
      <c r="D14" s="190"/>
      <c r="E14" s="117">
        <v>0.5</v>
      </c>
      <c r="X14" s="107"/>
      <c r="Y14" s="108"/>
      <c r="Z14" s="109"/>
      <c r="AA14" s="110">
        <v>0.71</v>
      </c>
      <c r="AB14" s="111"/>
      <c r="AC14" s="112" t="str">
        <f t="shared" si="6"/>
        <v/>
      </c>
      <c r="AD14" s="113">
        <f t="shared" si="13"/>
        <v>478.19099999999997</v>
      </c>
      <c r="AE14" s="114">
        <v>0.51600000000000001</v>
      </c>
      <c r="AF14" s="113">
        <f t="shared" si="12"/>
        <v>5.2640000000000002</v>
      </c>
      <c r="AG14" s="116"/>
      <c r="AH14" s="86">
        <f t="shared" si="2"/>
        <v>478.90099999999995</v>
      </c>
      <c r="AI14" s="86">
        <f t="shared" si="7"/>
        <v>480.64799999999997</v>
      </c>
      <c r="AJ14" s="86" t="str">
        <f t="shared" si="3"/>
        <v>NAOI</v>
      </c>
      <c r="AK14" s="93">
        <f>IF(AND(AJ14="NAOI",AJ13="NAOI"),AK13,AD14)</f>
        <v>478.90099999999995</v>
      </c>
      <c r="AL14" s="86" t="str">
        <f t="shared" si="8"/>
        <v/>
      </c>
      <c r="AM14" s="93" t="str">
        <f t="shared" si="9"/>
        <v/>
      </c>
      <c r="AN14" s="86" t="str">
        <f t="shared" si="10"/>
        <v/>
      </c>
      <c r="AO14" s="86" t="str">
        <f t="shared" si="11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5.78</v>
      </c>
      <c r="B15" s="95">
        <f t="shared" si="1"/>
        <v>478.26099999999997</v>
      </c>
      <c r="C15" s="96" t="str">
        <f t="shared" si="5"/>
        <v/>
      </c>
      <c r="D15" s="190"/>
      <c r="E15" s="117">
        <v>0.55000000000000004</v>
      </c>
      <c r="X15" s="107"/>
      <c r="Y15" s="108"/>
      <c r="Z15" s="109"/>
      <c r="AA15" s="110">
        <v>0.64</v>
      </c>
      <c r="AB15" s="111"/>
      <c r="AC15" s="112" t="str">
        <f t="shared" si="6"/>
        <v/>
      </c>
      <c r="AD15" s="113">
        <f t="shared" si="13"/>
        <v>478.26099999999997</v>
      </c>
      <c r="AE15" s="114">
        <v>0.51600000000000001</v>
      </c>
      <c r="AF15" s="113">
        <f t="shared" si="12"/>
        <v>5.78</v>
      </c>
      <c r="AG15" s="115"/>
      <c r="AH15" s="86">
        <f t="shared" si="2"/>
        <v>478.90099999999995</v>
      </c>
      <c r="AI15" s="86">
        <f t="shared" si="7"/>
        <v>480.64799999999997</v>
      </c>
      <c r="AJ15" s="86" t="str">
        <f t="shared" si="3"/>
        <v>NAOI</v>
      </c>
      <c r="AK15" s="93">
        <f>IF(AND(AJ15="NAOI",AJ14="NAOI"),AK14,AD15)</f>
        <v>478.90099999999995</v>
      </c>
      <c r="AL15" s="86" t="str">
        <f t="shared" si="8"/>
        <v/>
      </c>
      <c r="AM15" s="93" t="str">
        <f t="shared" si="9"/>
        <v/>
      </c>
      <c r="AN15" s="86" t="str">
        <f t="shared" si="10"/>
        <v/>
      </c>
      <c r="AO15" s="86" t="str">
        <f t="shared" si="11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6.2960000000000003</v>
      </c>
      <c r="B16" s="95">
        <f t="shared" si="1"/>
        <v>478.32099999999997</v>
      </c>
      <c r="C16" s="96" t="str">
        <f t="shared" si="5"/>
        <v/>
      </c>
      <c r="D16" s="190"/>
      <c r="E16" s="117">
        <v>0.75</v>
      </c>
      <c r="X16" s="107"/>
      <c r="Y16" s="108"/>
      <c r="Z16" s="109"/>
      <c r="AA16" s="110">
        <v>0.57999999999999996</v>
      </c>
      <c r="AB16" s="111"/>
      <c r="AC16" s="112" t="str">
        <f t="shared" si="6"/>
        <v/>
      </c>
      <c r="AD16" s="113">
        <f t="shared" si="13"/>
        <v>478.32099999999997</v>
      </c>
      <c r="AE16" s="114">
        <v>0.51600000000000001</v>
      </c>
      <c r="AF16" s="113">
        <f t="shared" si="12"/>
        <v>6.2960000000000003</v>
      </c>
      <c r="AG16" s="118"/>
      <c r="AH16" s="86">
        <f t="shared" si="2"/>
        <v>478.90099999999995</v>
      </c>
      <c r="AI16" s="86">
        <f t="shared" si="7"/>
        <v>480.64799999999997</v>
      </c>
      <c r="AJ16" s="86" t="str">
        <f t="shared" si="3"/>
        <v>NAOI</v>
      </c>
      <c r="AK16" s="93">
        <f>IF(AND(AJ16="NAOI",AJ15="NAOI"),AK15,AD16)</f>
        <v>478.90099999999995</v>
      </c>
      <c r="AL16" s="86" t="str">
        <f t="shared" si="8"/>
        <v/>
      </c>
      <c r="AM16" s="93" t="str">
        <f t="shared" si="9"/>
        <v/>
      </c>
      <c r="AN16" s="86" t="str">
        <f t="shared" si="10"/>
        <v/>
      </c>
      <c r="AO16" s="86" t="str">
        <f t="shared" si="11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6.8120000000000003</v>
      </c>
      <c r="B17" s="95">
        <f t="shared" si="1"/>
        <v>478.41099999999994</v>
      </c>
      <c r="C17" s="96" t="str">
        <f t="shared" si="5"/>
        <v/>
      </c>
      <c r="D17" s="190"/>
      <c r="E17" s="117">
        <v>0.7</v>
      </c>
      <c r="X17" s="107"/>
      <c r="Y17" s="108"/>
      <c r="Z17" s="109"/>
      <c r="AA17" s="110">
        <v>0.49</v>
      </c>
      <c r="AB17" s="111"/>
      <c r="AC17" s="112" t="str">
        <f t="shared" si="6"/>
        <v/>
      </c>
      <c r="AD17" s="113">
        <f t="shared" si="13"/>
        <v>478.41099999999994</v>
      </c>
      <c r="AE17" s="114">
        <v>0.51600000000000001</v>
      </c>
      <c r="AF17" s="113">
        <f t="shared" si="12"/>
        <v>6.8120000000000003</v>
      </c>
      <c r="AG17" s="118"/>
      <c r="AH17" s="86">
        <f t="shared" si="2"/>
        <v>478.90099999999995</v>
      </c>
      <c r="AI17" s="86">
        <f t="shared" si="7"/>
        <v>480.64799999999997</v>
      </c>
      <c r="AJ17" s="86" t="str">
        <f t="shared" si="3"/>
        <v>NAOI</v>
      </c>
      <c r="AK17" s="93">
        <f t="shared" ref="AK17:AK46" si="15">IF(AND(AJ17="NAOI",AJ16="NAOI"),AK16,AD17)</f>
        <v>478.90099999999995</v>
      </c>
      <c r="AL17" s="86" t="str">
        <f t="shared" si="8"/>
        <v/>
      </c>
      <c r="AM17" s="93" t="str">
        <f t="shared" si="9"/>
        <v/>
      </c>
      <c r="AN17" s="86" t="str">
        <f t="shared" si="10"/>
        <v/>
      </c>
      <c r="AO17" s="86" t="str">
        <f t="shared" si="11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7.3280000000000003</v>
      </c>
      <c r="B18" s="95">
        <f t="shared" si="1"/>
        <v>478.38099999999997</v>
      </c>
      <c r="C18" s="96" t="str">
        <f t="shared" si="5"/>
        <v/>
      </c>
      <c r="D18" s="190"/>
      <c r="E18" s="117">
        <v>0.65</v>
      </c>
      <c r="X18" s="107"/>
      <c r="Y18" s="108"/>
      <c r="Z18" s="109"/>
      <c r="AA18" s="110">
        <v>0.52</v>
      </c>
      <c r="AB18" s="111"/>
      <c r="AC18" s="112" t="str">
        <f t="shared" si="6"/>
        <v/>
      </c>
      <c r="AD18" s="113">
        <f t="shared" si="13"/>
        <v>478.38099999999997</v>
      </c>
      <c r="AE18" s="114">
        <v>0.51600000000000001</v>
      </c>
      <c r="AF18" s="113">
        <f t="shared" si="12"/>
        <v>7.3280000000000003</v>
      </c>
      <c r="AG18" s="118"/>
      <c r="AH18" s="86">
        <f t="shared" si="2"/>
        <v>478.90099999999995</v>
      </c>
      <c r="AI18" s="86">
        <f t="shared" si="7"/>
        <v>480.64799999999997</v>
      </c>
      <c r="AJ18" s="86" t="str">
        <f t="shared" si="3"/>
        <v>NAOI</v>
      </c>
      <c r="AK18" s="93">
        <f t="shared" si="15"/>
        <v>478.90099999999995</v>
      </c>
      <c r="AL18" s="86" t="str">
        <f t="shared" si="8"/>
        <v/>
      </c>
      <c r="AM18" s="93" t="str">
        <f t="shared" si="9"/>
        <v/>
      </c>
      <c r="AN18" s="86" t="str">
        <f t="shared" si="10"/>
        <v/>
      </c>
      <c r="AO18" s="86" t="str">
        <f t="shared" si="11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7.8440000000000003</v>
      </c>
      <c r="B19" s="95">
        <f t="shared" si="1"/>
        <v>478.36099999999993</v>
      </c>
      <c r="C19" s="96" t="str">
        <f t="shared" si="5"/>
        <v/>
      </c>
      <c r="D19" s="190"/>
      <c r="E19" s="117">
        <v>0.85</v>
      </c>
      <c r="X19" s="107"/>
      <c r="Y19" s="108"/>
      <c r="Z19" s="109"/>
      <c r="AA19" s="110">
        <v>0.54</v>
      </c>
      <c r="AB19" s="111"/>
      <c r="AC19" s="112" t="str">
        <f t="shared" si="6"/>
        <v/>
      </c>
      <c r="AD19" s="113">
        <f t="shared" si="13"/>
        <v>478.36099999999993</v>
      </c>
      <c r="AE19" s="114">
        <v>0.51600000000000001</v>
      </c>
      <c r="AF19" s="113">
        <f t="shared" si="12"/>
        <v>7.8440000000000003</v>
      </c>
      <c r="AG19" s="118"/>
      <c r="AH19" s="86">
        <f t="shared" si="2"/>
        <v>478.90099999999995</v>
      </c>
      <c r="AI19" s="86">
        <f t="shared" si="7"/>
        <v>480.64799999999997</v>
      </c>
      <c r="AJ19" s="86" t="str">
        <f t="shared" si="3"/>
        <v>NAOI</v>
      </c>
      <c r="AK19" s="93">
        <f t="shared" si="15"/>
        <v>478.90099999999995</v>
      </c>
      <c r="AL19" s="86" t="str">
        <f t="shared" si="8"/>
        <v/>
      </c>
      <c r="AM19" s="93" t="str">
        <f t="shared" si="9"/>
        <v/>
      </c>
      <c r="AN19" s="86" t="str">
        <f t="shared" si="10"/>
        <v/>
      </c>
      <c r="AO19" s="86" t="str">
        <f t="shared" si="11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8.36</v>
      </c>
      <c r="B20" s="95">
        <f t="shared" si="1"/>
        <v>478.27099999999996</v>
      </c>
      <c r="C20" s="96" t="str">
        <f t="shared" si="5"/>
        <v/>
      </c>
      <c r="D20" s="190"/>
      <c r="E20" s="117">
        <v>1.3</v>
      </c>
      <c r="X20" s="107"/>
      <c r="Y20" s="108"/>
      <c r="Z20" s="109"/>
      <c r="AA20" s="110">
        <v>0.63</v>
      </c>
      <c r="AB20" s="111"/>
      <c r="AC20" s="112" t="str">
        <f t="shared" si="6"/>
        <v/>
      </c>
      <c r="AD20" s="113">
        <f t="shared" si="13"/>
        <v>478.27099999999996</v>
      </c>
      <c r="AE20" s="114">
        <v>0.51600000000000001</v>
      </c>
      <c r="AF20" s="113">
        <f t="shared" si="12"/>
        <v>8.36</v>
      </c>
      <c r="AG20" s="118"/>
      <c r="AH20" s="86">
        <f t="shared" si="2"/>
        <v>478.90099999999995</v>
      </c>
      <c r="AI20" s="86">
        <f t="shared" si="7"/>
        <v>480.64799999999997</v>
      </c>
      <c r="AJ20" s="86" t="str">
        <f t="shared" si="3"/>
        <v>NAOI</v>
      </c>
      <c r="AK20" s="93">
        <f t="shared" si="15"/>
        <v>478.90099999999995</v>
      </c>
      <c r="AL20" s="86" t="str">
        <f t="shared" si="8"/>
        <v/>
      </c>
      <c r="AM20" s="93" t="str">
        <f t="shared" si="9"/>
        <v/>
      </c>
      <c r="AN20" s="86" t="str">
        <f t="shared" si="10"/>
        <v/>
      </c>
      <c r="AO20" s="86" t="str">
        <f t="shared" si="11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8.8759999999999994</v>
      </c>
      <c r="B21" s="95">
        <f t="shared" si="1"/>
        <v>478.17099999999994</v>
      </c>
      <c r="C21" s="96" t="str">
        <f t="shared" si="5"/>
        <v/>
      </c>
      <c r="D21" s="190"/>
      <c r="E21" s="117">
        <v>1.55</v>
      </c>
      <c r="X21" s="107"/>
      <c r="Y21" s="108"/>
      <c r="Z21" s="109"/>
      <c r="AA21" s="110">
        <v>0.73</v>
      </c>
      <c r="AB21" s="111"/>
      <c r="AC21" s="112" t="str">
        <f t="shared" si="6"/>
        <v/>
      </c>
      <c r="AD21" s="113">
        <f t="shared" si="13"/>
        <v>478.17099999999994</v>
      </c>
      <c r="AE21" s="114">
        <v>0.51600000000000001</v>
      </c>
      <c r="AF21" s="113">
        <f t="shared" si="12"/>
        <v>8.8759999999999994</v>
      </c>
      <c r="AG21" s="118"/>
      <c r="AH21" s="86">
        <f t="shared" si="2"/>
        <v>478.90099999999995</v>
      </c>
      <c r="AI21" s="86">
        <f t="shared" si="7"/>
        <v>480.64799999999997</v>
      </c>
      <c r="AJ21" s="86" t="str">
        <f t="shared" si="3"/>
        <v>NAOI</v>
      </c>
      <c r="AK21" s="93">
        <f t="shared" si="15"/>
        <v>478.90099999999995</v>
      </c>
      <c r="AL21" s="86" t="str">
        <f t="shared" si="8"/>
        <v/>
      </c>
      <c r="AM21" s="93" t="str">
        <f t="shared" si="9"/>
        <v/>
      </c>
      <c r="AN21" s="86" t="str">
        <f t="shared" si="10"/>
        <v/>
      </c>
      <c r="AO21" s="86" t="str">
        <f t="shared" si="11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9.3919999999999995</v>
      </c>
      <c r="B22" s="95">
        <f t="shared" si="1"/>
        <v>478.11099999999993</v>
      </c>
      <c r="C22" s="96" t="str">
        <f t="shared" si="5"/>
        <v/>
      </c>
      <c r="D22" s="190"/>
      <c r="E22" s="117">
        <v>1.8</v>
      </c>
      <c r="X22" s="107"/>
      <c r="Y22" s="108"/>
      <c r="Z22" s="109"/>
      <c r="AA22" s="110">
        <v>0.79</v>
      </c>
      <c r="AB22" s="111"/>
      <c r="AC22" s="112" t="str">
        <f t="shared" si="6"/>
        <v/>
      </c>
      <c r="AD22" s="113">
        <f t="shared" si="13"/>
        <v>478.11099999999993</v>
      </c>
      <c r="AE22" s="114">
        <v>0.51600000000000001</v>
      </c>
      <c r="AF22" s="113">
        <f t="shared" si="12"/>
        <v>9.3919999999999995</v>
      </c>
      <c r="AG22" s="118"/>
      <c r="AH22" s="86">
        <f t="shared" si="2"/>
        <v>478.90099999999995</v>
      </c>
      <c r="AI22" s="86">
        <f t="shared" si="7"/>
        <v>480.64799999999997</v>
      </c>
      <c r="AJ22" s="86" t="str">
        <f t="shared" si="3"/>
        <v>NAOI</v>
      </c>
      <c r="AK22" s="93">
        <f t="shared" si="15"/>
        <v>478.90099999999995</v>
      </c>
      <c r="AL22" s="86" t="str">
        <f t="shared" si="8"/>
        <v/>
      </c>
      <c r="AM22" s="93" t="str">
        <f t="shared" si="9"/>
        <v/>
      </c>
      <c r="AN22" s="86" t="str">
        <f t="shared" si="10"/>
        <v/>
      </c>
      <c r="AO22" s="86" t="str">
        <f t="shared" si="11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9.9079999999999995</v>
      </c>
      <c r="B23" s="95">
        <f t="shared" si="1"/>
        <v>478.05099999999993</v>
      </c>
      <c r="C23" s="96" t="str">
        <f t="shared" si="5"/>
        <v/>
      </c>
      <c r="D23" s="190"/>
      <c r="E23" s="117">
        <v>1.93</v>
      </c>
      <c r="X23" s="107"/>
      <c r="Y23" s="108"/>
      <c r="Z23" s="109"/>
      <c r="AA23" s="110">
        <v>0.85</v>
      </c>
      <c r="AB23" s="111"/>
      <c r="AC23" s="112" t="str">
        <f t="shared" si="6"/>
        <v/>
      </c>
      <c r="AD23" s="113">
        <f t="shared" si="13"/>
        <v>478.05099999999993</v>
      </c>
      <c r="AE23" s="114">
        <v>0.51600000000000001</v>
      </c>
      <c r="AF23" s="113">
        <f t="shared" si="12"/>
        <v>9.9079999999999995</v>
      </c>
      <c r="AG23" s="118"/>
      <c r="AH23" s="86">
        <f t="shared" si="2"/>
        <v>478.90099999999995</v>
      </c>
      <c r="AI23" s="86">
        <f t="shared" si="7"/>
        <v>480.64799999999997</v>
      </c>
      <c r="AJ23" s="86" t="str">
        <f t="shared" si="3"/>
        <v>NAOI</v>
      </c>
      <c r="AK23" s="93">
        <f t="shared" si="15"/>
        <v>478.90099999999995</v>
      </c>
      <c r="AL23" s="86" t="str">
        <f t="shared" si="8"/>
        <v/>
      </c>
      <c r="AM23" s="93" t="str">
        <f t="shared" si="9"/>
        <v/>
      </c>
      <c r="AN23" s="86" t="str">
        <f t="shared" si="10"/>
        <v/>
      </c>
      <c r="AO23" s="86" t="str">
        <f t="shared" si="11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10.423999999999999</v>
      </c>
      <c r="B24" s="95">
        <f t="shared" si="1"/>
        <v>478.04099999999994</v>
      </c>
      <c r="C24" s="96" t="str">
        <f t="shared" si="5"/>
        <v/>
      </c>
      <c r="D24" s="190"/>
      <c r="E24" s="117">
        <v>1.75</v>
      </c>
      <c r="X24" s="107"/>
      <c r="Y24" s="108"/>
      <c r="Z24" s="109"/>
      <c r="AA24" s="110">
        <v>0.86</v>
      </c>
      <c r="AB24" s="111"/>
      <c r="AC24" s="112" t="str">
        <f t="shared" si="6"/>
        <v/>
      </c>
      <c r="AD24" s="113">
        <f t="shared" si="13"/>
        <v>478.04099999999994</v>
      </c>
      <c r="AE24" s="114">
        <v>0.51600000000000001</v>
      </c>
      <c r="AF24" s="113">
        <f t="shared" si="12"/>
        <v>10.423999999999999</v>
      </c>
      <c r="AG24" s="118"/>
      <c r="AH24" s="86">
        <f t="shared" si="2"/>
        <v>478.90099999999995</v>
      </c>
      <c r="AI24" s="86">
        <f t="shared" si="7"/>
        <v>480.64799999999997</v>
      </c>
      <c r="AJ24" s="86" t="str">
        <f t="shared" si="3"/>
        <v>NAOI</v>
      </c>
      <c r="AK24" s="93">
        <f t="shared" si="15"/>
        <v>478.90099999999995</v>
      </c>
      <c r="AL24" s="86" t="str">
        <f t="shared" si="8"/>
        <v/>
      </c>
      <c r="AM24" s="93" t="str">
        <f t="shared" si="9"/>
        <v/>
      </c>
      <c r="AN24" s="86" t="str">
        <f t="shared" si="10"/>
        <v/>
      </c>
      <c r="AO24" s="86" t="str">
        <f t="shared" si="11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10.94</v>
      </c>
      <c r="B25" s="95">
        <f t="shared" si="1"/>
        <v>478.04099999999994</v>
      </c>
      <c r="C25" s="96" t="str">
        <f t="shared" si="5"/>
        <v/>
      </c>
      <c r="D25" s="190"/>
      <c r="E25" s="117">
        <v>1.77</v>
      </c>
      <c r="X25" s="107"/>
      <c r="Y25" s="108"/>
      <c r="Z25" s="109"/>
      <c r="AA25" s="110">
        <v>0.86</v>
      </c>
      <c r="AB25" s="111"/>
      <c r="AC25" s="112" t="str">
        <f t="shared" si="6"/>
        <v/>
      </c>
      <c r="AD25" s="113">
        <f t="shared" si="13"/>
        <v>478.04099999999994</v>
      </c>
      <c r="AE25" s="114">
        <v>0.51600000000000001</v>
      </c>
      <c r="AF25" s="113">
        <f t="shared" si="12"/>
        <v>10.94</v>
      </c>
      <c r="AG25" s="115"/>
      <c r="AH25" s="86">
        <f t="shared" si="2"/>
        <v>478.90099999999995</v>
      </c>
      <c r="AI25" s="86">
        <f t="shared" si="7"/>
        <v>480.64799999999997</v>
      </c>
      <c r="AJ25" s="86" t="str">
        <f t="shared" si="3"/>
        <v>NAOI</v>
      </c>
      <c r="AK25" s="93">
        <f t="shared" si="15"/>
        <v>478.90099999999995</v>
      </c>
      <c r="AL25" s="86" t="str">
        <f t="shared" si="8"/>
        <v/>
      </c>
      <c r="AM25" s="93" t="str">
        <f t="shared" si="9"/>
        <v/>
      </c>
      <c r="AN25" s="86" t="str">
        <f t="shared" si="10"/>
        <v/>
      </c>
      <c r="AO25" s="86" t="str">
        <f t="shared" si="11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11.456</v>
      </c>
      <c r="B26" s="95">
        <f t="shared" si="1"/>
        <v>478.06099999999998</v>
      </c>
      <c r="C26" s="96" t="str">
        <f t="shared" si="5"/>
        <v/>
      </c>
      <c r="D26" s="190"/>
      <c r="E26" s="117">
        <v>1.7</v>
      </c>
      <c r="X26" s="107"/>
      <c r="Y26" s="108"/>
      <c r="Z26" s="109"/>
      <c r="AA26" s="110">
        <v>0.84</v>
      </c>
      <c r="AB26" s="111"/>
      <c r="AC26" s="112" t="str">
        <f t="shared" si="6"/>
        <v/>
      </c>
      <c r="AD26" s="113">
        <f t="shared" si="13"/>
        <v>478.06099999999998</v>
      </c>
      <c r="AE26" s="114">
        <v>0.51600000000000001</v>
      </c>
      <c r="AF26" s="113">
        <f t="shared" si="12"/>
        <v>11.456</v>
      </c>
      <c r="AG26" s="115"/>
      <c r="AH26" s="86">
        <f t="shared" si="2"/>
        <v>478.90099999999995</v>
      </c>
      <c r="AI26" s="86">
        <f t="shared" si="7"/>
        <v>480.64799999999997</v>
      </c>
      <c r="AJ26" s="86" t="str">
        <f t="shared" si="3"/>
        <v>NAOI</v>
      </c>
      <c r="AK26" s="93">
        <f t="shared" si="15"/>
        <v>478.90099999999995</v>
      </c>
      <c r="AL26" s="86" t="str">
        <f t="shared" si="8"/>
        <v/>
      </c>
      <c r="AM26" s="93" t="str">
        <f t="shared" si="9"/>
        <v/>
      </c>
      <c r="AN26" s="86" t="str">
        <f t="shared" si="10"/>
        <v/>
      </c>
      <c r="AO26" s="86" t="str">
        <f t="shared" si="11"/>
        <v/>
      </c>
      <c r="AP26" s="86">
        <f t="shared" si="14"/>
        <v>0</v>
      </c>
    </row>
    <row r="27" spans="1:42" ht="15.75" x14ac:dyDescent="0.25">
      <c r="A27" s="94">
        <f t="shared" si="0"/>
        <v>11.972</v>
      </c>
      <c r="B27" s="95">
        <f t="shared" si="1"/>
        <v>478.14099999999996</v>
      </c>
      <c r="C27" s="96" t="str">
        <f t="shared" si="5"/>
        <v/>
      </c>
      <c r="D27" s="190"/>
      <c r="E27" s="117">
        <v>1.7</v>
      </c>
      <c r="X27" s="107"/>
      <c r="Y27" s="108"/>
      <c r="Z27" s="109"/>
      <c r="AA27" s="110">
        <v>0.76</v>
      </c>
      <c r="AB27" s="111"/>
      <c r="AC27" s="112" t="str">
        <f t="shared" si="6"/>
        <v/>
      </c>
      <c r="AD27" s="113">
        <f t="shared" si="13"/>
        <v>478.14099999999996</v>
      </c>
      <c r="AE27" s="114">
        <v>0.51600000000000001</v>
      </c>
      <c r="AF27" s="113">
        <f t="shared" si="12"/>
        <v>11.972</v>
      </c>
      <c r="AG27" s="115"/>
      <c r="AH27" s="86">
        <f t="shared" si="2"/>
        <v>478.90099999999995</v>
      </c>
      <c r="AI27" s="86">
        <f t="shared" si="7"/>
        <v>480.64799999999997</v>
      </c>
      <c r="AJ27" s="86" t="str">
        <f t="shared" si="3"/>
        <v>NAOI</v>
      </c>
      <c r="AK27" s="93">
        <f t="shared" si="15"/>
        <v>478.90099999999995</v>
      </c>
      <c r="AL27" s="86" t="str">
        <f t="shared" si="8"/>
        <v/>
      </c>
      <c r="AM27" s="93" t="str">
        <f t="shared" si="9"/>
        <v/>
      </c>
      <c r="AN27" s="86" t="str">
        <f t="shared" si="10"/>
        <v/>
      </c>
      <c r="AO27" s="86" t="str">
        <f t="shared" si="11"/>
        <v/>
      </c>
      <c r="AP27" s="86">
        <f t="shared" si="14"/>
        <v>0</v>
      </c>
    </row>
    <row r="28" spans="1:42" ht="15.75" x14ac:dyDescent="0.25">
      <c r="A28" s="94">
        <f t="shared" si="0"/>
        <v>12.488</v>
      </c>
      <c r="B28" s="95">
        <f t="shared" si="1"/>
        <v>478.10099999999994</v>
      </c>
      <c r="C28" s="96" t="str">
        <f t="shared" si="5"/>
        <v/>
      </c>
      <c r="D28" s="190"/>
      <c r="E28" s="117">
        <v>1.35</v>
      </c>
      <c r="X28" s="107"/>
      <c r="Y28" s="108"/>
      <c r="Z28" s="109"/>
      <c r="AA28" s="110">
        <v>0.8</v>
      </c>
      <c r="AB28" s="111"/>
      <c r="AC28" s="112" t="str">
        <f t="shared" si="6"/>
        <v/>
      </c>
      <c r="AD28" s="113">
        <f t="shared" si="13"/>
        <v>478.10099999999994</v>
      </c>
      <c r="AE28" s="114">
        <v>0.51600000000000001</v>
      </c>
      <c r="AF28" s="113">
        <f t="shared" si="12"/>
        <v>12.488</v>
      </c>
      <c r="AG28" s="115"/>
      <c r="AH28" s="86">
        <f t="shared" si="2"/>
        <v>480.64799999999997</v>
      </c>
      <c r="AI28" s="86">
        <f t="shared" si="7"/>
        <v>480.64799999999997</v>
      </c>
      <c r="AJ28" s="86" t="str">
        <f t="shared" si="3"/>
        <v>NAOI</v>
      </c>
      <c r="AK28" s="93">
        <f t="shared" si="15"/>
        <v>478.90099999999995</v>
      </c>
      <c r="AL28" s="86" t="str">
        <f t="shared" si="8"/>
        <v/>
      </c>
      <c r="AM28" s="93" t="str">
        <f t="shared" si="9"/>
        <v/>
      </c>
      <c r="AN28" s="86" t="str">
        <f t="shared" si="10"/>
        <v/>
      </c>
      <c r="AO28" s="86" t="str">
        <f t="shared" si="11"/>
        <v/>
      </c>
      <c r="AP28" s="86">
        <f t="shared" si="14"/>
        <v>0</v>
      </c>
    </row>
    <row r="29" spans="1:42" ht="15.75" x14ac:dyDescent="0.25">
      <c r="A29" s="94">
        <f t="shared" si="0"/>
        <v>13</v>
      </c>
      <c r="B29" s="95">
        <f t="shared" si="1"/>
        <v>478.89899999999994</v>
      </c>
      <c r="C29" s="96" t="str">
        <f t="shared" si="5"/>
        <v>NAOD</v>
      </c>
      <c r="D29" s="190"/>
      <c r="E29" s="117">
        <v>1.2</v>
      </c>
      <c r="X29" s="107"/>
      <c r="Y29" s="108"/>
      <c r="Z29" s="109"/>
      <c r="AA29" s="110">
        <v>1.7490000000000001</v>
      </c>
      <c r="AB29" s="111"/>
      <c r="AC29" s="112"/>
      <c r="AD29" s="113">
        <f t="shared" si="13"/>
        <v>478.89899999999994</v>
      </c>
      <c r="AE29" s="114">
        <v>0.51200000000000001</v>
      </c>
      <c r="AF29" s="113">
        <f t="shared" si="12"/>
        <v>13</v>
      </c>
      <c r="AG29" s="115" t="s">
        <v>10</v>
      </c>
      <c r="AH29" s="86">
        <f t="shared" si="2"/>
        <v>480.64799999999997</v>
      </c>
      <c r="AI29" s="86">
        <f t="shared" si="7"/>
        <v>480.64799999999997</v>
      </c>
      <c r="AJ29" s="86" t="str">
        <f t="shared" si="3"/>
        <v>NAOD</v>
      </c>
      <c r="AK29" s="93">
        <f t="shared" si="15"/>
        <v>478.89899999999994</v>
      </c>
      <c r="AL29" s="86" t="str">
        <f t="shared" si="8"/>
        <v/>
      </c>
      <c r="AM29" s="93" t="str">
        <f t="shared" si="9"/>
        <v/>
      </c>
      <c r="AN29" s="86">
        <f t="shared" si="10"/>
        <v>478.89899999999994</v>
      </c>
      <c r="AO29" s="86">
        <f t="shared" si="11"/>
        <v>13</v>
      </c>
      <c r="AP29" s="86">
        <f t="shared" si="14"/>
        <v>0</v>
      </c>
    </row>
    <row r="30" spans="1:42" ht="15.75" x14ac:dyDescent="0.25">
      <c r="A30" s="94">
        <f>AF30</f>
        <v>16</v>
      </c>
      <c r="B30" s="95">
        <f>AD30</f>
        <v>479.74999999999994</v>
      </c>
      <c r="C30" s="96" t="str">
        <f t="shared" si="5"/>
        <v/>
      </c>
      <c r="D30" s="190"/>
      <c r="E30" s="117">
        <v>0.8</v>
      </c>
      <c r="X30" s="107"/>
      <c r="Y30" s="108"/>
      <c r="Z30" s="109"/>
      <c r="AA30" s="110">
        <v>0.89800000000000002</v>
      </c>
      <c r="AB30" s="111"/>
      <c r="AC30" s="112"/>
      <c r="AD30" s="113">
        <f t="shared" si="13"/>
        <v>479.74999999999994</v>
      </c>
      <c r="AE30" s="114">
        <v>3</v>
      </c>
      <c r="AF30" s="113">
        <f t="shared" si="12"/>
        <v>16</v>
      </c>
      <c r="AG30" s="115"/>
      <c r="AH30" s="86">
        <f t="shared" si="2"/>
        <v>480.64799999999997</v>
      </c>
      <c r="AI30" s="86">
        <f t="shared" si="7"/>
        <v>480.64799999999997</v>
      </c>
      <c r="AJ30" s="86" t="str">
        <f t="shared" si="3"/>
        <v>NAOD</v>
      </c>
      <c r="AK30" s="93">
        <f t="shared" si="15"/>
        <v>479.74999999999994</v>
      </c>
      <c r="AL30" s="86" t="str">
        <f t="shared" si="8"/>
        <v/>
      </c>
      <c r="AM30" s="93" t="str">
        <f t="shared" si="9"/>
        <v/>
      </c>
      <c r="AN30" s="86" t="str">
        <f t="shared" si="10"/>
        <v/>
      </c>
      <c r="AO30" s="86" t="str">
        <f t="shared" si="11"/>
        <v/>
      </c>
      <c r="AP30" s="86">
        <f t="shared" si="14"/>
        <v>0</v>
      </c>
    </row>
    <row r="31" spans="1:42" ht="15.75" x14ac:dyDescent="0.25">
      <c r="A31" s="94">
        <f t="shared" ref="A31" si="16">AF31</f>
        <v>17.399999999999999</v>
      </c>
      <c r="B31" s="95">
        <f t="shared" ref="B31" si="17">AD31</f>
        <v>480.51399999999995</v>
      </c>
      <c r="C31" s="96" t="str">
        <f t="shared" si="5"/>
        <v>PRD</v>
      </c>
      <c r="D31" s="190"/>
      <c r="E31" s="117">
        <v>0.55000000000000004</v>
      </c>
      <c r="X31" s="107"/>
      <c r="Y31" s="108"/>
      <c r="Z31" s="109"/>
      <c r="AA31" s="110">
        <v>0.13400000000000001</v>
      </c>
      <c r="AB31" s="111"/>
      <c r="AC31" s="112"/>
      <c r="AD31" s="113">
        <f t="shared" si="13"/>
        <v>480.51399999999995</v>
      </c>
      <c r="AE31" s="114">
        <v>1.4</v>
      </c>
      <c r="AF31" s="113">
        <f t="shared" si="12"/>
        <v>17.399999999999999</v>
      </c>
      <c r="AG31" s="115" t="s">
        <v>5</v>
      </c>
      <c r="AH31" s="86">
        <f t="shared" si="2"/>
        <v>480.64799999999997</v>
      </c>
      <c r="AI31" s="86">
        <f t="shared" si="7"/>
        <v>480.64799999999997</v>
      </c>
      <c r="AJ31" s="86" t="str">
        <f t="shared" si="3"/>
        <v>PRD</v>
      </c>
      <c r="AK31" s="93">
        <f t="shared" si="15"/>
        <v>480.51399999999995</v>
      </c>
      <c r="AL31" s="86" t="str">
        <f t="shared" si="8"/>
        <v/>
      </c>
      <c r="AM31" s="93" t="str">
        <f t="shared" si="9"/>
        <v/>
      </c>
      <c r="AN31" s="86" t="str">
        <f t="shared" si="10"/>
        <v/>
      </c>
      <c r="AO31" s="86" t="str">
        <f t="shared" si="11"/>
        <v/>
      </c>
      <c r="AP31" s="86">
        <f t="shared" si="14"/>
        <v>0</v>
      </c>
    </row>
    <row r="32" spans="1:42" ht="15.75" x14ac:dyDescent="0.25">
      <c r="A32" s="94"/>
      <c r="B32" s="95"/>
      <c r="C32" s="96" t="str">
        <f t="shared" si="5"/>
        <v/>
      </c>
      <c r="D32" s="190"/>
      <c r="E32" s="117">
        <v>0.35</v>
      </c>
      <c r="X32" s="107"/>
      <c r="Y32" s="108"/>
      <c r="Z32" s="109"/>
      <c r="AA32" s="110"/>
      <c r="AB32" s="111"/>
      <c r="AC32" s="112"/>
      <c r="AD32" s="113"/>
      <c r="AE32" s="114"/>
      <c r="AF32" s="113"/>
      <c r="AG32" s="115"/>
      <c r="AH32" s="86">
        <f t="shared" si="2"/>
        <v>0</v>
      </c>
      <c r="AI32" s="86">
        <f t="shared" si="7"/>
        <v>0</v>
      </c>
      <c r="AJ32" s="86" t="str">
        <f t="shared" si="3"/>
        <v>PRD</v>
      </c>
      <c r="AK32" s="93">
        <f t="shared" si="15"/>
        <v>0</v>
      </c>
      <c r="AL32" s="86" t="str">
        <f t="shared" si="8"/>
        <v/>
      </c>
      <c r="AM32" s="93" t="str">
        <f t="shared" si="9"/>
        <v/>
      </c>
      <c r="AN32" s="86" t="str">
        <f t="shared" si="10"/>
        <v/>
      </c>
      <c r="AO32" s="86" t="str">
        <f t="shared" si="11"/>
        <v/>
      </c>
      <c r="AP32" s="86">
        <f t="shared" si="14"/>
        <v>0</v>
      </c>
    </row>
    <row r="33" spans="1:42" ht="15.75" x14ac:dyDescent="0.25">
      <c r="A33" s="94"/>
      <c r="B33" s="95"/>
      <c r="C33" s="96" t="str">
        <f t="shared" si="5"/>
        <v/>
      </c>
      <c r="D33" s="190"/>
      <c r="X33" s="107"/>
      <c r="Y33" s="108"/>
      <c r="Z33" s="109"/>
      <c r="AA33" s="110"/>
      <c r="AB33" s="111"/>
      <c r="AC33" s="112"/>
      <c r="AD33" s="113"/>
      <c r="AE33" s="114"/>
      <c r="AF33" s="113"/>
      <c r="AG33" s="115"/>
      <c r="AH33" s="86">
        <f t="shared" si="2"/>
        <v>0</v>
      </c>
      <c r="AI33" s="86">
        <f t="shared" si="7"/>
        <v>0</v>
      </c>
      <c r="AJ33" s="86" t="str">
        <f t="shared" si="3"/>
        <v>PRD</v>
      </c>
      <c r="AK33" s="93">
        <f t="shared" si="15"/>
        <v>0</v>
      </c>
      <c r="AL33" s="86" t="str">
        <f t="shared" si="8"/>
        <v/>
      </c>
      <c r="AM33" s="93" t="str">
        <f t="shared" si="9"/>
        <v/>
      </c>
      <c r="AN33" s="86" t="str">
        <f t="shared" si="10"/>
        <v/>
      </c>
      <c r="AO33" s="86" t="str">
        <f t="shared" si="11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5"/>
        <v/>
      </c>
      <c r="D34" s="190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2"/>
        <v>0</v>
      </c>
      <c r="AI34" s="86">
        <f t="shared" si="7"/>
        <v>0</v>
      </c>
      <c r="AJ34" s="86" t="str">
        <f t="shared" si="3"/>
        <v>PRD</v>
      </c>
      <c r="AK34" s="93">
        <f t="shared" si="15"/>
        <v>0</v>
      </c>
      <c r="AL34" s="86" t="str">
        <f t="shared" si="8"/>
        <v/>
      </c>
      <c r="AM34" s="93" t="str">
        <f t="shared" si="9"/>
        <v/>
      </c>
      <c r="AN34" s="86" t="str">
        <f t="shared" si="10"/>
        <v/>
      </c>
      <c r="AO34" s="86" t="str">
        <f t="shared" si="11"/>
        <v/>
      </c>
      <c r="AP34" s="86">
        <f t="shared" si="14"/>
        <v>0</v>
      </c>
    </row>
    <row r="35" spans="1:42" ht="15.75" x14ac:dyDescent="0.25">
      <c r="A35" s="94"/>
      <c r="B35" s="95"/>
      <c r="C35" s="96" t="str">
        <f t="shared" si="5"/>
        <v/>
      </c>
      <c r="D35" s="190"/>
      <c r="X35" s="107"/>
      <c r="Y35" s="108"/>
      <c r="Z35" s="109"/>
      <c r="AA35" s="110"/>
      <c r="AB35" s="111"/>
      <c r="AC35" s="112"/>
      <c r="AD35" s="113"/>
      <c r="AE35" s="114"/>
      <c r="AF35" s="113"/>
      <c r="AG35" s="115"/>
      <c r="AH35" s="86">
        <f t="shared" si="2"/>
        <v>0</v>
      </c>
      <c r="AI35" s="86">
        <f t="shared" si="7"/>
        <v>0</v>
      </c>
      <c r="AJ35" s="86" t="str">
        <f t="shared" si="3"/>
        <v>PRD</v>
      </c>
      <c r="AK35" s="93">
        <f t="shared" si="15"/>
        <v>0</v>
      </c>
      <c r="AL35" s="86" t="str">
        <f t="shared" si="8"/>
        <v/>
      </c>
      <c r="AM35" s="93" t="str">
        <f t="shared" si="9"/>
        <v/>
      </c>
      <c r="AN35" s="86" t="str">
        <f t="shared" si="10"/>
        <v/>
      </c>
      <c r="AO35" s="86" t="str">
        <f t="shared" si="11"/>
        <v/>
      </c>
      <c r="AP35" s="86">
        <f t="shared" si="14"/>
        <v>0</v>
      </c>
    </row>
    <row r="36" spans="1:42" ht="15.75" x14ac:dyDescent="0.25">
      <c r="A36" s="94"/>
      <c r="B36" s="95"/>
      <c r="C36" s="96" t="str">
        <f t="shared" si="5"/>
        <v/>
      </c>
      <c r="D36" s="190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7"/>
        <v>0</v>
      </c>
      <c r="AJ36" s="86" t="str">
        <f t="shared" si="3"/>
        <v>PRD</v>
      </c>
      <c r="AK36" s="93">
        <f t="shared" si="15"/>
        <v>0</v>
      </c>
      <c r="AL36" s="86" t="str">
        <f t="shared" si="8"/>
        <v/>
      </c>
      <c r="AM36" s="93" t="str">
        <f t="shared" si="9"/>
        <v/>
      </c>
      <c r="AN36" s="86" t="str">
        <f t="shared" si="10"/>
        <v/>
      </c>
      <c r="AO36" s="86" t="str">
        <f t="shared" si="11"/>
        <v/>
      </c>
      <c r="AP36" s="86">
        <f t="shared" si="14"/>
        <v>0</v>
      </c>
    </row>
    <row r="37" spans="1:42" ht="15.75" x14ac:dyDescent="0.25">
      <c r="A37" s="94"/>
      <c r="B37" s="95"/>
      <c r="C37" s="96" t="str">
        <f t="shared" si="5"/>
        <v/>
      </c>
      <c r="D37" s="190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7"/>
        <v>0</v>
      </c>
      <c r="AJ37" s="86" t="str">
        <f t="shared" si="3"/>
        <v>PRD</v>
      </c>
      <c r="AK37" s="93">
        <f t="shared" si="15"/>
        <v>0</v>
      </c>
      <c r="AL37" s="86" t="str">
        <f t="shared" si="8"/>
        <v/>
      </c>
      <c r="AM37" s="93" t="str">
        <f t="shared" si="9"/>
        <v/>
      </c>
      <c r="AN37" s="86" t="str">
        <f t="shared" si="10"/>
        <v/>
      </c>
      <c r="AO37" s="86" t="str">
        <f t="shared" si="11"/>
        <v/>
      </c>
      <c r="AP37" s="86">
        <f t="shared" si="14"/>
        <v>0</v>
      </c>
    </row>
    <row r="38" spans="1:42" ht="15.75" x14ac:dyDescent="0.25">
      <c r="A38" s="94"/>
      <c r="B38" s="95"/>
      <c r="C38" s="96" t="str">
        <f t="shared" si="5"/>
        <v/>
      </c>
      <c r="D38" s="190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7"/>
        <v>0</v>
      </c>
      <c r="AJ38" s="86" t="str">
        <f t="shared" si="3"/>
        <v>PRD</v>
      </c>
      <c r="AK38" s="93">
        <f t="shared" si="15"/>
        <v>0</v>
      </c>
      <c r="AL38" s="86" t="str">
        <f t="shared" si="8"/>
        <v/>
      </c>
      <c r="AM38" s="93" t="str">
        <f t="shared" si="9"/>
        <v/>
      </c>
      <c r="AN38" s="86" t="str">
        <f t="shared" si="10"/>
        <v/>
      </c>
      <c r="AO38" s="86" t="str">
        <f t="shared" si="11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5"/>
        <v/>
      </c>
      <c r="D39" s="190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7"/>
        <v>0</v>
      </c>
      <c r="AJ39" s="86" t="str">
        <f t="shared" si="3"/>
        <v>PRD</v>
      </c>
      <c r="AK39" s="93">
        <f t="shared" si="15"/>
        <v>0</v>
      </c>
      <c r="AL39" s="86" t="str">
        <f t="shared" si="8"/>
        <v/>
      </c>
      <c r="AM39" s="93" t="str">
        <f t="shared" si="9"/>
        <v/>
      </c>
      <c r="AN39" s="86" t="str">
        <f t="shared" si="10"/>
        <v/>
      </c>
      <c r="AO39" s="86" t="str">
        <f t="shared" si="11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/>
      </c>
      <c r="D40" s="190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7"/>
        <v>0</v>
      </c>
      <c r="AJ40" s="86" t="str">
        <f t="shared" si="3"/>
        <v>PRD</v>
      </c>
      <c r="AK40" s="93">
        <f t="shared" si="15"/>
        <v>0</v>
      </c>
      <c r="AL40" s="86" t="str">
        <f t="shared" si="8"/>
        <v/>
      </c>
      <c r="AM40" s="93" t="str">
        <f t="shared" si="9"/>
        <v/>
      </c>
      <c r="AN40" s="86" t="str">
        <f t="shared" si="10"/>
        <v/>
      </c>
      <c r="AO40" s="86" t="str">
        <f t="shared" si="11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90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7"/>
        <v>0</v>
      </c>
      <c r="AJ41" s="86" t="str">
        <f>IF(AG41="",AJ40,AG41)</f>
        <v>PRD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90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7"/>
        <v>0</v>
      </c>
      <c r="AJ42" s="86" t="str">
        <f>IF(AG42="",AJ41,AG42)</f>
        <v>PRD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90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7"/>
        <v>0</v>
      </c>
      <c r="AJ43" s="86" t="str">
        <f t="shared" si="3"/>
        <v>PRD</v>
      </c>
      <c r="AK43" s="93">
        <f t="shared" si="15"/>
        <v>0</v>
      </c>
      <c r="AL43" s="86" t="str">
        <f t="shared" si="8"/>
        <v/>
      </c>
      <c r="AM43" s="93" t="str">
        <f t="shared" si="9"/>
        <v/>
      </c>
      <c r="AN43" s="86" t="str">
        <f t="shared" si="10"/>
        <v/>
      </c>
      <c r="AO43" s="86" t="str">
        <f t="shared" si="11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90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7"/>
        <v>0</v>
      </c>
      <c r="AJ44" s="86" t="str">
        <f t="shared" si="3"/>
        <v>PRD</v>
      </c>
      <c r="AK44" s="93">
        <f t="shared" si="15"/>
        <v>0</v>
      </c>
      <c r="AL44" s="86" t="str">
        <f t="shared" si="8"/>
        <v/>
      </c>
      <c r="AM44" s="93" t="str">
        <f t="shared" si="9"/>
        <v/>
      </c>
      <c r="AN44" s="86" t="str">
        <f t="shared" si="10"/>
        <v/>
      </c>
      <c r="AO44" s="86" t="str">
        <f t="shared" si="11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90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7"/>
        <v>0</v>
      </c>
      <c r="AJ45" s="86" t="str">
        <f t="shared" si="3"/>
        <v>PRD</v>
      </c>
      <c r="AK45" s="93">
        <f t="shared" si="15"/>
        <v>0</v>
      </c>
      <c r="AL45" s="86" t="str">
        <f t="shared" si="8"/>
        <v/>
      </c>
      <c r="AM45" s="93" t="str">
        <f t="shared" si="9"/>
        <v/>
      </c>
      <c r="AN45" s="86" t="str">
        <f t="shared" si="10"/>
        <v/>
      </c>
      <c r="AO45" s="86" t="str">
        <f t="shared" si="11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90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7"/>
        <v>0</v>
      </c>
      <c r="AJ46" s="86" t="str">
        <f t="shared" si="3"/>
        <v>PRD</v>
      </c>
      <c r="AK46" s="93">
        <f t="shared" si="15"/>
        <v>0</v>
      </c>
      <c r="AL46" s="86" t="str">
        <f t="shared" si="8"/>
        <v/>
      </c>
      <c r="AM46" s="93" t="str">
        <f t="shared" si="9"/>
        <v/>
      </c>
      <c r="AN46" s="86" t="str">
        <f t="shared" si="10"/>
        <v/>
      </c>
      <c r="AO46" s="86" t="str">
        <f t="shared" si="11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8">IF(AG47="","",AG47)</f>
        <v/>
      </c>
      <c r="D47" s="190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>PRD</v>
      </c>
      <c r="AK47" s="93">
        <f>IF(AND(AJ47="NAOI",AJ46="NAOI"),AK46,AD47)</f>
        <v>0</v>
      </c>
      <c r="AL47" s="86" t="str">
        <f t="shared" si="8"/>
        <v/>
      </c>
      <c r="AM47" s="93" t="str">
        <f t="shared" si="9"/>
        <v/>
      </c>
      <c r="AN47" s="86" t="str">
        <f t="shared" si="10"/>
        <v/>
      </c>
      <c r="AO47" s="86" t="str">
        <f t="shared" si="11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8"/>
        <v/>
      </c>
      <c r="D48" s="190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>PRD</v>
      </c>
      <c r="AK48" s="93">
        <f>IF(AND(AJ48="NAOI",AJ47="NAOI"),AK47,AD48)</f>
        <v>0</v>
      </c>
      <c r="AL48" s="86" t="str">
        <f t="shared" si="8"/>
        <v/>
      </c>
      <c r="AM48" s="93" t="str">
        <f t="shared" si="9"/>
        <v/>
      </c>
      <c r="AN48" s="86" t="str">
        <f t="shared" si="10"/>
        <v/>
      </c>
      <c r="AO48" s="86" t="str">
        <f t="shared" si="11"/>
        <v/>
      </c>
      <c r="AP48" s="86">
        <f t="shared" ref="AP48:AP51" si="19">IF(AJ47="S/BM",1,0)</f>
        <v>0</v>
      </c>
    </row>
    <row r="49" spans="1:42" ht="15.75" x14ac:dyDescent="0.25">
      <c r="A49" s="94"/>
      <c r="B49" s="95"/>
      <c r="C49" s="96" t="str">
        <f t="shared" si="18"/>
        <v/>
      </c>
      <c r="D49" s="190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>PRD</v>
      </c>
      <c r="AK49" s="93">
        <f>IF(AND(AJ49="NAOI",AJ48="NAOI"),AK48,AD49)</f>
        <v>0</v>
      </c>
      <c r="AL49" s="86" t="str">
        <f t="shared" si="8"/>
        <v/>
      </c>
      <c r="AM49" s="93" t="str">
        <f t="shared" si="9"/>
        <v/>
      </c>
      <c r="AN49" s="86" t="str">
        <f t="shared" si="10"/>
        <v/>
      </c>
      <c r="AO49" s="86" t="str">
        <f t="shared" si="11"/>
        <v/>
      </c>
      <c r="AP49" s="86">
        <f t="shared" si="19"/>
        <v>0</v>
      </c>
    </row>
    <row r="50" spans="1:42" ht="15.75" x14ac:dyDescent="0.25">
      <c r="A50" s="94"/>
      <c r="B50" s="95"/>
      <c r="C50" s="96" t="str">
        <f t="shared" si="18"/>
        <v/>
      </c>
      <c r="D50" s="190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>PRD</v>
      </c>
      <c r="AK50" s="93">
        <f>IF(AND(AJ50="NAOI",AJ49="NAOI"),AK49,AD50)</f>
        <v>0</v>
      </c>
      <c r="AL50" s="86" t="str">
        <f t="shared" si="8"/>
        <v/>
      </c>
      <c r="AM50" s="93" t="str">
        <f t="shared" si="9"/>
        <v/>
      </c>
      <c r="AN50" s="86" t="str">
        <f t="shared" si="10"/>
        <v/>
      </c>
      <c r="AO50" s="86" t="str">
        <f t="shared" si="11"/>
        <v/>
      </c>
      <c r="AP50" s="86">
        <f t="shared" si="19"/>
        <v>0</v>
      </c>
    </row>
    <row r="51" spans="1:42" ht="16.5" thickBot="1" x14ac:dyDescent="0.3">
      <c r="A51" s="122"/>
      <c r="B51" s="123"/>
      <c r="C51" s="96" t="str">
        <f t="shared" si="18"/>
        <v/>
      </c>
      <c r="D51" s="190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>PRD</v>
      </c>
      <c r="AK51" s="93">
        <f>IF(AND(AJ51="NAOI",AJ50="NAOI"),AK50,AD51)</f>
        <v>0</v>
      </c>
      <c r="AL51" s="86" t="str">
        <f t="shared" si="8"/>
        <v/>
      </c>
      <c r="AM51" s="93" t="str">
        <f t="shared" si="9"/>
        <v/>
      </c>
      <c r="AN51" s="86" t="str">
        <f t="shared" si="10"/>
        <v/>
      </c>
      <c r="AO51" s="86" t="str">
        <f t="shared" si="11"/>
        <v/>
      </c>
      <c r="AP51" s="86">
        <f t="shared" si="19"/>
        <v>0</v>
      </c>
    </row>
    <row r="52" spans="1:42" ht="5.25" customHeight="1" thickBot="1" x14ac:dyDescent="0.25">
      <c r="A52" s="133"/>
      <c r="B52" s="133"/>
      <c r="C52" s="134"/>
      <c r="D52" s="190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v>3.2</v>
      </c>
      <c r="B53" s="136">
        <v>478.90100000000001</v>
      </c>
      <c r="C53" s="137" t="s">
        <v>9</v>
      </c>
      <c r="D53" s="178" t="s">
        <v>6</v>
      </c>
    </row>
    <row r="54" spans="1:42" ht="20.100000000000001" customHeight="1" x14ac:dyDescent="0.2">
      <c r="A54" s="138">
        <v>13</v>
      </c>
      <c r="B54" s="136">
        <v>478.899</v>
      </c>
      <c r="C54" s="139" t="s">
        <v>10</v>
      </c>
      <c r="D54" s="178"/>
    </row>
    <row r="55" spans="1:42" ht="20.100000000000001" customHeight="1" x14ac:dyDescent="0.2">
      <c r="A55" s="140">
        <v>12</v>
      </c>
      <c r="B55" s="141">
        <v>478.346</v>
      </c>
      <c r="C55" s="142" t="s">
        <v>8</v>
      </c>
      <c r="D55" s="178"/>
    </row>
    <row r="56" spans="1:42" ht="20.100000000000001" customHeight="1" x14ac:dyDescent="0.2">
      <c r="A56" s="140">
        <v>12</v>
      </c>
      <c r="B56" s="143">
        <f>B55+2</f>
        <v>480.346</v>
      </c>
      <c r="C56" s="142" t="s">
        <v>8</v>
      </c>
      <c r="D56" s="178"/>
    </row>
    <row r="57" spans="1:42" ht="20.100000000000001" customHeight="1" x14ac:dyDescent="0.2">
      <c r="A57" s="144">
        <v>14</v>
      </c>
      <c r="B57" s="143">
        <v>479.33600000000001</v>
      </c>
      <c r="C57" s="145" t="s">
        <v>2</v>
      </c>
      <c r="D57" s="178"/>
    </row>
    <row r="58" spans="1:42" ht="20.100000000000001" customHeight="1" thickBot="1" x14ac:dyDescent="0.25">
      <c r="A58" s="140">
        <v>14</v>
      </c>
      <c r="B58" s="143">
        <f>B57+1.5</f>
        <v>480.83600000000001</v>
      </c>
      <c r="C58" s="146" t="s">
        <v>2</v>
      </c>
      <c r="D58" s="178"/>
    </row>
    <row r="59" spans="1:42" ht="13.5" thickBot="1" x14ac:dyDescent="0.25">
      <c r="A59" s="147">
        <v>0</v>
      </c>
      <c r="B59" s="148">
        <f>AD32</f>
        <v>0</v>
      </c>
      <c r="C59" s="149" t="s">
        <v>7</v>
      </c>
      <c r="D59" s="150"/>
    </row>
    <row r="60" spans="1:42" ht="13.5" thickBot="1" x14ac:dyDescent="0.25">
      <c r="A60" s="151">
        <f>AF32</f>
        <v>0</v>
      </c>
      <c r="B60" s="148">
        <f>AD32</f>
        <v>0</v>
      </c>
      <c r="C60" s="149" t="s">
        <v>7</v>
      </c>
      <c r="D60" s="150"/>
    </row>
    <row r="61" spans="1:42" ht="18" x14ac:dyDescent="0.25">
      <c r="A61" s="152" t="s">
        <v>70</v>
      </c>
      <c r="B61" s="153"/>
      <c r="C61" s="164"/>
      <c r="D61" s="150"/>
    </row>
    <row r="62" spans="1:42" ht="18" x14ac:dyDescent="0.25">
      <c r="A62" s="152" t="s">
        <v>50</v>
      </c>
      <c r="B62" s="153"/>
      <c r="C62" s="155">
        <f>B55</f>
        <v>478.346</v>
      </c>
      <c r="D62" s="150"/>
    </row>
    <row r="63" spans="1:42" ht="15.75" x14ac:dyDescent="0.25">
      <c r="A63" s="156" t="s">
        <v>51</v>
      </c>
      <c r="B63" s="153"/>
      <c r="C63" s="154"/>
      <c r="D63" s="150"/>
    </row>
    <row r="64" spans="1:42" x14ac:dyDescent="0.2">
      <c r="A64" s="157"/>
      <c r="B64" s="153"/>
      <c r="C64" s="154"/>
      <c r="D64" s="150"/>
    </row>
    <row r="65" spans="1:4" ht="14.25" x14ac:dyDescent="0.2">
      <c r="A65" s="158"/>
      <c r="B65" s="171"/>
      <c r="C65" s="160"/>
      <c r="D65" s="150"/>
    </row>
    <row r="66" spans="1:4" ht="14.25" x14ac:dyDescent="0.2">
      <c r="A66" s="158" t="s">
        <v>52</v>
      </c>
      <c r="B66" s="175" t="s">
        <v>62</v>
      </c>
      <c r="C66" s="175"/>
      <c r="D66" s="150"/>
    </row>
    <row r="67" spans="1:4" ht="14.25" x14ac:dyDescent="0.2">
      <c r="A67" s="158" t="s">
        <v>53</v>
      </c>
      <c r="B67" s="175" t="s">
        <v>63</v>
      </c>
      <c r="C67" s="175"/>
      <c r="D67" s="150"/>
    </row>
    <row r="68" spans="1:4" ht="14.25" x14ac:dyDescent="0.2">
      <c r="A68" s="158" t="s">
        <v>54</v>
      </c>
      <c r="B68" s="179">
        <v>44037120</v>
      </c>
      <c r="C68" s="179"/>
      <c r="D68" s="150"/>
    </row>
    <row r="69" spans="1:4" ht="14.25" x14ac:dyDescent="0.2">
      <c r="A69" s="158" t="s">
        <v>55</v>
      </c>
      <c r="B69" s="175" t="s">
        <v>80</v>
      </c>
      <c r="C69" s="175"/>
    </row>
    <row r="70" spans="1:4" ht="14.25" x14ac:dyDescent="0.2">
      <c r="A70" s="158" t="s">
        <v>57</v>
      </c>
      <c r="B70" s="175" t="s">
        <v>84</v>
      </c>
      <c r="C70" s="175"/>
    </row>
    <row r="71" spans="1:4" ht="14.25" x14ac:dyDescent="0.2">
      <c r="A71" s="158" t="s">
        <v>59</v>
      </c>
      <c r="B71" s="175" t="s">
        <v>60</v>
      </c>
      <c r="C71" s="175"/>
    </row>
    <row r="72" spans="1:4" ht="14.25" x14ac:dyDescent="0.2">
      <c r="A72" s="158" t="s">
        <v>61</v>
      </c>
      <c r="B72" s="176">
        <v>44481</v>
      </c>
      <c r="C72" s="176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67" priority="80" stopIfTrue="1">
      <formula>$AP$47=1</formula>
    </cfRule>
  </conditionalFormatting>
  <conditionalFormatting sqref="AC46:AF46">
    <cfRule type="expression" dxfId="66" priority="79" stopIfTrue="1">
      <formula>$AP$46</formula>
    </cfRule>
  </conditionalFormatting>
  <conditionalFormatting sqref="AC50:AF50">
    <cfRule type="expression" dxfId="65" priority="78" stopIfTrue="1">
      <formula>$AP$50=1</formula>
    </cfRule>
  </conditionalFormatting>
  <conditionalFormatting sqref="AC51:AF51">
    <cfRule type="expression" dxfId="64" priority="77" stopIfTrue="1">
      <formula>$AP$51=1</formula>
    </cfRule>
  </conditionalFormatting>
  <conditionalFormatting sqref="AC49:AF49">
    <cfRule type="expression" dxfId="63" priority="76" stopIfTrue="1">
      <formula>$AP$49=1</formula>
    </cfRule>
  </conditionalFormatting>
  <conditionalFormatting sqref="AC48:AF48">
    <cfRule type="expression" dxfId="62" priority="75" stopIfTrue="1">
      <formula>$AP$48=1</formula>
    </cfRule>
  </conditionalFormatting>
  <conditionalFormatting sqref="AC45:AF45">
    <cfRule type="expression" dxfId="61" priority="74" stopIfTrue="1">
      <formula>$AP$45=1</formula>
    </cfRule>
  </conditionalFormatting>
  <conditionalFormatting sqref="AC44:AF44">
    <cfRule type="expression" dxfId="60" priority="73" stopIfTrue="1">
      <formula>$AP$44=1</formula>
    </cfRule>
  </conditionalFormatting>
  <conditionalFormatting sqref="AC43:AF43">
    <cfRule type="expression" dxfId="59" priority="72" stopIfTrue="1">
      <formula>$AP$43=1</formula>
    </cfRule>
  </conditionalFormatting>
  <conditionalFormatting sqref="AC42:AF42">
    <cfRule type="expression" dxfId="58" priority="71" stopIfTrue="1">
      <formula>$AP$42=1</formula>
    </cfRule>
  </conditionalFormatting>
  <conditionalFormatting sqref="AC41:AF41">
    <cfRule type="expression" dxfId="57" priority="70" stopIfTrue="1">
      <formula>$AP$41=1</formula>
    </cfRule>
  </conditionalFormatting>
  <conditionalFormatting sqref="AC40:AF40">
    <cfRule type="expression" dxfId="56" priority="69" stopIfTrue="1">
      <formula>$AP$40=1</formula>
    </cfRule>
  </conditionalFormatting>
  <conditionalFormatting sqref="AC30:AC39">
    <cfRule type="expression" dxfId="55" priority="58" stopIfTrue="1">
      <formula>$AP$30</formula>
    </cfRule>
  </conditionalFormatting>
  <conditionalFormatting sqref="AC29">
    <cfRule type="expression" dxfId="54" priority="57" stopIfTrue="1">
      <formula>$AP$29=1</formula>
    </cfRule>
  </conditionalFormatting>
  <conditionalFormatting sqref="AC28:AD28 AF28:AF39">
    <cfRule type="expression" dxfId="53" priority="56" stopIfTrue="1">
      <formula>$AP$28=1</formula>
    </cfRule>
  </conditionalFormatting>
  <conditionalFormatting sqref="AC27:AD27 AF27">
    <cfRule type="expression" dxfId="52" priority="55" stopIfTrue="1">
      <formula>$AP$27=1</formula>
    </cfRule>
  </conditionalFormatting>
  <conditionalFormatting sqref="AC26:AD26 AF26 AD29:AD39">
    <cfRule type="expression" dxfId="51" priority="54" stopIfTrue="1">
      <formula>$AP$26=1</formula>
    </cfRule>
  </conditionalFormatting>
  <conditionalFormatting sqref="AC25:AD25 AF25">
    <cfRule type="expression" dxfId="50" priority="53" stopIfTrue="1">
      <formula>$AP$25=1</formula>
    </cfRule>
  </conditionalFormatting>
  <conditionalFormatting sqref="AC24:AD24 AF24">
    <cfRule type="expression" dxfId="49" priority="52" stopIfTrue="1">
      <formula>$AP$24=1</formula>
    </cfRule>
  </conditionalFormatting>
  <conditionalFormatting sqref="AC23:AD23 AF23">
    <cfRule type="expression" dxfId="48" priority="51" stopIfTrue="1">
      <formula>$AP$23=1</formula>
    </cfRule>
  </conditionalFormatting>
  <conditionalFormatting sqref="AC22:AD22 AF22">
    <cfRule type="expression" dxfId="47" priority="50" stopIfTrue="1">
      <formula>$AP$22=1</formula>
    </cfRule>
  </conditionalFormatting>
  <conditionalFormatting sqref="AC21:AD21 AF21">
    <cfRule type="expression" dxfId="46" priority="49" stopIfTrue="1">
      <formula>$AP$21=1</formula>
    </cfRule>
  </conditionalFormatting>
  <conditionalFormatting sqref="AC20:AD20 AF20">
    <cfRule type="expression" dxfId="45" priority="48" stopIfTrue="1">
      <formula>$AP$20=1</formula>
    </cfRule>
  </conditionalFormatting>
  <conditionalFormatting sqref="AC19:AD19 AF19">
    <cfRule type="expression" dxfId="44" priority="47" stopIfTrue="1">
      <formula>$AP$19=1</formula>
    </cfRule>
  </conditionalFormatting>
  <conditionalFormatting sqref="AC18:AD18 AF18">
    <cfRule type="expression" dxfId="43" priority="46" stopIfTrue="1">
      <formula>$AP$18=1</formula>
    </cfRule>
  </conditionalFormatting>
  <conditionalFormatting sqref="AC17:AD17 AF17">
    <cfRule type="expression" dxfId="42" priority="45" stopIfTrue="1">
      <formula>$AP$17=1</formula>
    </cfRule>
  </conditionalFormatting>
  <conditionalFormatting sqref="AC16:AD16 AF16">
    <cfRule type="expression" dxfId="41" priority="44" stopIfTrue="1">
      <formula>$AP$16=1</formula>
    </cfRule>
  </conditionalFormatting>
  <conditionalFormatting sqref="AC15:AD15 AF15">
    <cfRule type="expression" dxfId="40" priority="43" stopIfTrue="1">
      <formula>$AP$15=1</formula>
    </cfRule>
  </conditionalFormatting>
  <conditionalFormatting sqref="AC14:AD14 AF14">
    <cfRule type="expression" dxfId="39" priority="42" stopIfTrue="1">
      <formula>$AP$14=1</formula>
    </cfRule>
  </conditionalFormatting>
  <conditionalFormatting sqref="AC13:AD13 AF13">
    <cfRule type="expression" dxfId="38" priority="41" stopIfTrue="1">
      <formula>$AP$13=1</formula>
    </cfRule>
  </conditionalFormatting>
  <conditionalFormatting sqref="AC12:AD12 AF12">
    <cfRule type="expression" dxfId="37" priority="40" stopIfTrue="1">
      <formula>$AP$12=1</formula>
    </cfRule>
  </conditionalFormatting>
  <conditionalFormatting sqref="AC11:AF11 AE12:AE39">
    <cfRule type="expression" dxfId="36" priority="39" stopIfTrue="1">
      <formula>$AP$11=1</formula>
    </cfRule>
  </conditionalFormatting>
  <conditionalFormatting sqref="A51:B51">
    <cfRule type="expression" dxfId="35" priority="38" stopIfTrue="1">
      <formula>$AP$51=1</formula>
    </cfRule>
  </conditionalFormatting>
  <conditionalFormatting sqref="A50:B50">
    <cfRule type="expression" dxfId="34" priority="37" stopIfTrue="1">
      <formula>$AP$50=1</formula>
    </cfRule>
  </conditionalFormatting>
  <conditionalFormatting sqref="A49:B49">
    <cfRule type="expression" dxfId="33" priority="36" stopIfTrue="1">
      <formula>$AP$49=1</formula>
    </cfRule>
  </conditionalFormatting>
  <conditionalFormatting sqref="A48:B48">
    <cfRule type="expression" dxfId="32" priority="35" stopIfTrue="1">
      <formula>$AP$48=1</formula>
    </cfRule>
  </conditionalFormatting>
  <conditionalFormatting sqref="A47:B47">
    <cfRule type="expression" dxfId="31" priority="34" stopIfTrue="1">
      <formula>$AP$47=1</formula>
    </cfRule>
  </conditionalFormatting>
  <conditionalFormatting sqref="A46:B46">
    <cfRule type="expression" dxfId="30" priority="33" stopIfTrue="1">
      <formula>$AP$46=1</formula>
    </cfRule>
  </conditionalFormatting>
  <conditionalFormatting sqref="A45:B45">
    <cfRule type="expression" dxfId="29" priority="32" stopIfTrue="1">
      <formula>$AP$45=1</formula>
    </cfRule>
  </conditionalFormatting>
  <conditionalFormatting sqref="A44:B44">
    <cfRule type="expression" dxfId="28" priority="31" stopIfTrue="1">
      <formula>$AP$44=1</formula>
    </cfRule>
  </conditionalFormatting>
  <conditionalFormatting sqref="A43:B43">
    <cfRule type="expression" dxfId="27" priority="30" stopIfTrue="1">
      <formula>$AP$43=1</formula>
    </cfRule>
  </conditionalFormatting>
  <conditionalFormatting sqref="A42:B42">
    <cfRule type="expression" dxfId="26" priority="29" stopIfTrue="1">
      <formula>$AP$42=1</formula>
    </cfRule>
  </conditionalFormatting>
  <conditionalFormatting sqref="A41:B41">
    <cfRule type="expression" dxfId="25" priority="28" stopIfTrue="1">
      <formula>$AP$41=1</formula>
    </cfRule>
  </conditionalFormatting>
  <conditionalFormatting sqref="A40:B40">
    <cfRule type="expression" dxfId="24" priority="27" stopIfTrue="1">
      <formula>$AP$40=1</formula>
    </cfRule>
  </conditionalFormatting>
  <conditionalFormatting sqref="A39:B39">
    <cfRule type="expression" dxfId="23" priority="26" stopIfTrue="1">
      <formula>$AP$39=1</formula>
    </cfRule>
  </conditionalFormatting>
  <conditionalFormatting sqref="A38:B38">
    <cfRule type="expression" dxfId="22" priority="25" stopIfTrue="1">
      <formula>$AP$38=1</formula>
    </cfRule>
  </conditionalFormatting>
  <conditionalFormatting sqref="A37:B37">
    <cfRule type="expression" dxfId="21" priority="24" stopIfTrue="1">
      <formula>$AP$37=1</formula>
    </cfRule>
  </conditionalFormatting>
  <conditionalFormatting sqref="A36:B36">
    <cfRule type="expression" dxfId="20" priority="23" stopIfTrue="1">
      <formula>$AP$36=1</formula>
    </cfRule>
  </conditionalFormatting>
  <conditionalFormatting sqref="A28:B28">
    <cfRule type="expression" dxfId="19" priority="20" stopIfTrue="1">
      <formula>$AP$28=1</formula>
    </cfRule>
  </conditionalFormatting>
  <conditionalFormatting sqref="A27:B27 A29:B34">
    <cfRule type="expression" dxfId="18" priority="19" stopIfTrue="1">
      <formula>$AP$27=1</formula>
    </cfRule>
  </conditionalFormatting>
  <conditionalFormatting sqref="A26:B26">
    <cfRule type="expression" dxfId="17" priority="18" stopIfTrue="1">
      <formula>$AP$26=1</formula>
    </cfRule>
  </conditionalFormatting>
  <conditionalFormatting sqref="A25:B25">
    <cfRule type="expression" dxfId="16" priority="17" stopIfTrue="1">
      <formula>$AP$25=1</formula>
    </cfRule>
  </conditionalFormatting>
  <conditionalFormatting sqref="A24:B24">
    <cfRule type="expression" dxfId="15" priority="16" stopIfTrue="1">
      <formula>$AP$24=1</formula>
    </cfRule>
  </conditionalFormatting>
  <conditionalFormatting sqref="A23:B23">
    <cfRule type="expression" dxfId="14" priority="15" stopIfTrue="1">
      <formula>$AP$23=1</formula>
    </cfRule>
  </conditionalFormatting>
  <conditionalFormatting sqref="A22:B22">
    <cfRule type="expression" dxfId="13" priority="14" stopIfTrue="1">
      <formula>$AP$22=1</formula>
    </cfRule>
  </conditionalFormatting>
  <conditionalFormatting sqref="A21:B21">
    <cfRule type="expression" dxfId="12" priority="13" stopIfTrue="1">
      <formula>$AP$21=1</formula>
    </cfRule>
  </conditionalFormatting>
  <conditionalFormatting sqref="A20:B20">
    <cfRule type="expression" dxfId="11" priority="12" stopIfTrue="1">
      <formula>$AP$20=1</formula>
    </cfRule>
  </conditionalFormatting>
  <conditionalFormatting sqref="A19:B19">
    <cfRule type="expression" dxfId="10" priority="11" stopIfTrue="1">
      <formula>$AP$19=1</formula>
    </cfRule>
  </conditionalFormatting>
  <conditionalFormatting sqref="A18:B18">
    <cfRule type="expression" dxfId="9" priority="10" stopIfTrue="1">
      <formula>$AP$18=1</formula>
    </cfRule>
  </conditionalFormatting>
  <conditionalFormatting sqref="A17:B17">
    <cfRule type="expression" dxfId="8" priority="9" stopIfTrue="1">
      <formula>$AP$17=1</formula>
    </cfRule>
  </conditionalFormatting>
  <conditionalFormatting sqref="A16:B16">
    <cfRule type="expression" dxfId="7" priority="8" stopIfTrue="1">
      <formula>$AP$16=1</formula>
    </cfRule>
  </conditionalFormatting>
  <conditionalFormatting sqref="A15:B15">
    <cfRule type="expression" dxfId="6" priority="7" stopIfTrue="1">
      <formula>$AP$15=1</formula>
    </cfRule>
  </conditionalFormatting>
  <conditionalFormatting sqref="A14:B14">
    <cfRule type="expression" dxfId="5" priority="6" stopIfTrue="1">
      <formula>$AP$14=1</formula>
    </cfRule>
  </conditionalFormatting>
  <conditionalFormatting sqref="A13:B13">
    <cfRule type="expression" dxfId="4" priority="5" stopIfTrue="1">
      <formula>$AP$13=1</formula>
    </cfRule>
  </conditionalFormatting>
  <conditionalFormatting sqref="A12:B12">
    <cfRule type="expression" dxfId="3" priority="4" stopIfTrue="1">
      <formula>$AP$12=1</formula>
    </cfRule>
  </conditionalFormatting>
  <conditionalFormatting sqref="A11:B11">
    <cfRule type="expression" dxfId="2" priority="3" stopIfTrue="1">
      <formula>$AP$11=1</formula>
    </cfRule>
  </conditionalFormatting>
  <conditionalFormatting sqref="A10:B10">
    <cfRule type="expression" dxfId="1" priority="2" stopIfTrue="1">
      <formula>$AP$10=1</formula>
    </cfRule>
  </conditionalFormatting>
  <conditionalFormatting sqref="A35:B35">
    <cfRule type="expression" dxfId="0" priority="1" stopIfTrue="1">
      <formula>$AP$31=1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38</vt:i4>
      </vt:variant>
    </vt:vector>
  </HeadingPairs>
  <TitlesOfParts>
    <vt:vector size="38" baseType="lpstr">
      <vt:lpstr>Fecha 1995-07-09</vt:lpstr>
      <vt:lpstr>Fecha 1997-03-05</vt:lpstr>
      <vt:lpstr>Fecha 1998-06-10</vt:lpstr>
      <vt:lpstr>Fecha 1998-10-04</vt:lpstr>
      <vt:lpstr>Fecha 1999-10-25</vt:lpstr>
      <vt:lpstr>Fecha 2000-12-12</vt:lpstr>
      <vt:lpstr>Fecha 2001-12-05</vt:lpstr>
      <vt:lpstr>Fecha 2003-09-10</vt:lpstr>
      <vt:lpstr>Fecha 2005-04-15</vt:lpstr>
      <vt:lpstr>Fecha 2006-10-27</vt:lpstr>
      <vt:lpstr>Fecha 2007-11-01</vt:lpstr>
      <vt:lpstr>Fecha 2007-03-23</vt:lpstr>
      <vt:lpstr>Fecha 2009-03-22</vt:lpstr>
      <vt:lpstr>Fecha 2009-11-29</vt:lpstr>
      <vt:lpstr>Fecha 2010-03-22</vt:lpstr>
      <vt:lpstr>Fecha 2010-05-14</vt:lpstr>
      <vt:lpstr>Fecha 2010-10-09</vt:lpstr>
      <vt:lpstr>Fecha 2011-03-06</vt:lpstr>
      <vt:lpstr>Fecha 2011-08-28</vt:lpstr>
      <vt:lpstr>Fecha 2011-12-06</vt:lpstr>
      <vt:lpstr>Fecha 2013-05-29</vt:lpstr>
      <vt:lpstr>Fecha 2013-10-01</vt:lpstr>
      <vt:lpstr>Fecha 2014-06-25</vt:lpstr>
      <vt:lpstr>Fecha 2014-11-22</vt:lpstr>
      <vt:lpstr>Fecha 2015-05-12</vt:lpstr>
      <vt:lpstr>Fecha 2015-11-16</vt:lpstr>
      <vt:lpstr>2016-05-19</vt:lpstr>
      <vt:lpstr>2016-07-23</vt:lpstr>
      <vt:lpstr>2016-09-15</vt:lpstr>
      <vt:lpstr>PLANTILLA NAOI-NAOD</vt:lpstr>
      <vt:lpstr>2017-03-24</vt:lpstr>
      <vt:lpstr>2017-09-11</vt:lpstr>
      <vt:lpstr>2018-04-04</vt:lpstr>
      <vt:lpstr>2018-07-19</vt:lpstr>
      <vt:lpstr>2019-03-13</vt:lpstr>
      <vt:lpstr>2019-07-20</vt:lpstr>
      <vt:lpstr>2020-03-04</vt:lpstr>
      <vt:lpstr>2021-10-12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Jairo Ramos Montenegro</cp:lastModifiedBy>
  <cp:lastPrinted>2011-07-08T13:20:35Z</cp:lastPrinted>
  <dcterms:created xsi:type="dcterms:W3CDTF">1999-11-17T15:55:19Z</dcterms:created>
  <dcterms:modified xsi:type="dcterms:W3CDTF">2022-02-08T21:44:02Z</dcterms:modified>
</cp:coreProperties>
</file>