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charts/chart11.xml" ContentType="application/vnd.openxmlformats-officedocument.drawingml.chart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2.xml" ContentType="application/vnd.openxmlformats-officedocument.drawingml.chart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harts/chart14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5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16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17.xml" ContentType="application/vnd.openxmlformats-officedocument.drawingml.chart+xml"/>
  <Override PartName="/xl/drawings/drawing34.xml" ContentType="application/vnd.openxmlformats-officedocument.drawingml.chartshapes+xml"/>
  <Override PartName="/xl/drawings/drawing35.xml" ContentType="application/vnd.openxmlformats-officedocument.drawing+xml"/>
  <Override PartName="/xl/charts/chart18.xml" ContentType="application/vnd.openxmlformats-officedocument.drawingml.chart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19.xml" ContentType="application/vnd.openxmlformats-officedocument.drawingml.chart+xml"/>
  <Override PartName="/xl/drawings/drawing38.xml" ContentType="application/vnd.openxmlformats-officedocument.drawingml.chartshapes+xml"/>
  <Override PartName="/xl/drawings/drawing39.xml" ContentType="application/vnd.openxmlformats-officedocument.drawing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drawings/drawing41.xml" ContentType="application/vnd.openxmlformats-officedocument.drawing+xml"/>
  <Override PartName="/xl/charts/chart21.xml" ContentType="application/vnd.openxmlformats-officedocument.drawingml.chart+xml"/>
  <Override PartName="/xl/drawings/drawing42.xml" ContentType="application/vnd.openxmlformats-officedocument.drawingml.chartshapes+xml"/>
  <Override PartName="/xl/drawings/drawing43.xml" ContentType="application/vnd.openxmlformats-officedocument.drawing+xml"/>
  <Override PartName="/xl/charts/chart22.xml" ContentType="application/vnd.openxmlformats-officedocument.drawingml.chart+xml"/>
  <Override PartName="/xl/drawings/drawing44.xml" ContentType="application/vnd.openxmlformats-officedocument.drawingml.chartshapes+xml"/>
  <Override PartName="/xl/drawings/drawing45.xml" ContentType="application/vnd.openxmlformats-officedocument.drawing+xml"/>
  <Override PartName="/xl/charts/chart23.xml" ContentType="application/vnd.openxmlformats-officedocument.drawingml.chart+xml"/>
  <Override PartName="/xl/drawings/drawing46.xml" ContentType="application/vnd.openxmlformats-officedocument.drawingml.chartshapes+xml"/>
  <Override PartName="/xl/drawings/drawing47.xml" ContentType="application/vnd.openxmlformats-officedocument.drawing+xml"/>
  <Override PartName="/xl/charts/chart24.xml" ContentType="application/vnd.openxmlformats-officedocument.drawingml.chart+xml"/>
  <Override PartName="/xl/drawings/drawing48.xml" ContentType="application/vnd.openxmlformats-officedocument.drawingml.chartshapes+xml"/>
  <Override PartName="/xl/drawings/drawing49.xml" ContentType="application/vnd.openxmlformats-officedocument.drawing+xml"/>
  <Override PartName="/xl/charts/chart25.xml" ContentType="application/vnd.openxmlformats-officedocument.drawingml.chart+xml"/>
  <Override PartName="/xl/drawings/drawing50.xml" ContentType="application/vnd.openxmlformats-officedocument.drawingml.chartshapes+xml"/>
  <Override PartName="/xl/drawings/drawing51.xml" ContentType="application/vnd.openxmlformats-officedocument.drawing+xml"/>
  <Override PartName="/xl/charts/chart26.xml" ContentType="application/vnd.openxmlformats-officedocument.drawingml.chart+xml"/>
  <Override PartName="/xl/drawings/drawing52.xml" ContentType="application/vnd.openxmlformats-officedocument.drawingml.chartshapes+xml"/>
  <Override PartName="/xl/drawings/drawing53.xml" ContentType="application/vnd.openxmlformats-officedocument.drawing+xml"/>
  <Override PartName="/xl/charts/chart27.xml" ContentType="application/vnd.openxmlformats-officedocument.drawingml.chart+xml"/>
  <Override PartName="/xl/drawings/drawing54.xml" ContentType="application/vnd.openxmlformats-officedocument.drawingml.chartshapes+xml"/>
  <Override PartName="/xl/drawings/drawing55.xml" ContentType="application/vnd.openxmlformats-officedocument.drawing+xml"/>
  <Override PartName="/xl/charts/chart28.xml" ContentType="application/vnd.openxmlformats-officedocument.drawingml.chart+xml"/>
  <Override PartName="/xl/drawings/drawing56.xml" ContentType="application/vnd.openxmlformats-officedocument.drawingml.chartshapes+xml"/>
  <Override PartName="/xl/drawings/drawing57.xml" ContentType="application/vnd.openxmlformats-officedocument.drawing+xml"/>
  <Override PartName="/xl/charts/chart29.xml" ContentType="application/vnd.openxmlformats-officedocument.drawingml.chart+xml"/>
  <Override PartName="/xl/drawings/drawing58.xml" ContentType="application/vnd.openxmlformats-officedocument.drawingml.chartshapes+xml"/>
  <Override PartName="/xl/drawings/drawing59.xml" ContentType="application/vnd.openxmlformats-officedocument.drawing+xml"/>
  <Override PartName="/xl/charts/chart30.xml" ContentType="application/vnd.openxmlformats-officedocument.drawingml.chart+xml"/>
  <Override PartName="/xl/drawings/drawing60.xml" ContentType="application/vnd.openxmlformats-officedocument.drawingml.chartshapes+xml"/>
  <Override PartName="/xl/drawings/drawing61.xml" ContentType="application/vnd.openxmlformats-officedocument.drawing+xml"/>
  <Override PartName="/xl/charts/chart31.xml" ContentType="application/vnd.openxmlformats-officedocument.drawingml.chart+xml"/>
  <Override PartName="/xl/drawings/drawing62.xml" ContentType="application/vnd.openxmlformats-officedocument.drawingml.chartshapes+xml"/>
  <Override PartName="/xl/drawings/drawing63.xml" ContentType="application/vnd.openxmlformats-officedocument.drawing+xml"/>
  <Override PartName="/xl/charts/chart32.xml" ContentType="application/vnd.openxmlformats-officedocument.drawingml.chart+xml"/>
  <Override PartName="/xl/drawings/drawing64.xml" ContentType="application/vnd.openxmlformats-officedocument.drawingml.chartshapes+xml"/>
  <Override PartName="/xl/drawings/drawing65.xml" ContentType="application/vnd.openxmlformats-officedocument.drawing+xml"/>
  <Override PartName="/xl/charts/chart33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charts/chart34.xml" ContentType="application/vnd.openxmlformats-officedocument.drawingml.chart+xml"/>
  <Override PartName="/xl/drawings/drawing68.xml" ContentType="application/vnd.openxmlformats-officedocument.drawingml.chartshapes+xml"/>
  <Override PartName="/xl/drawings/drawing69.xml" ContentType="application/vnd.openxmlformats-officedocument.drawing+xml"/>
  <Override PartName="/xl/charts/chart35.xml" ContentType="application/vnd.openxmlformats-officedocument.drawingml.chart+xml"/>
  <Override PartName="/xl/drawings/drawing70.xml" ContentType="application/vnd.openxmlformats-officedocument.drawingml.chartshapes+xml"/>
  <Override PartName="/xl/drawings/drawing71.xml" ContentType="application/vnd.openxmlformats-officedocument.drawing+xml"/>
  <Override PartName="/xl/charts/chart36.xml" ContentType="application/vnd.openxmlformats-officedocument.drawingml.chart+xml"/>
  <Override PartName="/xl/drawings/drawing72.xml" ContentType="application/vnd.openxmlformats-officedocument.drawingml.chartshapes+xml"/>
  <Override PartName="/xl/drawings/drawing73.xml" ContentType="application/vnd.openxmlformats-officedocument.drawing+xml"/>
  <Override PartName="/xl/charts/chart37.xml" ContentType="application/vnd.openxmlformats-officedocument.drawingml.chart+xml"/>
  <Override PartName="/xl/drawings/drawing7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sanchez\Documents\IDEAM2022_PS\6- PERFILES_TRANSVERSALES\04\JRAMOS_080622\caqueta\"/>
    </mc:Choice>
  </mc:AlternateContent>
  <bookViews>
    <workbookView xWindow="0" yWindow="0" windowWidth="20490" windowHeight="7665" tabRatio="852" firstSheet="33" activeTab="36"/>
  </bookViews>
  <sheets>
    <sheet name="Fecha 1995-07-07" sheetId="31" r:id="rId1"/>
    <sheet name="Fecha 1997-03-08" sheetId="26" r:id="rId2"/>
    <sheet name="Fecha 1998-02-03" sheetId="27" r:id="rId3"/>
    <sheet name="Fecha 1998-10-05" sheetId="28" r:id="rId4"/>
    <sheet name="Fecha 1999-10-28" sheetId="29" r:id="rId5"/>
    <sheet name="Fecha 2000-12-18" sheetId="30" r:id="rId6"/>
    <sheet name="Fecha 2003-09-11" sheetId="22" r:id="rId7"/>
    <sheet name="Fecha 2005-04-12" sheetId="23" r:id="rId8"/>
    <sheet name="Fecha 2006-10-19" sheetId="21" r:id="rId9"/>
    <sheet name="FECHA 2007-03-16" sheetId="24" r:id="rId10"/>
    <sheet name="Fecha 2007-10-27" sheetId="20" r:id="rId11"/>
    <sheet name="Fecha 2009-03-20" sheetId="25" r:id="rId12"/>
    <sheet name="Fecha 2009-11-27" sheetId="37" r:id="rId13"/>
    <sheet name="Fecha 2010-03-21" sheetId="39" r:id="rId14"/>
    <sheet name="Fecha 2010-05-19" sheetId="38" r:id="rId15"/>
    <sheet name="Fecha 2010-10-08" sheetId="40" r:id="rId16"/>
    <sheet name="Fecha 2011-03-11" sheetId="41" r:id="rId17"/>
    <sheet name="Fecha 2011-09-03" sheetId="42" r:id="rId18"/>
    <sheet name="Fecha 2011-12-02" sheetId="43" r:id="rId19"/>
    <sheet name="Fecha 2013-06-13" sheetId="45" r:id="rId20"/>
    <sheet name="Fecha 2013-09-25" sheetId="44" r:id="rId21"/>
    <sheet name="Fecha 2014-07-01" sheetId="46" r:id="rId22"/>
    <sheet name="Fecha 2014-11-15" sheetId="47" r:id="rId23"/>
    <sheet name="Fecha 2015-05-06" sheetId="50" r:id="rId24"/>
    <sheet name="Fecha 2015-11-11" sheetId="49" r:id="rId25"/>
    <sheet name="Fecha 2016-05-18" sheetId="52" r:id="rId26"/>
    <sheet name="Fecha 2016-07-19" sheetId="51" r:id="rId27"/>
    <sheet name="PLANTILLA NAOI-NAOD" sheetId="53" r:id="rId28"/>
    <sheet name="2017-3-16" sheetId="54" r:id="rId29"/>
    <sheet name="2017-9-7" sheetId="55" r:id="rId30"/>
    <sheet name="2018-04-02" sheetId="56" r:id="rId31"/>
    <sheet name="2018-10-8" sheetId="57" r:id="rId32"/>
    <sheet name="2019-03-11" sheetId="60" r:id="rId33"/>
    <sheet name="2019-5-21" sheetId="61" r:id="rId34"/>
    <sheet name="2019-07-09" sheetId="62" r:id="rId35"/>
    <sheet name="2020-03-03" sheetId="64" r:id="rId36"/>
    <sheet name="2021-10-11" sheetId="65" r:id="rId37"/>
  </sheets>
  <calcPr calcId="162913"/>
</workbook>
</file>

<file path=xl/calcChain.xml><?xml version="1.0" encoding="utf-8"?>
<calcChain xmlns="http://schemas.openxmlformats.org/spreadsheetml/2006/main">
  <c r="AC6" i="65" l="1"/>
  <c r="C62" i="65"/>
  <c r="B58" i="65"/>
  <c r="B56" i="65"/>
  <c r="AO51" i="65"/>
  <c r="AN51" i="65"/>
  <c r="AM51" i="65"/>
  <c r="AL51" i="65"/>
  <c r="AI51" i="65"/>
  <c r="C51" i="65"/>
  <c r="AO50" i="65"/>
  <c r="AN50" i="65"/>
  <c r="AM50" i="65"/>
  <c r="AL50" i="65"/>
  <c r="AI50" i="65"/>
  <c r="C50" i="65"/>
  <c r="AO49" i="65"/>
  <c r="AN49" i="65"/>
  <c r="AM49" i="65"/>
  <c r="AL49" i="65"/>
  <c r="AI49" i="65"/>
  <c r="C49" i="65"/>
  <c r="AO48" i="65"/>
  <c r="AN48" i="65"/>
  <c r="AM48" i="65"/>
  <c r="AL48" i="65"/>
  <c r="AI48" i="65"/>
  <c r="C48" i="65"/>
  <c r="AO47" i="65"/>
  <c r="AN47" i="65"/>
  <c r="AM47" i="65"/>
  <c r="AL47" i="65"/>
  <c r="AI47" i="65"/>
  <c r="C47" i="65"/>
  <c r="AO46" i="65"/>
  <c r="AN46" i="65"/>
  <c r="AM46" i="65"/>
  <c r="AL46" i="65"/>
  <c r="AI46" i="65"/>
  <c r="C46" i="65"/>
  <c r="AO45" i="65"/>
  <c r="AN45" i="65"/>
  <c r="AM45" i="65"/>
  <c r="AL45" i="65"/>
  <c r="AI45" i="65"/>
  <c r="C45" i="65"/>
  <c r="AO44" i="65"/>
  <c r="AN44" i="65"/>
  <c r="AM44" i="65"/>
  <c r="AL44" i="65"/>
  <c r="AI44" i="65"/>
  <c r="C44" i="65"/>
  <c r="AO43" i="65"/>
  <c r="AN43" i="65"/>
  <c r="AM43" i="65"/>
  <c r="AL43" i="65"/>
  <c r="AI43" i="65"/>
  <c r="C43" i="65"/>
  <c r="AO42" i="65"/>
  <c r="AN42" i="65"/>
  <c r="AM42" i="65"/>
  <c r="AL42" i="65"/>
  <c r="AI42" i="65"/>
  <c r="C42" i="65"/>
  <c r="AO41" i="65"/>
  <c r="AN41" i="65"/>
  <c r="AM41" i="65"/>
  <c r="AL41" i="65"/>
  <c r="AI41" i="65"/>
  <c r="AO40" i="65"/>
  <c r="AN40" i="65"/>
  <c r="AM40" i="65"/>
  <c r="AL40" i="65"/>
  <c r="AI40" i="65"/>
  <c r="C40" i="65"/>
  <c r="AO39" i="65"/>
  <c r="AN39" i="65"/>
  <c r="AM39" i="65"/>
  <c r="AL39" i="65"/>
  <c r="AI39" i="65"/>
  <c r="C39" i="65"/>
  <c r="AO38" i="65"/>
  <c r="AN38" i="65"/>
  <c r="AM38" i="65"/>
  <c r="AL38" i="65"/>
  <c r="C38" i="65"/>
  <c r="AO37" i="65"/>
  <c r="AN37" i="65"/>
  <c r="AM37" i="65"/>
  <c r="AL37" i="65"/>
  <c r="C37" i="65"/>
  <c r="AO36" i="65"/>
  <c r="AN36" i="65"/>
  <c r="AM36" i="65"/>
  <c r="AL36" i="65"/>
  <c r="C36" i="65"/>
  <c r="AO35" i="65"/>
  <c r="AN35" i="65"/>
  <c r="AM35" i="65"/>
  <c r="AL35" i="65"/>
  <c r="C35" i="65"/>
  <c r="AO34" i="65"/>
  <c r="AN34" i="65"/>
  <c r="AM34" i="65"/>
  <c r="AL34" i="65"/>
  <c r="C34" i="65"/>
  <c r="AO33" i="65"/>
  <c r="AN33" i="65"/>
  <c r="AM33" i="65"/>
  <c r="AL33" i="65"/>
  <c r="C33" i="65"/>
  <c r="AN32" i="65"/>
  <c r="AM32" i="65"/>
  <c r="AL32" i="65"/>
  <c r="C32" i="65"/>
  <c r="AO31" i="65"/>
  <c r="AN31" i="65"/>
  <c r="AM31" i="65"/>
  <c r="AL31" i="65"/>
  <c r="C31" i="65"/>
  <c r="AO30" i="65"/>
  <c r="AN30" i="65"/>
  <c r="AM30" i="65"/>
  <c r="AL30" i="65"/>
  <c r="C30" i="65"/>
  <c r="AM29" i="65"/>
  <c r="AL29" i="65"/>
  <c r="C29" i="65"/>
  <c r="AM28" i="65"/>
  <c r="AL28" i="65"/>
  <c r="C28" i="65"/>
  <c r="AO27" i="65"/>
  <c r="AN27" i="65"/>
  <c r="AM27" i="65"/>
  <c r="AL27" i="65"/>
  <c r="C27" i="65"/>
  <c r="AO26" i="65"/>
  <c r="AN26" i="65"/>
  <c r="AM26" i="65"/>
  <c r="AL26" i="65"/>
  <c r="C26" i="65"/>
  <c r="AO25" i="65"/>
  <c r="AN25" i="65"/>
  <c r="AM25" i="65"/>
  <c r="AL25" i="65"/>
  <c r="C25" i="65"/>
  <c r="AO24" i="65"/>
  <c r="AN24" i="65"/>
  <c r="AM24" i="65"/>
  <c r="AL24" i="65"/>
  <c r="C24" i="65"/>
  <c r="AO23" i="65"/>
  <c r="AN23" i="65"/>
  <c r="AM23" i="65"/>
  <c r="AL23" i="65"/>
  <c r="C23" i="65"/>
  <c r="AO22" i="65"/>
  <c r="AN22" i="65"/>
  <c r="AM22" i="65"/>
  <c r="AL22" i="65"/>
  <c r="C22" i="65"/>
  <c r="AO21" i="65"/>
  <c r="AN21" i="65"/>
  <c r="AM21" i="65"/>
  <c r="AL21" i="65"/>
  <c r="C21" i="65"/>
  <c r="AO20" i="65"/>
  <c r="AN20" i="65"/>
  <c r="AM20" i="65"/>
  <c r="AL20" i="65"/>
  <c r="C20" i="65"/>
  <c r="AO19" i="65"/>
  <c r="AN19" i="65"/>
  <c r="AM19" i="65"/>
  <c r="AL19" i="65"/>
  <c r="C19" i="65"/>
  <c r="AO18" i="65"/>
  <c r="AN18" i="65"/>
  <c r="AM18" i="65"/>
  <c r="AL18" i="65"/>
  <c r="C18" i="65"/>
  <c r="AO17" i="65"/>
  <c r="AN17" i="65"/>
  <c r="AM17" i="65"/>
  <c r="AL17" i="65"/>
  <c r="C17" i="65"/>
  <c r="AO16" i="65"/>
  <c r="AN16" i="65"/>
  <c r="AM16" i="65"/>
  <c r="AL16" i="65"/>
  <c r="C16" i="65"/>
  <c r="AO15" i="65"/>
  <c r="AN15" i="65"/>
  <c r="AM15" i="65"/>
  <c r="AL15" i="65"/>
  <c r="C15" i="65"/>
  <c r="AO14" i="65"/>
  <c r="AN14" i="65"/>
  <c r="AM14" i="65"/>
  <c r="AL14" i="65"/>
  <c r="C14" i="65"/>
  <c r="AO13" i="65"/>
  <c r="AN13" i="65"/>
  <c r="AM13" i="65"/>
  <c r="AL13" i="65"/>
  <c r="C13" i="65"/>
  <c r="AO12" i="65"/>
  <c r="AN12" i="65"/>
  <c r="AM12" i="65"/>
  <c r="AL12" i="65"/>
  <c r="C12" i="65"/>
  <c r="C11" i="65"/>
  <c r="AO10" i="65"/>
  <c r="AN10" i="65"/>
  <c r="AM10" i="65"/>
  <c r="AL10" i="65"/>
  <c r="C10" i="65"/>
  <c r="AO9" i="65"/>
  <c r="AN9" i="65"/>
  <c r="AM9" i="65"/>
  <c r="AL9" i="65"/>
  <c r="C9" i="65"/>
  <c r="AO8" i="65"/>
  <c r="AN8" i="65"/>
  <c r="AM8" i="65"/>
  <c r="AL8" i="65"/>
  <c r="C8" i="65"/>
  <c r="AO7" i="65"/>
  <c r="AN7" i="65"/>
  <c r="AM7" i="65"/>
  <c r="AL7" i="65"/>
  <c r="C7" i="65"/>
  <c r="AO6" i="65"/>
  <c r="AN6" i="65"/>
  <c r="AM6" i="65"/>
  <c r="AL6" i="65"/>
  <c r="AF6" i="65"/>
  <c r="C6" i="65"/>
  <c r="AO5" i="65"/>
  <c r="AN5" i="65"/>
  <c r="AM5" i="65"/>
  <c r="AL5" i="65"/>
  <c r="AJ5" i="65"/>
  <c r="AK5" i="65" s="1"/>
  <c r="AC5" i="65"/>
  <c r="AI5" i="65" s="1"/>
  <c r="C5" i="65"/>
  <c r="B5" i="65"/>
  <c r="A5" i="65"/>
  <c r="AH4" i="65"/>
  <c r="AI4" i="65" s="1"/>
  <c r="AJ6" i="65" l="1"/>
  <c r="AJ7" i="65" s="1"/>
  <c r="AJ8" i="65" s="1"/>
  <c r="AH5" i="65"/>
  <c r="AD6" i="65" s="1"/>
  <c r="AK6" i="65" s="1"/>
  <c r="AF7" i="65"/>
  <c r="A6" i="65"/>
  <c r="AJ9" i="65"/>
  <c r="AH4" i="64"/>
  <c r="AI4" i="64" s="1"/>
  <c r="A5" i="64"/>
  <c r="B5" i="64"/>
  <c r="C5" i="64"/>
  <c r="AC5" i="64"/>
  <c r="AI5" i="64"/>
  <c r="AI6" i="64" s="1"/>
  <c r="AI7" i="64" s="1"/>
  <c r="AJ5" i="64"/>
  <c r="AH5" i="64" s="1"/>
  <c r="AD6" i="64" s="1"/>
  <c r="B6" i="64" s="1"/>
  <c r="AL5" i="64"/>
  <c r="AM5" i="64"/>
  <c r="AN5" i="64"/>
  <c r="AO5" i="64"/>
  <c r="C6" i="64"/>
  <c r="AC6" i="64"/>
  <c r="AF6" i="64"/>
  <c r="A6" i="64" s="1"/>
  <c r="AJ6" i="64"/>
  <c r="AL6" i="64"/>
  <c r="AM6" i="64"/>
  <c r="AN6" i="64"/>
  <c r="AO6" i="64"/>
  <c r="C7" i="64"/>
  <c r="AC7" i="64"/>
  <c r="AF7" i="64"/>
  <c r="AL7" i="64"/>
  <c r="AM7" i="64"/>
  <c r="AN7" i="64"/>
  <c r="AO7" i="64"/>
  <c r="C8" i="64"/>
  <c r="AC8" i="64"/>
  <c r="AI8" i="64"/>
  <c r="AL8" i="64"/>
  <c r="AM8" i="64"/>
  <c r="AN8" i="64"/>
  <c r="AO8" i="64"/>
  <c r="C9" i="64"/>
  <c r="AL9" i="64"/>
  <c r="AM9" i="64"/>
  <c r="AN9" i="64"/>
  <c r="AO9" i="64"/>
  <c r="C10" i="64"/>
  <c r="AC10" i="64"/>
  <c r="AL10" i="64"/>
  <c r="AM10" i="64"/>
  <c r="AN10" i="64"/>
  <c r="AO10" i="64"/>
  <c r="C11" i="64"/>
  <c r="AC11" i="64"/>
  <c r="AJ11" i="64"/>
  <c r="AP12" i="64" s="1"/>
  <c r="AN11" i="64"/>
  <c r="AO11" i="64"/>
  <c r="C12" i="64"/>
  <c r="AC12" i="64"/>
  <c r="AL12" i="64"/>
  <c r="AM12" i="64"/>
  <c r="AN12" i="64"/>
  <c r="AO12" i="64"/>
  <c r="C13" i="64"/>
  <c r="AC13" i="64"/>
  <c r="AL13" i="64"/>
  <c r="AM13" i="64"/>
  <c r="AN13" i="64"/>
  <c r="AO13" i="64"/>
  <c r="C14" i="64"/>
  <c r="AC14" i="64"/>
  <c r="AL14" i="64"/>
  <c r="AM14" i="64"/>
  <c r="AN14" i="64"/>
  <c r="AO14" i="64"/>
  <c r="C15" i="64"/>
  <c r="AC15" i="64"/>
  <c r="AL15" i="64"/>
  <c r="AM15" i="64"/>
  <c r="AN15" i="64"/>
  <c r="AO15" i="64"/>
  <c r="C16" i="64"/>
  <c r="AC16" i="64"/>
  <c r="AL16" i="64"/>
  <c r="AM16" i="64"/>
  <c r="AN16" i="64"/>
  <c r="AO16" i="64"/>
  <c r="C17" i="64"/>
  <c r="AC17" i="64"/>
  <c r="AL17" i="64"/>
  <c r="AM17" i="64"/>
  <c r="AN17" i="64"/>
  <c r="AO17" i="64"/>
  <c r="C18" i="64"/>
  <c r="AC18" i="64"/>
  <c r="AL18" i="64"/>
  <c r="AM18" i="64"/>
  <c r="AN18" i="64"/>
  <c r="AO18" i="64"/>
  <c r="C19" i="64"/>
  <c r="AC19" i="64"/>
  <c r="AL19" i="64"/>
  <c r="AM19" i="64"/>
  <c r="AN19" i="64"/>
  <c r="AO19" i="64"/>
  <c r="C20" i="64"/>
  <c r="AC20" i="64"/>
  <c r="AL20" i="64"/>
  <c r="AM20" i="64"/>
  <c r="AN20" i="64"/>
  <c r="AO20" i="64"/>
  <c r="C21" i="64"/>
  <c r="AC21" i="64"/>
  <c r="AL21" i="64"/>
  <c r="AM21" i="64"/>
  <c r="AN21" i="64"/>
  <c r="AO21" i="64"/>
  <c r="C22" i="64"/>
  <c r="AC22" i="64"/>
  <c r="AL22" i="64"/>
  <c r="AM22" i="64"/>
  <c r="AN22" i="64"/>
  <c r="AO22" i="64"/>
  <c r="C23" i="64"/>
  <c r="AC23" i="64"/>
  <c r="AL23" i="64"/>
  <c r="AM23" i="64"/>
  <c r="AN23" i="64"/>
  <c r="AO23" i="64"/>
  <c r="C24" i="64"/>
  <c r="AC24" i="64"/>
  <c r="AL24" i="64"/>
  <c r="AM24" i="64"/>
  <c r="AN24" i="64"/>
  <c r="AO24" i="64"/>
  <c r="C25" i="64"/>
  <c r="AC25" i="64"/>
  <c r="AL25" i="64"/>
  <c r="AM25" i="64"/>
  <c r="AN25" i="64"/>
  <c r="AO25" i="64"/>
  <c r="C26" i="64"/>
  <c r="AC26" i="64"/>
  <c r="AL26" i="64"/>
  <c r="AM26" i="64"/>
  <c r="AN26" i="64"/>
  <c r="AO26" i="64"/>
  <c r="C27" i="64"/>
  <c r="AC27" i="64"/>
  <c r="AL27" i="64"/>
  <c r="AM27" i="64"/>
  <c r="AN27" i="64"/>
  <c r="AO27" i="64"/>
  <c r="C28" i="64"/>
  <c r="AC28" i="64"/>
  <c r="AL28" i="64"/>
  <c r="AM28" i="64"/>
  <c r="AN28" i="64"/>
  <c r="AO28" i="64"/>
  <c r="C29" i="64"/>
  <c r="AC29" i="64"/>
  <c r="AL29" i="64"/>
  <c r="AM29" i="64"/>
  <c r="AN29" i="64"/>
  <c r="AO29" i="64"/>
  <c r="C30" i="64"/>
  <c r="AC30" i="64"/>
  <c r="AL30" i="64"/>
  <c r="AM30" i="64"/>
  <c r="AN30" i="64"/>
  <c r="AO30" i="64"/>
  <c r="C31" i="64"/>
  <c r="AC31" i="64"/>
  <c r="AL31" i="64"/>
  <c r="AM31" i="64"/>
  <c r="AN31" i="64"/>
  <c r="AO31" i="64"/>
  <c r="B32" i="64"/>
  <c r="C32" i="64"/>
  <c r="AJ32" i="64"/>
  <c r="AL32" i="64"/>
  <c r="AM32" i="64"/>
  <c r="AN32" i="64"/>
  <c r="B33" i="64"/>
  <c r="C33" i="64"/>
  <c r="AL33" i="64"/>
  <c r="AM33" i="64"/>
  <c r="AN33" i="64"/>
  <c r="AO33" i="64"/>
  <c r="B34" i="64"/>
  <c r="C34" i="64"/>
  <c r="AI34" i="64"/>
  <c r="AI35" i="64" s="1"/>
  <c r="AI36" i="64" s="1"/>
  <c r="AI37" i="64" s="1"/>
  <c r="AI38" i="64" s="1"/>
  <c r="AL34" i="64"/>
  <c r="AM34" i="64"/>
  <c r="AN34" i="64"/>
  <c r="AO34" i="64"/>
  <c r="B35" i="64"/>
  <c r="C35" i="64"/>
  <c r="AL35" i="64"/>
  <c r="AM35" i="64"/>
  <c r="AN35" i="64"/>
  <c r="AO35" i="64"/>
  <c r="B36" i="64"/>
  <c r="C36" i="64"/>
  <c r="AL36" i="64"/>
  <c r="AM36" i="64"/>
  <c r="AN36" i="64"/>
  <c r="AO36" i="64"/>
  <c r="B37" i="64"/>
  <c r="C37" i="64"/>
  <c r="AJ37" i="64"/>
  <c r="AL37" i="64"/>
  <c r="AM37" i="64"/>
  <c r="AN37" i="64"/>
  <c r="AO37" i="64"/>
  <c r="B38" i="64"/>
  <c r="C38" i="64"/>
  <c r="AJ38" i="64"/>
  <c r="AJ39" i="64" s="1"/>
  <c r="AJ40" i="64" s="1"/>
  <c r="AL38" i="64"/>
  <c r="AM38" i="64"/>
  <c r="AN38" i="64"/>
  <c r="AO38" i="64"/>
  <c r="C39" i="64"/>
  <c r="AI39" i="64"/>
  <c r="AL39" i="64"/>
  <c r="AM39" i="64"/>
  <c r="AN39" i="64"/>
  <c r="AO39" i="64"/>
  <c r="AP39" i="64"/>
  <c r="C40" i="64"/>
  <c r="AI40" i="64"/>
  <c r="AL40" i="64"/>
  <c r="AM40" i="64"/>
  <c r="AN40" i="64"/>
  <c r="AO40" i="64"/>
  <c r="AI41" i="64"/>
  <c r="AL41" i="64"/>
  <c r="AM41" i="64"/>
  <c r="AN41" i="64"/>
  <c r="AO41" i="64"/>
  <c r="C42" i="64"/>
  <c r="AI42" i="64"/>
  <c r="AL42" i="64"/>
  <c r="AM42" i="64"/>
  <c r="AN42" i="64"/>
  <c r="AO42" i="64"/>
  <c r="C43" i="64"/>
  <c r="AI43" i="64"/>
  <c r="AL43" i="64"/>
  <c r="AM43" i="64"/>
  <c r="AN43" i="64"/>
  <c r="AO43" i="64"/>
  <c r="C44" i="64"/>
  <c r="AI44" i="64"/>
  <c r="AL44" i="64"/>
  <c r="AM44" i="64"/>
  <c r="AN44" i="64"/>
  <c r="AO44" i="64"/>
  <c r="C45" i="64"/>
  <c r="AI45" i="64"/>
  <c r="AL45" i="64"/>
  <c r="AM45" i="64"/>
  <c r="AN45" i="64"/>
  <c r="AO45" i="64"/>
  <c r="C46" i="64"/>
  <c r="AI46" i="64"/>
  <c r="AL46" i="64"/>
  <c r="AM46" i="64"/>
  <c r="AN46" i="64"/>
  <c r="AO46" i="64"/>
  <c r="C47" i="64"/>
  <c r="AI47" i="64"/>
  <c r="AL47" i="64"/>
  <c r="AM47" i="64"/>
  <c r="AN47" i="64"/>
  <c r="AO47" i="64"/>
  <c r="C48" i="64"/>
  <c r="AI48" i="64"/>
  <c r="AL48" i="64"/>
  <c r="AM48" i="64"/>
  <c r="AN48" i="64"/>
  <c r="AO48" i="64"/>
  <c r="C49" i="64"/>
  <c r="AI49" i="64"/>
  <c r="AL49" i="64"/>
  <c r="AM49" i="64"/>
  <c r="AN49" i="64"/>
  <c r="AO49" i="64"/>
  <c r="C50" i="64"/>
  <c r="AI50" i="64"/>
  <c r="AL50" i="64"/>
  <c r="AM50" i="64"/>
  <c r="AN50" i="64"/>
  <c r="AO50" i="64"/>
  <c r="C51" i="64"/>
  <c r="AI51" i="64"/>
  <c r="AL51" i="64"/>
  <c r="AM51" i="64"/>
  <c r="AN51" i="64"/>
  <c r="AO51" i="64"/>
  <c r="B56" i="64"/>
  <c r="B58" i="64"/>
  <c r="C62" i="64"/>
  <c r="B6" i="65" l="1"/>
  <c r="AI6" i="65"/>
  <c r="AH6" i="65" s="1"/>
  <c r="AD7" i="65" s="1"/>
  <c r="AJ10" i="65"/>
  <c r="AJ11" i="65" s="1"/>
  <c r="A7" i="65"/>
  <c r="AF8" i="65"/>
  <c r="AN4" i="64"/>
  <c r="B54" i="64" s="1"/>
  <c r="AP40" i="64"/>
  <c r="AK39" i="64"/>
  <c r="AK5" i="64"/>
  <c r="AP41" i="64"/>
  <c r="AK40" i="64"/>
  <c r="AJ41" i="64"/>
  <c r="AF8" i="64"/>
  <c r="A7" i="64"/>
  <c r="AK6" i="64"/>
  <c r="AJ7" i="64"/>
  <c r="AH38" i="64"/>
  <c r="AH39" i="64"/>
  <c r="AJ33" i="64"/>
  <c r="AP38" i="64"/>
  <c r="AH37" i="64"/>
  <c r="AK38" i="64"/>
  <c r="AP33" i="64"/>
  <c r="AJ12" i="64"/>
  <c r="AP12" i="65" l="1"/>
  <c r="AJ12" i="65"/>
  <c r="B7" i="65"/>
  <c r="AC7" i="65"/>
  <c r="AI7" i="65" s="1"/>
  <c r="AK7" i="65"/>
  <c r="AP11" i="65"/>
  <c r="A8" i="65"/>
  <c r="AF9" i="65"/>
  <c r="AJ8" i="64"/>
  <c r="AH7" i="64" s="1"/>
  <c r="AD8" i="64" s="1"/>
  <c r="B8" i="64" s="1"/>
  <c r="AK41" i="64"/>
  <c r="AJ42" i="64"/>
  <c r="AH41" i="64" s="1"/>
  <c r="AP42" i="64"/>
  <c r="AH6" i="64"/>
  <c r="AD7" i="64" s="1"/>
  <c r="B7" i="64" s="1"/>
  <c r="AH40" i="64"/>
  <c r="A8" i="64"/>
  <c r="AF9" i="64"/>
  <c r="AK33" i="64"/>
  <c r="AP34" i="64"/>
  <c r="AJ34" i="64"/>
  <c r="AJ13" i="64"/>
  <c r="AP13" i="64"/>
  <c r="AJ13" i="65" l="1"/>
  <c r="AP13" i="65"/>
  <c r="AH7" i="65"/>
  <c r="AD8" i="65" s="1"/>
  <c r="AF10" i="65"/>
  <c r="A9" i="65"/>
  <c r="AP35" i="64"/>
  <c r="AJ35" i="64"/>
  <c r="AK34" i="64"/>
  <c r="AK42" i="64"/>
  <c r="AJ43" i="64"/>
  <c r="AP43" i="64"/>
  <c r="AH42" i="64"/>
  <c r="AF10" i="64"/>
  <c r="A9" i="64"/>
  <c r="AK7" i="64"/>
  <c r="AJ14" i="64"/>
  <c r="AP14" i="64"/>
  <c r="AK8" i="64"/>
  <c r="AJ9" i="64"/>
  <c r="AJ14" i="65" l="1"/>
  <c r="AP14" i="65"/>
  <c r="AC8" i="65"/>
  <c r="AI8" i="65" s="1"/>
  <c r="AH8" i="65" s="1"/>
  <c r="AD9" i="65" s="1"/>
  <c r="B8" i="65"/>
  <c r="AK8" i="65"/>
  <c r="AF11" i="65"/>
  <c r="AO11" i="65" s="1"/>
  <c r="A10" i="65"/>
  <c r="AF11" i="64"/>
  <c r="A10" i="64"/>
  <c r="AP44" i="64"/>
  <c r="AJ44" i="64"/>
  <c r="AH43" i="64" s="1"/>
  <c r="AK43" i="64"/>
  <c r="AJ36" i="64"/>
  <c r="AH35" i="64"/>
  <c r="AP36" i="64"/>
  <c r="AK35" i="64"/>
  <c r="AP15" i="64"/>
  <c r="AJ15" i="64"/>
  <c r="AJ10" i="64"/>
  <c r="AH8" i="64"/>
  <c r="AD9" i="64" s="1"/>
  <c r="AH34" i="64"/>
  <c r="AP15" i="65" l="1"/>
  <c r="AJ15" i="65"/>
  <c r="B9" i="65"/>
  <c r="AK9" i="65"/>
  <c r="AC9" i="65"/>
  <c r="AI9" i="65" s="1"/>
  <c r="AF12" i="65"/>
  <c r="AM11" i="65"/>
  <c r="AM4" i="65" s="1"/>
  <c r="A11" i="65"/>
  <c r="AP37" i="64"/>
  <c r="AK36" i="64"/>
  <c r="AK37" i="64"/>
  <c r="AH36" i="64"/>
  <c r="AP16" i="64"/>
  <c r="AJ16" i="64"/>
  <c r="AP45" i="64"/>
  <c r="AK44" i="64"/>
  <c r="AJ45" i="64"/>
  <c r="AP11" i="64"/>
  <c r="AC9" i="64"/>
  <c r="AI9" i="64" s="1"/>
  <c r="AI10" i="64" s="1"/>
  <c r="AI11" i="64" s="1"/>
  <c r="AI12" i="64" s="1"/>
  <c r="AI13" i="64" s="1"/>
  <c r="AI14" i="64" s="1"/>
  <c r="AI15" i="64" s="1"/>
  <c r="AI16" i="64" s="1"/>
  <c r="AI17" i="64" s="1"/>
  <c r="AI18" i="64" s="1"/>
  <c r="AI19" i="64" s="1"/>
  <c r="AI20" i="64" s="1"/>
  <c r="AI21" i="64" s="1"/>
  <c r="AI22" i="64" s="1"/>
  <c r="AI23" i="64" s="1"/>
  <c r="AI24" i="64" s="1"/>
  <c r="AI25" i="64" s="1"/>
  <c r="AI26" i="64" s="1"/>
  <c r="AI27" i="64" s="1"/>
  <c r="AI28" i="64" s="1"/>
  <c r="AI29" i="64" s="1"/>
  <c r="AI30" i="64" s="1"/>
  <c r="AI31" i="64" s="1"/>
  <c r="AI32" i="64" s="1"/>
  <c r="B9" i="64"/>
  <c r="AK9" i="64"/>
  <c r="A11" i="64"/>
  <c r="AF12" i="64"/>
  <c r="AM11" i="64"/>
  <c r="AM4" i="64" s="1"/>
  <c r="A53" i="64" s="1"/>
  <c r="AP16" i="65" l="1"/>
  <c r="AJ16" i="65"/>
  <c r="AH9" i="65"/>
  <c r="AD10" i="65" s="1"/>
  <c r="A12" i="65"/>
  <c r="AF13" i="65"/>
  <c r="AH10" i="64"/>
  <c r="AD11" i="64" s="1"/>
  <c r="B11" i="64" s="1"/>
  <c r="AH9" i="64"/>
  <c r="AD10" i="64" s="1"/>
  <c r="B10" i="64" s="1"/>
  <c r="AL11" i="64"/>
  <c r="AL4" i="64" s="1"/>
  <c r="B53" i="64" s="1"/>
  <c r="AK11" i="64"/>
  <c r="A12" i="64"/>
  <c r="AF13" i="64"/>
  <c r="AI33" i="64"/>
  <c r="AH33" i="64" s="1"/>
  <c r="AH32" i="64"/>
  <c r="AK45" i="64"/>
  <c r="AJ46" i="64"/>
  <c r="AH45" i="64" s="1"/>
  <c r="AP46" i="64"/>
  <c r="AH44" i="64"/>
  <c r="AJ17" i="64"/>
  <c r="AP17" i="64"/>
  <c r="AK10" i="64" l="1"/>
  <c r="AJ17" i="65"/>
  <c r="AP17" i="65"/>
  <c r="B10" i="65"/>
  <c r="AC10" i="65"/>
  <c r="AI10" i="65" s="1"/>
  <c r="AK10" i="65"/>
  <c r="AF14" i="65"/>
  <c r="A13" i="65"/>
  <c r="AP18" i="64"/>
  <c r="AJ18" i="64"/>
  <c r="AF14" i="64"/>
  <c r="A13" i="64"/>
  <c r="AK12" i="64"/>
  <c r="AH11" i="64"/>
  <c r="AD12" i="64" s="1"/>
  <c r="B12" i="64" s="1"/>
  <c r="E10" i="64" s="1"/>
  <c r="AK46" i="64"/>
  <c r="AP47" i="64"/>
  <c r="AJ47" i="64"/>
  <c r="AH46" i="64"/>
  <c r="AJ18" i="65" l="1"/>
  <c r="AP18" i="65"/>
  <c r="AH10" i="65"/>
  <c r="AD11" i="65" s="1"/>
  <c r="AN11" i="65" s="1"/>
  <c r="A14" i="65"/>
  <c r="AF15" i="65"/>
  <c r="AH12" i="64"/>
  <c r="AD13" i="64" s="1"/>
  <c r="B13" i="64" s="1"/>
  <c r="AK13" i="64"/>
  <c r="A14" i="64"/>
  <c r="AF15" i="64"/>
  <c r="AP48" i="64"/>
  <c r="AJ48" i="64"/>
  <c r="AK47" i="64"/>
  <c r="AJ19" i="64"/>
  <c r="AP19" i="64"/>
  <c r="AJ19" i="65" l="1"/>
  <c r="AP19" i="65"/>
  <c r="AC11" i="65"/>
  <c r="AI11" i="65" s="1"/>
  <c r="B11" i="65"/>
  <c r="AK11" i="65"/>
  <c r="AL11" i="65"/>
  <c r="AL4" i="65" s="1"/>
  <c r="A15" i="65"/>
  <c r="AF16" i="65"/>
  <c r="AP49" i="64"/>
  <c r="AK48" i="64"/>
  <c r="AJ49" i="64"/>
  <c r="AH47" i="64"/>
  <c r="AP20" i="64"/>
  <c r="AJ20" i="64"/>
  <c r="AK14" i="64"/>
  <c r="AH13" i="64"/>
  <c r="AD14" i="64" s="1"/>
  <c r="B14" i="64" s="1"/>
  <c r="AF16" i="64"/>
  <c r="A15" i="64"/>
  <c r="AP20" i="65" l="1"/>
  <c r="AJ20" i="65"/>
  <c r="AH11" i="65"/>
  <c r="AD12" i="65" s="1"/>
  <c r="AK12" i="65" s="1"/>
  <c r="A16" i="65"/>
  <c r="AF17" i="65"/>
  <c r="AJ21" i="64"/>
  <c r="AP21" i="64"/>
  <c r="AF17" i="64"/>
  <c r="A16" i="64"/>
  <c r="AK49" i="64"/>
  <c r="AJ50" i="64"/>
  <c r="AH49" i="64" s="1"/>
  <c r="AP50" i="64"/>
  <c r="AH14" i="64"/>
  <c r="AD15" i="64" s="1"/>
  <c r="B15" i="64" s="1"/>
  <c r="AK15" i="64"/>
  <c r="AH48" i="64"/>
  <c r="AP21" i="65" l="1"/>
  <c r="AJ21" i="65"/>
  <c r="B12" i="65"/>
  <c r="AC12" i="65"/>
  <c r="AI12" i="65" s="1"/>
  <c r="AH12" i="65" s="1"/>
  <c r="AD13" i="65" s="1"/>
  <c r="AK13" i="65" s="1"/>
  <c r="A17" i="65"/>
  <c r="AF18" i="65"/>
  <c r="A17" i="64"/>
  <c r="AF18" i="64"/>
  <c r="AH15" i="64"/>
  <c r="AD16" i="64" s="1"/>
  <c r="B16" i="64" s="1"/>
  <c r="AK16" i="64"/>
  <c r="AJ22" i="64"/>
  <c r="AP22" i="64"/>
  <c r="AK50" i="64"/>
  <c r="AP51" i="64"/>
  <c r="AJ51" i="64"/>
  <c r="AJ22" i="65" l="1"/>
  <c r="AP22" i="65"/>
  <c r="B13" i="65"/>
  <c r="AC13" i="65"/>
  <c r="AI13" i="65" s="1"/>
  <c r="AH13" i="65" s="1"/>
  <c r="AD14" i="65" s="1"/>
  <c r="AK14" i="65" s="1"/>
  <c r="AF19" i="65"/>
  <c r="A18" i="65"/>
  <c r="AK17" i="64"/>
  <c r="AH16" i="64"/>
  <c r="AD17" i="64" s="1"/>
  <c r="B17" i="64" s="1"/>
  <c r="AH51" i="64"/>
  <c r="AK51" i="64"/>
  <c r="AF19" i="64"/>
  <c r="A18" i="64"/>
  <c r="AP23" i="64"/>
  <c r="AJ23" i="64"/>
  <c r="AH50" i="64"/>
  <c r="AJ23" i="65" l="1"/>
  <c r="AP23" i="65"/>
  <c r="B14" i="65"/>
  <c r="AC14" i="65"/>
  <c r="AI14" i="65" s="1"/>
  <c r="AH14" i="65" s="1"/>
  <c r="AD15" i="65" s="1"/>
  <c r="AK15" i="65" s="1"/>
  <c r="AF20" i="65"/>
  <c r="A19" i="65"/>
  <c r="A19" i="64"/>
  <c r="AF20" i="64"/>
  <c r="AH17" i="64"/>
  <c r="AD18" i="64" s="1"/>
  <c r="B18" i="64" s="1"/>
  <c r="AK18" i="64"/>
  <c r="AP24" i="64"/>
  <c r="AJ24" i="64"/>
  <c r="AP24" i="65" l="1"/>
  <c r="AJ24" i="65"/>
  <c r="B15" i="65"/>
  <c r="AC15" i="65"/>
  <c r="AI15" i="65" s="1"/>
  <c r="AH15" i="65" s="1"/>
  <c r="AD16" i="65" s="1"/>
  <c r="AK16" i="65" s="1"/>
  <c r="AF21" i="65"/>
  <c r="A20" i="65"/>
  <c r="AH18" i="64"/>
  <c r="AD19" i="64" s="1"/>
  <c r="B19" i="64" s="1"/>
  <c r="AK19" i="64"/>
  <c r="A20" i="64"/>
  <c r="AF21" i="64"/>
  <c r="AP25" i="64"/>
  <c r="AJ25" i="64"/>
  <c r="AJ25" i="65" l="1"/>
  <c r="AP25" i="65"/>
  <c r="B16" i="65"/>
  <c r="AC16" i="65"/>
  <c r="AI16" i="65" s="1"/>
  <c r="AH16" i="65" s="1"/>
  <c r="AD17" i="65" s="1"/>
  <c r="AK17" i="65" s="1"/>
  <c r="AF22" i="65"/>
  <c r="A21" i="65"/>
  <c r="A21" i="64"/>
  <c r="AF22" i="64"/>
  <c r="AK20" i="64"/>
  <c r="AH19" i="64"/>
  <c r="AD20" i="64" s="1"/>
  <c r="B20" i="64" s="1"/>
  <c r="AP26" i="64"/>
  <c r="AJ26" i="64"/>
  <c r="AJ26" i="65" l="1"/>
  <c r="AP26" i="65"/>
  <c r="B17" i="65"/>
  <c r="AC17" i="65"/>
  <c r="AI17" i="65" s="1"/>
  <c r="AH17" i="65" s="1"/>
  <c r="AD18" i="65" s="1"/>
  <c r="AK18" i="65" s="1"/>
  <c r="A22" i="65"/>
  <c r="AF23" i="65"/>
  <c r="AK21" i="64"/>
  <c r="AH20" i="64"/>
  <c r="AD21" i="64" s="1"/>
  <c r="B21" i="64" s="1"/>
  <c r="A22" i="64"/>
  <c r="AF23" i="64"/>
  <c r="AP27" i="64"/>
  <c r="AJ27" i="64"/>
  <c r="AP27" i="65" l="1"/>
  <c r="AJ27" i="65"/>
  <c r="B18" i="65"/>
  <c r="AC18" i="65"/>
  <c r="AI18" i="65" s="1"/>
  <c r="AH18" i="65" s="1"/>
  <c r="AD19" i="65" s="1"/>
  <c r="AK19" i="65" s="1"/>
  <c r="A23" i="65"/>
  <c r="AF24" i="65"/>
  <c r="AP28" i="64"/>
  <c r="AJ28" i="64"/>
  <c r="AF24" i="64"/>
  <c r="A23" i="64"/>
  <c r="AH21" i="64"/>
  <c r="AD22" i="64" s="1"/>
  <c r="B22" i="64" s="1"/>
  <c r="AK22" i="64"/>
  <c r="AJ28" i="65" l="1"/>
  <c r="AP28" i="65"/>
  <c r="B19" i="65"/>
  <c r="AC19" i="65"/>
  <c r="AI19" i="65" s="1"/>
  <c r="AH19" i="65" s="1"/>
  <c r="AD20" i="65" s="1"/>
  <c r="AK20" i="65" s="1"/>
  <c r="A24" i="65"/>
  <c r="AF25" i="65"/>
  <c r="AF25" i="64"/>
  <c r="A24" i="64"/>
  <c r="AJ29" i="64"/>
  <c r="AP29" i="64"/>
  <c r="AH22" i="64"/>
  <c r="AD23" i="64" s="1"/>
  <c r="B23" i="64" s="1"/>
  <c r="AK23" i="64"/>
  <c r="AP29" i="65" l="1"/>
  <c r="AJ29" i="65"/>
  <c r="B20" i="65"/>
  <c r="AC20" i="65"/>
  <c r="AI20" i="65" s="1"/>
  <c r="AH20" i="65" s="1"/>
  <c r="AD21" i="65" s="1"/>
  <c r="AK21" i="65" s="1"/>
  <c r="A25" i="65"/>
  <c r="AF26" i="65"/>
  <c r="AJ30" i="64"/>
  <c r="AP30" i="64"/>
  <c r="AH23" i="64"/>
  <c r="AD24" i="64" s="1"/>
  <c r="B24" i="64" s="1"/>
  <c r="AK24" i="64"/>
  <c r="AF26" i="64"/>
  <c r="A25" i="64"/>
  <c r="AJ30" i="65" l="1"/>
  <c r="AP30" i="65"/>
  <c r="B21" i="65"/>
  <c r="AC21" i="65"/>
  <c r="AI21" i="65" s="1"/>
  <c r="AH21" i="65" s="1"/>
  <c r="AD22" i="65" s="1"/>
  <c r="AK22" i="65" s="1"/>
  <c r="AF27" i="65"/>
  <c r="A26" i="65"/>
  <c r="AH24" i="64"/>
  <c r="AD25" i="64" s="1"/>
  <c r="B25" i="64" s="1"/>
  <c r="AK25" i="64"/>
  <c r="AF27" i="64"/>
  <c r="A26" i="64"/>
  <c r="AJ31" i="64"/>
  <c r="AP31" i="64"/>
  <c r="AJ31" i="65" l="1"/>
  <c r="AP31" i="65"/>
  <c r="B22" i="65"/>
  <c r="AC22" i="65"/>
  <c r="AI22" i="65" s="1"/>
  <c r="AH22" i="65" s="1"/>
  <c r="AD23" i="65" s="1"/>
  <c r="AK23" i="65" s="1"/>
  <c r="AF28" i="65"/>
  <c r="AO28" i="65" s="1"/>
  <c r="A27" i="65"/>
  <c r="A27" i="64"/>
  <c r="AF28" i="64"/>
  <c r="AP32" i="64"/>
  <c r="AH31" i="64"/>
  <c r="AK32" i="64"/>
  <c r="AH25" i="64"/>
  <c r="AD26" i="64" s="1"/>
  <c r="B26" i="64" s="1"/>
  <c r="AK26" i="64"/>
  <c r="AJ32" i="65" l="1"/>
  <c r="AP32" i="65"/>
  <c r="B23" i="65"/>
  <c r="AC23" i="65"/>
  <c r="AI23" i="65" s="1"/>
  <c r="AH23" i="65" s="1"/>
  <c r="AD24" i="65" s="1"/>
  <c r="AK24" i="65" s="1"/>
  <c r="AF29" i="65"/>
  <c r="AO29" i="65" s="1"/>
  <c r="A28" i="65"/>
  <c r="AH26" i="64"/>
  <c r="AD27" i="64" s="1"/>
  <c r="B27" i="64" s="1"/>
  <c r="AK27" i="64"/>
  <c r="A28" i="64"/>
  <c r="AF29" i="64"/>
  <c r="AP33" i="65" l="1"/>
  <c r="AJ33" i="65"/>
  <c r="B24" i="65"/>
  <c r="AC24" i="65"/>
  <c r="AI24" i="65" s="1"/>
  <c r="AH24" i="65" s="1"/>
  <c r="AD25" i="65" s="1"/>
  <c r="AK25" i="65" s="1"/>
  <c r="A29" i="65"/>
  <c r="AF30" i="65"/>
  <c r="A29" i="64"/>
  <c r="AF30" i="64"/>
  <c r="AK28" i="64"/>
  <c r="AH27" i="64"/>
  <c r="AD28" i="64" s="1"/>
  <c r="B28" i="64" s="1"/>
  <c r="AJ34" i="65" l="1"/>
  <c r="AP34" i="65"/>
  <c r="B25" i="65"/>
  <c r="AC25" i="65"/>
  <c r="AI25" i="65" s="1"/>
  <c r="AH25" i="65" s="1"/>
  <c r="AD26" i="65" s="1"/>
  <c r="AK26" i="65" s="1"/>
  <c r="A30" i="65"/>
  <c r="AF31" i="65"/>
  <c r="A30" i="64"/>
  <c r="AF31" i="64"/>
  <c r="AK29" i="64"/>
  <c r="AH28" i="64"/>
  <c r="AD29" i="64" s="1"/>
  <c r="B29" i="64" s="1"/>
  <c r="AJ35" i="65" l="1"/>
  <c r="AP35" i="65"/>
  <c r="B26" i="65"/>
  <c r="AC26" i="65"/>
  <c r="AI26" i="65" s="1"/>
  <c r="AH26" i="65" s="1"/>
  <c r="AD27" i="65" s="1"/>
  <c r="AK27" i="65" s="1"/>
  <c r="A31" i="65"/>
  <c r="AF32" i="65"/>
  <c r="AH29" i="64"/>
  <c r="AD30" i="64" s="1"/>
  <c r="B30" i="64" s="1"/>
  <c r="AK30" i="64"/>
  <c r="AF32" i="64"/>
  <c r="A31" i="64"/>
  <c r="AJ36" i="65" l="1"/>
  <c r="AP36" i="65"/>
  <c r="B27" i="65"/>
  <c r="AC27" i="65"/>
  <c r="AI27" i="65" s="1"/>
  <c r="AH27" i="65" s="1"/>
  <c r="AD28" i="65" s="1"/>
  <c r="AF33" i="65"/>
  <c r="A32" i="65"/>
  <c r="AO32" i="65"/>
  <c r="AO4" i="65" s="1"/>
  <c r="AO32" i="64"/>
  <c r="AO4" i="64" s="1"/>
  <c r="A54" i="64" s="1"/>
  <c r="A32" i="64"/>
  <c r="AF33" i="64"/>
  <c r="AH30" i="64"/>
  <c r="AD31" i="64" s="1"/>
  <c r="B31" i="64" s="1"/>
  <c r="AK31" i="64"/>
  <c r="AK28" i="65" l="1"/>
  <c r="AN28" i="65"/>
  <c r="AJ37" i="65"/>
  <c r="AP37" i="65"/>
  <c r="B28" i="65"/>
  <c r="AC28" i="65"/>
  <c r="AI28" i="65" s="1"/>
  <c r="A33" i="65"/>
  <c r="A33" i="64"/>
  <c r="AF34" i="64"/>
  <c r="AH28" i="65" l="1"/>
  <c r="AD29" i="65" s="1"/>
  <c r="AP38" i="65"/>
  <c r="AJ38" i="65"/>
  <c r="A34" i="64"/>
  <c r="AF35" i="64"/>
  <c r="AK29" i="65" l="1"/>
  <c r="AN29" i="65"/>
  <c r="AN4" i="65" s="1"/>
  <c r="AC29" i="65"/>
  <c r="AI29" i="65" s="1"/>
  <c r="AH29" i="65" s="1"/>
  <c r="AD30" i="65" s="1"/>
  <c r="AK30" i="65" s="1"/>
  <c r="B29" i="65"/>
  <c r="AJ39" i="65"/>
  <c r="AP39" i="65"/>
  <c r="A35" i="64"/>
  <c r="AF36" i="64"/>
  <c r="AC30" i="65" l="1"/>
  <c r="AI30" i="65" s="1"/>
  <c r="AH30" i="65" s="1"/>
  <c r="AD31" i="65" s="1"/>
  <c r="AK31" i="65" s="1"/>
  <c r="B30" i="65"/>
  <c r="AP40" i="65"/>
  <c r="AJ40" i="65"/>
  <c r="A36" i="64"/>
  <c r="AF37" i="64"/>
  <c r="AC31" i="65" l="1"/>
  <c r="AI31" i="65" s="1"/>
  <c r="AH31" i="65" s="1"/>
  <c r="AD32" i="65" s="1"/>
  <c r="B31" i="65"/>
  <c r="AJ41" i="65"/>
  <c r="AP41" i="65"/>
  <c r="AF38" i="64"/>
  <c r="A38" i="64" s="1"/>
  <c r="A37" i="64"/>
  <c r="AC32" i="65" l="1"/>
  <c r="AI32" i="65" s="1"/>
  <c r="B32" i="65"/>
  <c r="AK32" i="65"/>
  <c r="AP42" i="65"/>
  <c r="AJ42" i="65"/>
  <c r="C62" i="62"/>
  <c r="B58" i="62"/>
  <c r="B56" i="62"/>
  <c r="AO51" i="62"/>
  <c r="AN51" i="62"/>
  <c r="AM51" i="62"/>
  <c r="AL51" i="62"/>
  <c r="AI51" i="62"/>
  <c r="C51" i="62"/>
  <c r="AO50" i="62"/>
  <c r="AN50" i="62"/>
  <c r="AM50" i="62"/>
  <c r="AL50" i="62"/>
  <c r="AI50" i="62"/>
  <c r="C50" i="62"/>
  <c r="AO49" i="62"/>
  <c r="AN49" i="62"/>
  <c r="AM49" i="62"/>
  <c r="AL49" i="62"/>
  <c r="AI49" i="62"/>
  <c r="C49" i="62"/>
  <c r="AO48" i="62"/>
  <c r="AN48" i="62"/>
  <c r="AM48" i="62"/>
  <c r="AL48" i="62"/>
  <c r="AI48" i="62"/>
  <c r="C48" i="62"/>
  <c r="AO47" i="62"/>
  <c r="AN47" i="62"/>
  <c r="AM47" i="62"/>
  <c r="AL47" i="62"/>
  <c r="AI47" i="62"/>
  <c r="C47" i="62"/>
  <c r="AO46" i="62"/>
  <c r="AN46" i="62"/>
  <c r="AM46" i="62"/>
  <c r="AL46" i="62"/>
  <c r="AI46" i="62"/>
  <c r="C46" i="62"/>
  <c r="AO45" i="62"/>
  <c r="AN45" i="62"/>
  <c r="AM45" i="62"/>
  <c r="AL45" i="62"/>
  <c r="AI45" i="62"/>
  <c r="C45" i="62"/>
  <c r="AO44" i="62"/>
  <c r="AN44" i="62"/>
  <c r="AM44" i="62"/>
  <c r="AL44" i="62"/>
  <c r="C44" i="62"/>
  <c r="AO43" i="62"/>
  <c r="AN43" i="62"/>
  <c r="AM43" i="62"/>
  <c r="AL43" i="62"/>
  <c r="C43" i="62"/>
  <c r="AO42" i="62"/>
  <c r="AN42" i="62"/>
  <c r="AM42" i="62"/>
  <c r="AL42" i="62"/>
  <c r="C42" i="62"/>
  <c r="AO41" i="62"/>
  <c r="AN41" i="62"/>
  <c r="AM41" i="62"/>
  <c r="AL41" i="62"/>
  <c r="AO40" i="62"/>
  <c r="AN40" i="62"/>
  <c r="AM40" i="62"/>
  <c r="AL40" i="62"/>
  <c r="C40" i="62"/>
  <c r="AO39" i="62"/>
  <c r="AN39" i="62"/>
  <c r="AM39" i="62"/>
  <c r="AL39" i="62"/>
  <c r="C39" i="62"/>
  <c r="AM38" i="62"/>
  <c r="AL38" i="62"/>
  <c r="C38" i="62"/>
  <c r="AO37" i="62"/>
  <c r="AM37" i="62"/>
  <c r="AL37" i="62"/>
  <c r="AC37" i="62"/>
  <c r="C37" i="62"/>
  <c r="AM36" i="62"/>
  <c r="AL36" i="62"/>
  <c r="AC36" i="62"/>
  <c r="C36" i="62"/>
  <c r="AM35" i="62"/>
  <c r="AL35" i="62"/>
  <c r="AC35" i="62"/>
  <c r="C35" i="62"/>
  <c r="AO34" i="62"/>
  <c r="AM34" i="62"/>
  <c r="AL34" i="62"/>
  <c r="AC34" i="62"/>
  <c r="C34" i="62"/>
  <c r="AO33" i="62"/>
  <c r="AN33" i="62"/>
  <c r="AM33" i="62"/>
  <c r="AL33" i="62"/>
  <c r="AC33" i="62"/>
  <c r="C33" i="62"/>
  <c r="AO32" i="62"/>
  <c r="AN32" i="62"/>
  <c r="AM32" i="62"/>
  <c r="AL32" i="62"/>
  <c r="AC32" i="62"/>
  <c r="C32" i="62"/>
  <c r="AO31" i="62"/>
  <c r="AN31" i="62"/>
  <c r="AM31" i="62"/>
  <c r="AL31" i="62"/>
  <c r="AC31" i="62"/>
  <c r="C31" i="62"/>
  <c r="AO30" i="62"/>
  <c r="AN30" i="62"/>
  <c r="AM30" i="62"/>
  <c r="AL30" i="62"/>
  <c r="AC30" i="62"/>
  <c r="C30" i="62"/>
  <c r="AO29" i="62"/>
  <c r="AN29" i="62"/>
  <c r="AM29" i="62"/>
  <c r="AL29" i="62"/>
  <c r="AC29" i="62"/>
  <c r="C29" i="62"/>
  <c r="AO28" i="62"/>
  <c r="AN28" i="62"/>
  <c r="AM28" i="62"/>
  <c r="AL28" i="62"/>
  <c r="AC28" i="62"/>
  <c r="C28" i="62"/>
  <c r="AO27" i="62"/>
  <c r="AN27" i="62"/>
  <c r="AM27" i="62"/>
  <c r="AL27" i="62"/>
  <c r="AC27" i="62"/>
  <c r="C27" i="62"/>
  <c r="AO26" i="62"/>
  <c r="AN26" i="62"/>
  <c r="AM26" i="62"/>
  <c r="AL26" i="62"/>
  <c r="AC26" i="62"/>
  <c r="C26" i="62"/>
  <c r="AO25" i="62"/>
  <c r="AN25" i="62"/>
  <c r="AM25" i="62"/>
  <c r="AL25" i="62"/>
  <c r="AC25" i="62"/>
  <c r="C25" i="62"/>
  <c r="AO24" i="62"/>
  <c r="AN24" i="62"/>
  <c r="AM24" i="62"/>
  <c r="AL24" i="62"/>
  <c r="AC24" i="62"/>
  <c r="C24" i="62"/>
  <c r="AO23" i="62"/>
  <c r="AN23" i="62"/>
  <c r="AM23" i="62"/>
  <c r="AL23" i="62"/>
  <c r="AC23" i="62"/>
  <c r="C23" i="62"/>
  <c r="AO22" i="62"/>
  <c r="AN22" i="62"/>
  <c r="AM22" i="62"/>
  <c r="AL22" i="62"/>
  <c r="AC22" i="62"/>
  <c r="C22" i="62"/>
  <c r="AO21" i="62"/>
  <c r="AN21" i="62"/>
  <c r="AM21" i="62"/>
  <c r="AL21" i="62"/>
  <c r="AC21" i="62"/>
  <c r="C21" i="62"/>
  <c r="AO20" i="62"/>
  <c r="AN20" i="62"/>
  <c r="AM20" i="62"/>
  <c r="AL20" i="62"/>
  <c r="AC20" i="62"/>
  <c r="C20" i="62"/>
  <c r="AO19" i="62"/>
  <c r="AN19" i="62"/>
  <c r="AM19" i="62"/>
  <c r="AL19" i="62"/>
  <c r="AC19" i="62"/>
  <c r="C19" i="62"/>
  <c r="AO18" i="62"/>
  <c r="AN18" i="62"/>
  <c r="AM18" i="62"/>
  <c r="AL18" i="62"/>
  <c r="AC18" i="62"/>
  <c r="C18" i="62"/>
  <c r="AO17" i="62"/>
  <c r="AN17" i="62"/>
  <c r="AM17" i="62"/>
  <c r="AL17" i="62"/>
  <c r="AC17" i="62"/>
  <c r="C17" i="62"/>
  <c r="AO16" i="62"/>
  <c r="AN16" i="62"/>
  <c r="AM16" i="62"/>
  <c r="AL16" i="62"/>
  <c r="AC16" i="62"/>
  <c r="C16" i="62"/>
  <c r="AO15" i="62"/>
  <c r="AN15" i="62"/>
  <c r="AM15" i="62"/>
  <c r="AL15" i="62"/>
  <c r="AC15" i="62"/>
  <c r="C15" i="62"/>
  <c r="AO14" i="62"/>
  <c r="AN14" i="62"/>
  <c r="AM14" i="62"/>
  <c r="AL14" i="62"/>
  <c r="AC14" i="62"/>
  <c r="C14" i="62"/>
  <c r="AO13" i="62"/>
  <c r="AN13" i="62"/>
  <c r="AJ13" i="62"/>
  <c r="AJ14" i="62" s="1"/>
  <c r="AC13" i="62"/>
  <c r="C13" i="62"/>
  <c r="AO12" i="62"/>
  <c r="AN12" i="62"/>
  <c r="AM12" i="62"/>
  <c r="AL12" i="62"/>
  <c r="AC12" i="62"/>
  <c r="C12" i="62"/>
  <c r="AO11" i="62"/>
  <c r="AN11" i="62"/>
  <c r="AM11" i="62"/>
  <c r="AL11" i="62"/>
  <c r="AC11" i="62"/>
  <c r="C11" i="62"/>
  <c r="AO10" i="62"/>
  <c r="AN10" i="62"/>
  <c r="AM10" i="62"/>
  <c r="AL10" i="62"/>
  <c r="AC10" i="62"/>
  <c r="C10" i="62"/>
  <c r="AO9" i="62"/>
  <c r="AN9" i="62"/>
  <c r="AM9" i="62"/>
  <c r="AL9" i="62"/>
  <c r="C9" i="62"/>
  <c r="AO8" i="62"/>
  <c r="AN8" i="62"/>
  <c r="AM8" i="62"/>
  <c r="AL8" i="62"/>
  <c r="C8" i="62"/>
  <c r="AO7" i="62"/>
  <c r="AN7" i="62"/>
  <c r="AM7" i="62"/>
  <c r="AL7" i="62"/>
  <c r="AC7" i="62"/>
  <c r="C7" i="62"/>
  <c r="AO6" i="62"/>
  <c r="AN6" i="62"/>
  <c r="AM6" i="62"/>
  <c r="AL6" i="62"/>
  <c r="AJ6" i="62"/>
  <c r="AJ7" i="62" s="1"/>
  <c r="AF6" i="62"/>
  <c r="A6" i="62" s="1"/>
  <c r="AC6" i="62"/>
  <c r="C6" i="62"/>
  <c r="AO5" i="62"/>
  <c r="AN5" i="62"/>
  <c r="AM5" i="62"/>
  <c r="AL5" i="62"/>
  <c r="AJ5" i="62"/>
  <c r="AK5" i="62" s="1"/>
  <c r="AC5" i="62"/>
  <c r="AI5" i="62" s="1"/>
  <c r="C5" i="62"/>
  <c r="B5" i="62"/>
  <c r="A5" i="62"/>
  <c r="AH4" i="62"/>
  <c r="AI4" i="62" s="1"/>
  <c r="AH32" i="65" l="1"/>
  <c r="AD33" i="65" s="1"/>
  <c r="B33" i="65" s="1"/>
  <c r="AJ43" i="65"/>
  <c r="AP43" i="65"/>
  <c r="AP14" i="62"/>
  <c r="AH5" i="62"/>
  <c r="AD6" i="62" s="1"/>
  <c r="AI6" i="62"/>
  <c r="AI7" i="62" s="1"/>
  <c r="AJ8" i="62"/>
  <c r="AP15" i="62"/>
  <c r="AJ15" i="62"/>
  <c r="AF7" i="62"/>
  <c r="AJ43" i="62"/>
  <c r="C42" i="61"/>
  <c r="A36" i="60"/>
  <c r="A37" i="60"/>
  <c r="AC33" i="65" l="1"/>
  <c r="AI33" i="65" s="1"/>
  <c r="AK33" i="65"/>
  <c r="AJ44" i="65"/>
  <c r="AP44" i="65"/>
  <c r="AH6" i="62"/>
  <c r="AD7" i="62" s="1"/>
  <c r="B7" i="62" s="1"/>
  <c r="AP44" i="62"/>
  <c r="AJ44" i="62"/>
  <c r="AJ9" i="62"/>
  <c r="AP16" i="62"/>
  <c r="AJ16" i="62"/>
  <c r="AK6" i="62"/>
  <c r="B6" i="62"/>
  <c r="A7" i="62"/>
  <c r="AF8" i="62"/>
  <c r="AH7" i="62"/>
  <c r="AD8" i="62" s="1"/>
  <c r="C62" i="61"/>
  <c r="B58" i="61"/>
  <c r="B56" i="61"/>
  <c r="AO51" i="61"/>
  <c r="AN51" i="61"/>
  <c r="AM51" i="61"/>
  <c r="AL51" i="61"/>
  <c r="AI51" i="61"/>
  <c r="C51" i="61"/>
  <c r="AO50" i="61"/>
  <c r="AN50" i="61"/>
  <c r="AM50" i="61"/>
  <c r="AL50" i="61"/>
  <c r="AI50" i="61"/>
  <c r="C50" i="61"/>
  <c r="AO49" i="61"/>
  <c r="AN49" i="61"/>
  <c r="AM49" i="61"/>
  <c r="AL49" i="61"/>
  <c r="AI49" i="61"/>
  <c r="C49" i="61"/>
  <c r="AO48" i="61"/>
  <c r="AN48" i="61"/>
  <c r="AM48" i="61"/>
  <c r="AL48" i="61"/>
  <c r="AI48" i="61"/>
  <c r="C48" i="61"/>
  <c r="AO47" i="61"/>
  <c r="AN47" i="61"/>
  <c r="AM47" i="61"/>
  <c r="AL47" i="61"/>
  <c r="AI47" i="61"/>
  <c r="C47" i="61"/>
  <c r="AO46" i="61"/>
  <c r="AN46" i="61"/>
  <c r="AM46" i="61"/>
  <c r="AL46" i="61"/>
  <c r="AI46" i="61"/>
  <c r="C46" i="61"/>
  <c r="AO45" i="61"/>
  <c r="AN45" i="61"/>
  <c r="AM45" i="61"/>
  <c r="AL45" i="61"/>
  <c r="AI45" i="61"/>
  <c r="C45" i="61"/>
  <c r="AO44" i="61"/>
  <c r="AN44" i="61"/>
  <c r="AM44" i="61"/>
  <c r="AL44" i="61"/>
  <c r="AI44" i="61"/>
  <c r="C44" i="61"/>
  <c r="AO43" i="61"/>
  <c r="AN43" i="61"/>
  <c r="AM43" i="61"/>
  <c r="AL43" i="61"/>
  <c r="AI43" i="61"/>
  <c r="C43" i="61"/>
  <c r="AO42" i="61"/>
  <c r="AN42" i="61"/>
  <c r="AM42" i="61"/>
  <c r="AL42" i="61"/>
  <c r="AI42" i="61"/>
  <c r="AO41" i="61"/>
  <c r="AN41" i="61"/>
  <c r="AM41" i="61"/>
  <c r="AL41" i="61"/>
  <c r="AO40" i="61"/>
  <c r="AN40" i="61"/>
  <c r="AM40" i="61"/>
  <c r="AL40" i="61"/>
  <c r="AJ40" i="61"/>
  <c r="C40" i="61"/>
  <c r="AO39" i="61"/>
  <c r="AN39" i="61"/>
  <c r="AM39" i="61"/>
  <c r="AL39" i="61"/>
  <c r="AC39" i="61"/>
  <c r="C39" i="61"/>
  <c r="AO38" i="61"/>
  <c r="AN38" i="61"/>
  <c r="AM38" i="61"/>
  <c r="AL38" i="61"/>
  <c r="C38" i="61"/>
  <c r="AO37" i="61"/>
  <c r="AN37" i="61"/>
  <c r="AM37" i="61"/>
  <c r="AL37" i="61"/>
  <c r="AC37" i="61"/>
  <c r="C37" i="61"/>
  <c r="AM36" i="61"/>
  <c r="AL36" i="61"/>
  <c r="AC36" i="61"/>
  <c r="C36" i="61"/>
  <c r="AO35" i="61"/>
  <c r="AN35" i="61"/>
  <c r="AM35" i="61"/>
  <c r="AL35" i="61"/>
  <c r="C35" i="61"/>
  <c r="AM34" i="61"/>
  <c r="AL34" i="61"/>
  <c r="AC34" i="61"/>
  <c r="C34" i="61"/>
  <c r="AO33" i="61"/>
  <c r="AN33" i="61"/>
  <c r="AM33" i="61"/>
  <c r="AL33" i="61"/>
  <c r="AC33" i="61"/>
  <c r="C33" i="61"/>
  <c r="AO32" i="61"/>
  <c r="AN32" i="61"/>
  <c r="AM32" i="61"/>
  <c r="AL32" i="61"/>
  <c r="AC32" i="61"/>
  <c r="C32" i="61"/>
  <c r="AO31" i="61"/>
  <c r="AN31" i="61"/>
  <c r="AM31" i="61"/>
  <c r="AL31" i="61"/>
  <c r="AC31" i="61"/>
  <c r="C31" i="61"/>
  <c r="AO30" i="61"/>
  <c r="AN30" i="61"/>
  <c r="AM30" i="61"/>
  <c r="AL30" i="61"/>
  <c r="AC30" i="61"/>
  <c r="C30" i="61"/>
  <c r="AO29" i="61"/>
  <c r="AN29" i="61"/>
  <c r="AM29" i="61"/>
  <c r="AL29" i="61"/>
  <c r="AC29" i="61"/>
  <c r="C29" i="61"/>
  <c r="AO28" i="61"/>
  <c r="AN28" i="61"/>
  <c r="AM28" i="61"/>
  <c r="AL28" i="61"/>
  <c r="AC28" i="61"/>
  <c r="C28" i="61"/>
  <c r="AO27" i="61"/>
  <c r="AN27" i="61"/>
  <c r="AM27" i="61"/>
  <c r="AL27" i="61"/>
  <c r="AC27" i="61"/>
  <c r="C27" i="61"/>
  <c r="AO26" i="61"/>
  <c r="AN26" i="61"/>
  <c r="AM26" i="61"/>
  <c r="AL26" i="61"/>
  <c r="AC26" i="61"/>
  <c r="C26" i="61"/>
  <c r="AO25" i="61"/>
  <c r="AN25" i="61"/>
  <c r="AM25" i="61"/>
  <c r="AL25" i="61"/>
  <c r="AC25" i="61"/>
  <c r="C25" i="61"/>
  <c r="AO24" i="61"/>
  <c r="AN24" i="61"/>
  <c r="AM24" i="61"/>
  <c r="AL24" i="61"/>
  <c r="AC24" i="61"/>
  <c r="C24" i="61"/>
  <c r="AO23" i="61"/>
  <c r="AN23" i="61"/>
  <c r="AM23" i="61"/>
  <c r="AL23" i="61"/>
  <c r="AC23" i="61"/>
  <c r="C23" i="61"/>
  <c r="AO22" i="61"/>
  <c r="AN22" i="61"/>
  <c r="AM22" i="61"/>
  <c r="AL22" i="61"/>
  <c r="AC22" i="61"/>
  <c r="C22" i="61"/>
  <c r="AO21" i="61"/>
  <c r="AN21" i="61"/>
  <c r="AM21" i="61"/>
  <c r="AL21" i="61"/>
  <c r="AC21" i="61"/>
  <c r="C21" i="61"/>
  <c r="AO20" i="61"/>
  <c r="AN20" i="61"/>
  <c r="AM20" i="61"/>
  <c r="AL20" i="61"/>
  <c r="AC20" i="61"/>
  <c r="C20" i="61"/>
  <c r="AO19" i="61"/>
  <c r="AN19" i="61"/>
  <c r="AM19" i="61"/>
  <c r="AL19" i="61"/>
  <c r="AC19" i="61"/>
  <c r="C19" i="61"/>
  <c r="AO18" i="61"/>
  <c r="AN18" i="61"/>
  <c r="AM18" i="61"/>
  <c r="AL18" i="61"/>
  <c r="AC18" i="61"/>
  <c r="C18" i="61"/>
  <c r="AO17" i="61"/>
  <c r="AN17" i="61"/>
  <c r="AM17" i="61"/>
  <c r="AL17" i="61"/>
  <c r="AC17" i="61"/>
  <c r="C17" i="61"/>
  <c r="AO16" i="61"/>
  <c r="AN16" i="61"/>
  <c r="AM16" i="61"/>
  <c r="AL16" i="61"/>
  <c r="AC16" i="61"/>
  <c r="C16" i="61"/>
  <c r="AO15" i="61"/>
  <c r="AN15" i="61"/>
  <c r="AM15" i="61"/>
  <c r="AL15" i="61"/>
  <c r="AC15" i="61"/>
  <c r="C15" i="61"/>
  <c r="AO14" i="61"/>
  <c r="AN14" i="61"/>
  <c r="AM14" i="61"/>
  <c r="AL14" i="61"/>
  <c r="AC14" i="61"/>
  <c r="C14" i="61"/>
  <c r="AO13" i="61"/>
  <c r="AN13" i="61"/>
  <c r="AJ13" i="61"/>
  <c r="AP14" i="61" s="1"/>
  <c r="AC13" i="61"/>
  <c r="C13" i="61"/>
  <c r="AO12" i="61"/>
  <c r="AN12" i="61"/>
  <c r="AM12" i="61"/>
  <c r="AL12" i="61"/>
  <c r="AC12" i="61"/>
  <c r="C12" i="61"/>
  <c r="AO11" i="61"/>
  <c r="AN11" i="61"/>
  <c r="AM11" i="61"/>
  <c r="AL11" i="61"/>
  <c r="AC11" i="61"/>
  <c r="C11" i="61"/>
  <c r="AO10" i="61"/>
  <c r="AN10" i="61"/>
  <c r="AM10" i="61"/>
  <c r="AL10" i="61"/>
  <c r="AC10" i="61"/>
  <c r="C10" i="61"/>
  <c r="AO9" i="61"/>
  <c r="AN9" i="61"/>
  <c r="AM9" i="61"/>
  <c r="AL9" i="61"/>
  <c r="C9" i="61"/>
  <c r="AO8" i="61"/>
  <c r="AN8" i="61"/>
  <c r="AM8" i="61"/>
  <c r="AL8" i="61"/>
  <c r="C8" i="61"/>
  <c r="AO7" i="61"/>
  <c r="AN7" i="61"/>
  <c r="AM7" i="61"/>
  <c r="AL7" i="61"/>
  <c r="AC7" i="61"/>
  <c r="C7" i="61"/>
  <c r="AO6" i="61"/>
  <c r="AN6" i="61"/>
  <c r="AM6" i="61"/>
  <c r="AL6" i="61"/>
  <c r="AJ6" i="61"/>
  <c r="AJ7" i="61" s="1"/>
  <c r="AF6" i="61"/>
  <c r="AF7" i="61" s="1"/>
  <c r="A7" i="61" s="1"/>
  <c r="AC6" i="61"/>
  <c r="C6" i="61"/>
  <c r="AO5" i="61"/>
  <c r="AN5" i="61"/>
  <c r="AM5" i="61"/>
  <c r="AL5" i="61"/>
  <c r="AJ5" i="61"/>
  <c r="AK5" i="61" s="1"/>
  <c r="AC5" i="61"/>
  <c r="AI5" i="61" s="1"/>
  <c r="C5" i="61"/>
  <c r="B5" i="61"/>
  <c r="A5" i="61"/>
  <c r="AH4" i="61"/>
  <c r="AI4" i="61" s="1"/>
  <c r="A6" i="61" l="1"/>
  <c r="AH33" i="65"/>
  <c r="AP45" i="65"/>
  <c r="AJ45" i="65"/>
  <c r="AJ41" i="61"/>
  <c r="B8" i="62"/>
  <c r="AC8" i="62"/>
  <c r="AI8" i="62" s="1"/>
  <c r="AH8" i="62" s="1"/>
  <c r="AD9" i="62" s="1"/>
  <c r="B9" i="62" s="1"/>
  <c r="AK7" i="62"/>
  <c r="AK8" i="62"/>
  <c r="A8" i="62"/>
  <c r="AF9" i="62"/>
  <c r="AJ45" i="62"/>
  <c r="AP45" i="62"/>
  <c r="AC9" i="62"/>
  <c r="AJ17" i="62"/>
  <c r="AP17" i="62"/>
  <c r="AK9" i="62"/>
  <c r="AJ10" i="62"/>
  <c r="AJ14" i="61"/>
  <c r="AH5" i="61"/>
  <c r="AD6" i="61" s="1"/>
  <c r="B6" i="61" s="1"/>
  <c r="AI6" i="61"/>
  <c r="AI7" i="61" s="1"/>
  <c r="AJ8" i="61"/>
  <c r="AF8" i="61"/>
  <c r="AP15" i="61"/>
  <c r="AJ15" i="61"/>
  <c r="AP42" i="61"/>
  <c r="AJ42" i="61"/>
  <c r="AP41" i="61"/>
  <c r="AC35" i="60"/>
  <c r="AC34" i="60"/>
  <c r="AC33" i="60"/>
  <c r="AC31" i="60"/>
  <c r="AC30" i="60"/>
  <c r="AC29" i="60"/>
  <c r="AC28" i="60"/>
  <c r="AC27" i="60"/>
  <c r="AC26" i="60"/>
  <c r="AC25" i="60"/>
  <c r="AC24" i="60"/>
  <c r="AC23" i="60"/>
  <c r="AC22" i="60"/>
  <c r="AC21" i="60"/>
  <c r="AC20" i="60"/>
  <c r="AC19" i="60"/>
  <c r="AC18" i="60"/>
  <c r="AC17" i="60"/>
  <c r="AC16" i="60"/>
  <c r="AC15" i="60"/>
  <c r="AC14" i="60"/>
  <c r="AC13" i="60"/>
  <c r="AC12" i="60"/>
  <c r="AC11" i="60"/>
  <c r="AC10" i="60"/>
  <c r="AC9" i="60"/>
  <c r="AH6" i="61" l="1"/>
  <c r="AD7" i="61" s="1"/>
  <c r="B7" i="61" s="1"/>
  <c r="AH7" i="61"/>
  <c r="AD8" i="61" s="1"/>
  <c r="AI9" i="62"/>
  <c r="AI10" i="62" s="1"/>
  <c r="AI11" i="62" s="1"/>
  <c r="AI12" i="62" s="1"/>
  <c r="AI13" i="62" s="1"/>
  <c r="AI14" i="62" s="1"/>
  <c r="AI15" i="62" s="1"/>
  <c r="AI16" i="62" s="1"/>
  <c r="AI17" i="62" s="1"/>
  <c r="AI18" i="62" s="1"/>
  <c r="AI19" i="62" s="1"/>
  <c r="AI20" i="62" s="1"/>
  <c r="AI21" i="62" s="1"/>
  <c r="AI22" i="62" s="1"/>
  <c r="AI23" i="62" s="1"/>
  <c r="AI24" i="62" s="1"/>
  <c r="AI25" i="62" s="1"/>
  <c r="AI26" i="62" s="1"/>
  <c r="AI27" i="62" s="1"/>
  <c r="AI28" i="62" s="1"/>
  <c r="AI29" i="62" s="1"/>
  <c r="AI30" i="62" s="1"/>
  <c r="AI31" i="62" s="1"/>
  <c r="AI32" i="62" s="1"/>
  <c r="AI33" i="62" s="1"/>
  <c r="AI34" i="62" s="1"/>
  <c r="AI35" i="62" s="1"/>
  <c r="AI36" i="62" s="1"/>
  <c r="AI37" i="62" s="1"/>
  <c r="AK34" i="65"/>
  <c r="AI34" i="65"/>
  <c r="AP46" i="65"/>
  <c r="AJ46" i="65"/>
  <c r="AF10" i="62"/>
  <c r="A9" i="62"/>
  <c r="AP11" i="62"/>
  <c r="AJ11" i="62"/>
  <c r="AH10" i="62" s="1"/>
  <c r="AD11" i="62" s="1"/>
  <c r="B11" i="62" s="1"/>
  <c r="AJ18" i="62"/>
  <c r="AP18" i="62"/>
  <c r="AK45" i="62"/>
  <c r="AP46" i="62"/>
  <c r="AJ46" i="62"/>
  <c r="B8" i="61"/>
  <c r="AC8" i="61"/>
  <c r="AI8" i="61" s="1"/>
  <c r="AJ36" i="61"/>
  <c r="AK7" i="61"/>
  <c r="AJ9" i="61"/>
  <c r="AK8" i="61"/>
  <c r="AJ43" i="61"/>
  <c r="AP43" i="61"/>
  <c r="AK42" i="61"/>
  <c r="AJ16" i="61"/>
  <c r="AP16" i="61"/>
  <c r="A8" i="61"/>
  <c r="AF9" i="61"/>
  <c r="AK6" i="61"/>
  <c r="B58" i="60"/>
  <c r="B56" i="60"/>
  <c r="AO51" i="60"/>
  <c r="AN51" i="60"/>
  <c r="AM51" i="60"/>
  <c r="AL51" i="60"/>
  <c r="AI51" i="60"/>
  <c r="C51" i="60"/>
  <c r="AO50" i="60"/>
  <c r="AN50" i="60"/>
  <c r="AM50" i="60"/>
  <c r="AL50" i="60"/>
  <c r="AI50" i="60"/>
  <c r="C50" i="60"/>
  <c r="AO49" i="60"/>
  <c r="AN49" i="60"/>
  <c r="AM49" i="60"/>
  <c r="AL49" i="60"/>
  <c r="AI49" i="60"/>
  <c r="C49" i="60"/>
  <c r="AO48" i="60"/>
  <c r="AN48" i="60"/>
  <c r="AM48" i="60"/>
  <c r="AL48" i="60"/>
  <c r="AI48" i="60"/>
  <c r="C48" i="60"/>
  <c r="AO47" i="60"/>
  <c r="AN47" i="60"/>
  <c r="AM47" i="60"/>
  <c r="AL47" i="60"/>
  <c r="AI47" i="60"/>
  <c r="C47" i="60"/>
  <c r="AO46" i="60"/>
  <c r="AN46" i="60"/>
  <c r="AM46" i="60"/>
  <c r="AL46" i="60"/>
  <c r="AI46" i="60"/>
  <c r="C46" i="60"/>
  <c r="AO45" i="60"/>
  <c r="AN45" i="60"/>
  <c r="AM45" i="60"/>
  <c r="AL45" i="60"/>
  <c r="AI45" i="60"/>
  <c r="C45" i="60"/>
  <c r="AO44" i="60"/>
  <c r="AN44" i="60"/>
  <c r="AM44" i="60"/>
  <c r="AL44" i="60"/>
  <c r="AI44" i="60"/>
  <c r="C44" i="60"/>
  <c r="AO43" i="60"/>
  <c r="AN43" i="60"/>
  <c r="AM43" i="60"/>
  <c r="AL43" i="60"/>
  <c r="AI43" i="60"/>
  <c r="C43" i="60"/>
  <c r="AO42" i="60"/>
  <c r="AN42" i="60"/>
  <c r="AM42" i="60"/>
  <c r="AL42" i="60"/>
  <c r="AI42" i="60"/>
  <c r="C42" i="60"/>
  <c r="AO41" i="60"/>
  <c r="AN41" i="60"/>
  <c r="AM41" i="60"/>
  <c r="AL41" i="60"/>
  <c r="AI41" i="60"/>
  <c r="C41" i="60"/>
  <c r="AO40" i="60"/>
  <c r="AN40" i="60"/>
  <c r="AM40" i="60"/>
  <c r="AL40" i="60"/>
  <c r="C40" i="60"/>
  <c r="AO39" i="60"/>
  <c r="AN39" i="60"/>
  <c r="AM39" i="60"/>
  <c r="AL39" i="60"/>
  <c r="C39" i="60"/>
  <c r="AO38" i="60"/>
  <c r="AN38" i="60"/>
  <c r="AM38" i="60"/>
  <c r="AL38" i="60"/>
  <c r="C38" i="60"/>
  <c r="AO37" i="60"/>
  <c r="AN37" i="60"/>
  <c r="AM37" i="60"/>
  <c r="AL37" i="60"/>
  <c r="C37" i="60"/>
  <c r="AO36" i="60"/>
  <c r="AN36" i="60"/>
  <c r="AM36" i="60"/>
  <c r="AL36" i="60"/>
  <c r="C36" i="60"/>
  <c r="AO35" i="60"/>
  <c r="AN35" i="60"/>
  <c r="AM35" i="60"/>
  <c r="AL35" i="60"/>
  <c r="C35" i="60"/>
  <c r="AM34" i="60"/>
  <c r="AL34" i="60"/>
  <c r="C34" i="60"/>
  <c r="AO33" i="60"/>
  <c r="AN33" i="60"/>
  <c r="AM33" i="60"/>
  <c r="AL33" i="60"/>
  <c r="C33" i="60"/>
  <c r="AM32" i="60"/>
  <c r="AL32" i="60"/>
  <c r="C32" i="60"/>
  <c r="AM31" i="60"/>
  <c r="AL31" i="60"/>
  <c r="C31" i="60"/>
  <c r="AO30" i="60"/>
  <c r="AM30" i="60"/>
  <c r="AL30" i="60"/>
  <c r="C30" i="60"/>
  <c r="AO29" i="60"/>
  <c r="AN29" i="60"/>
  <c r="AM29" i="60"/>
  <c r="AL29" i="60"/>
  <c r="C29" i="60"/>
  <c r="AO28" i="60"/>
  <c r="AN28" i="60"/>
  <c r="AM28" i="60"/>
  <c r="AL28" i="60"/>
  <c r="C28" i="60"/>
  <c r="AO27" i="60"/>
  <c r="AN27" i="60"/>
  <c r="AM27" i="60"/>
  <c r="AL27" i="60"/>
  <c r="C27" i="60"/>
  <c r="AO26" i="60"/>
  <c r="AN26" i="60"/>
  <c r="AM26" i="60"/>
  <c r="AL26" i="60"/>
  <c r="C26" i="60"/>
  <c r="AO25" i="60"/>
  <c r="AN25" i="60"/>
  <c r="AM25" i="60"/>
  <c r="AL25" i="60"/>
  <c r="C25" i="60"/>
  <c r="AO24" i="60"/>
  <c r="AN24" i="60"/>
  <c r="AM24" i="60"/>
  <c r="AL24" i="60"/>
  <c r="C24" i="60"/>
  <c r="AO23" i="60"/>
  <c r="AN23" i="60"/>
  <c r="AM23" i="60"/>
  <c r="AL23" i="60"/>
  <c r="C23" i="60"/>
  <c r="AO22" i="60"/>
  <c r="AN22" i="60"/>
  <c r="AM22" i="60"/>
  <c r="AL22" i="60"/>
  <c r="C22" i="60"/>
  <c r="AO21" i="60"/>
  <c r="AN21" i="60"/>
  <c r="AM21" i="60"/>
  <c r="AL21" i="60"/>
  <c r="C21" i="60"/>
  <c r="AO20" i="60"/>
  <c r="AN20" i="60"/>
  <c r="AM20" i="60"/>
  <c r="AL20" i="60"/>
  <c r="C20" i="60"/>
  <c r="AO19" i="60"/>
  <c r="AN19" i="60"/>
  <c r="AM19" i="60"/>
  <c r="AL19" i="60"/>
  <c r="C19" i="60"/>
  <c r="AO18" i="60"/>
  <c r="AN18" i="60"/>
  <c r="AM18" i="60"/>
  <c r="AL18" i="60"/>
  <c r="C18" i="60"/>
  <c r="AO17" i="60"/>
  <c r="AN17" i="60"/>
  <c r="AM17" i="60"/>
  <c r="AL17" i="60"/>
  <c r="C17" i="60"/>
  <c r="AO16" i="60"/>
  <c r="AN16" i="60"/>
  <c r="AM16" i="60"/>
  <c r="AL16" i="60"/>
  <c r="C16" i="60"/>
  <c r="AO15" i="60"/>
  <c r="AN15" i="60"/>
  <c r="AM15" i="60"/>
  <c r="AL15" i="60"/>
  <c r="C15" i="60"/>
  <c r="AO14" i="60"/>
  <c r="AN14" i="60"/>
  <c r="AM14" i="60"/>
  <c r="AL14" i="60"/>
  <c r="C14" i="60"/>
  <c r="AO13" i="60"/>
  <c r="AN13" i="60"/>
  <c r="C13" i="60"/>
  <c r="AO12" i="60"/>
  <c r="AN12" i="60"/>
  <c r="C12" i="60"/>
  <c r="AO11" i="60"/>
  <c r="AN11" i="60"/>
  <c r="C11" i="60"/>
  <c r="AO10" i="60"/>
  <c r="AN10" i="60"/>
  <c r="AM10" i="60"/>
  <c r="C10" i="60"/>
  <c r="AO9" i="60"/>
  <c r="AN9" i="60"/>
  <c r="AM9" i="60"/>
  <c r="AL9" i="60"/>
  <c r="C9" i="60"/>
  <c r="AO8" i="60"/>
  <c r="AN8" i="60"/>
  <c r="AM8" i="60"/>
  <c r="AL8" i="60"/>
  <c r="C8" i="60"/>
  <c r="AO7" i="60"/>
  <c r="AN7" i="60"/>
  <c r="AM7" i="60"/>
  <c r="AL7" i="60"/>
  <c r="AC7" i="60"/>
  <c r="C7" i="60"/>
  <c r="AO6" i="60"/>
  <c r="AN6" i="60"/>
  <c r="AM6" i="60"/>
  <c r="AL6" i="60"/>
  <c r="AJ6" i="60"/>
  <c r="AJ7" i="60" s="1"/>
  <c r="AF6" i="60"/>
  <c r="A6" i="60" s="1"/>
  <c r="AC6" i="60"/>
  <c r="C6" i="60"/>
  <c r="AO5" i="60"/>
  <c r="AN5" i="60"/>
  <c r="AM5" i="60"/>
  <c r="AL5" i="60"/>
  <c r="AJ5" i="60"/>
  <c r="AK5" i="60" s="1"/>
  <c r="AC5" i="60"/>
  <c r="AI5" i="60" s="1"/>
  <c r="AI6" i="60" s="1"/>
  <c r="AI7" i="60" s="1"/>
  <c r="C5" i="60"/>
  <c r="B5" i="60"/>
  <c r="A5" i="60"/>
  <c r="AH4" i="60"/>
  <c r="AI4" i="60" s="1"/>
  <c r="AH9" i="62" l="1"/>
  <c r="AD10" i="62" s="1"/>
  <c r="AH8" i="61"/>
  <c r="AD9" i="61" s="1"/>
  <c r="AH34" i="65"/>
  <c r="E10" i="65" s="1"/>
  <c r="AP47" i="65"/>
  <c r="AJ47" i="65"/>
  <c r="AJ47" i="62"/>
  <c r="AH46" i="62" s="1"/>
  <c r="AK46" i="62"/>
  <c r="AP47" i="62"/>
  <c r="AH45" i="62"/>
  <c r="AF11" i="62"/>
  <c r="A10" i="62"/>
  <c r="AP19" i="62"/>
  <c r="AJ19" i="62"/>
  <c r="AP12" i="62"/>
  <c r="AK11" i="62"/>
  <c r="AJ12" i="62"/>
  <c r="AH11" i="62" s="1"/>
  <c r="AD12" i="62" s="1"/>
  <c r="B12" i="62" s="1"/>
  <c r="B9" i="61"/>
  <c r="AC9" i="61"/>
  <c r="AI9" i="61" s="1"/>
  <c r="AI10" i="61" s="1"/>
  <c r="AI11" i="61" s="1"/>
  <c r="AI12" i="61" s="1"/>
  <c r="AI13" i="61" s="1"/>
  <c r="AI14" i="61" s="1"/>
  <c r="AI15" i="61" s="1"/>
  <c r="AI16" i="61" s="1"/>
  <c r="AI17" i="61" s="1"/>
  <c r="AI18" i="61" s="1"/>
  <c r="AI19" i="61" s="1"/>
  <c r="AI20" i="61" s="1"/>
  <c r="AI21" i="61" s="1"/>
  <c r="AI22" i="61" s="1"/>
  <c r="AI23" i="61" s="1"/>
  <c r="AI24" i="61" s="1"/>
  <c r="AI25" i="61" s="1"/>
  <c r="AI26" i="61" s="1"/>
  <c r="AI27" i="61" s="1"/>
  <c r="AI28" i="61" s="1"/>
  <c r="AI29" i="61" s="1"/>
  <c r="AI30" i="61" s="1"/>
  <c r="AI31" i="61" s="1"/>
  <c r="AI32" i="61" s="1"/>
  <c r="AI33" i="61" s="1"/>
  <c r="AI34" i="61" s="1"/>
  <c r="AJ17" i="61"/>
  <c r="AP17" i="61"/>
  <c r="AK43" i="61"/>
  <c r="AP44" i="61"/>
  <c r="AJ44" i="61"/>
  <c r="AH43" i="61" s="1"/>
  <c r="AJ37" i="61"/>
  <c r="AP37" i="61"/>
  <c r="AH42" i="61"/>
  <c r="AJ10" i="61"/>
  <c r="AK9" i="61"/>
  <c r="AF10" i="61"/>
  <c r="A9" i="61"/>
  <c r="AH6" i="60"/>
  <c r="AD7" i="60" s="1"/>
  <c r="B7" i="60" s="1"/>
  <c r="AF7" i="60"/>
  <c r="AH5" i="60"/>
  <c r="AD6" i="60" s="1"/>
  <c r="AJ8" i="60"/>
  <c r="AH7" i="60" s="1"/>
  <c r="AD8" i="60" s="1"/>
  <c r="C62" i="57"/>
  <c r="B58" i="57"/>
  <c r="B56" i="57"/>
  <c r="AO51" i="57"/>
  <c r="AN51" i="57"/>
  <c r="AM51" i="57"/>
  <c r="AL51" i="57"/>
  <c r="AI51" i="57"/>
  <c r="C51" i="57"/>
  <c r="AO50" i="57"/>
  <c r="AN50" i="57"/>
  <c r="AM50" i="57"/>
  <c r="AL50" i="57"/>
  <c r="AI50" i="57"/>
  <c r="C50" i="57"/>
  <c r="AO49" i="57"/>
  <c r="AN49" i="57"/>
  <c r="AM49" i="57"/>
  <c r="AL49" i="57"/>
  <c r="AI49" i="57"/>
  <c r="C49" i="57"/>
  <c r="AO48" i="57"/>
  <c r="AN48" i="57"/>
  <c r="AM48" i="57"/>
  <c r="AL48" i="57"/>
  <c r="AI48" i="57"/>
  <c r="C48" i="57"/>
  <c r="AO47" i="57"/>
  <c r="AN47" i="57"/>
  <c r="AM47" i="57"/>
  <c r="AL47" i="57"/>
  <c r="AI47" i="57"/>
  <c r="C47" i="57"/>
  <c r="AO46" i="57"/>
  <c r="AN46" i="57"/>
  <c r="AM46" i="57"/>
  <c r="AL46" i="57"/>
  <c r="AI46" i="57"/>
  <c r="C46" i="57"/>
  <c r="AO45" i="57"/>
  <c r="AN45" i="57"/>
  <c r="AM45" i="57"/>
  <c r="AL45" i="57"/>
  <c r="AI45" i="57"/>
  <c r="C45" i="57"/>
  <c r="AO44" i="57"/>
  <c r="AN44" i="57"/>
  <c r="AM44" i="57"/>
  <c r="AL44" i="57"/>
  <c r="AI44" i="57"/>
  <c r="C44" i="57"/>
  <c r="AO43" i="57"/>
  <c r="AN43" i="57"/>
  <c r="AM43" i="57"/>
  <c r="AL43" i="57"/>
  <c r="AI43" i="57"/>
  <c r="C43" i="57"/>
  <c r="AO42" i="57"/>
  <c r="AN42" i="57"/>
  <c r="AM42" i="57"/>
  <c r="AL42" i="57"/>
  <c r="AI42" i="57"/>
  <c r="C42" i="57"/>
  <c r="AO41" i="57"/>
  <c r="AN41" i="57"/>
  <c r="AM41" i="57"/>
  <c r="AL41" i="57"/>
  <c r="AI41" i="57"/>
  <c r="C41" i="57"/>
  <c r="AO40" i="57"/>
  <c r="AN40" i="57"/>
  <c r="AM40" i="57"/>
  <c r="AL40" i="57"/>
  <c r="C40" i="57"/>
  <c r="AO39" i="57"/>
  <c r="AN39" i="57"/>
  <c r="AM39" i="57"/>
  <c r="AL39" i="57"/>
  <c r="AC39" i="57"/>
  <c r="C39" i="57"/>
  <c r="AO38" i="57"/>
  <c r="AN38" i="57"/>
  <c r="AM38" i="57"/>
  <c r="AL38" i="57"/>
  <c r="AC38" i="57"/>
  <c r="C38" i="57"/>
  <c r="AO37" i="57"/>
  <c r="AN37" i="57"/>
  <c r="AM37" i="57"/>
  <c r="AL37" i="57"/>
  <c r="C37" i="57"/>
  <c r="AO36" i="57"/>
  <c r="AN36" i="57"/>
  <c r="AM36" i="57"/>
  <c r="AL36" i="57"/>
  <c r="AC36" i="57"/>
  <c r="C36" i="57"/>
  <c r="AO35" i="57"/>
  <c r="AN35" i="57"/>
  <c r="AM35" i="57"/>
  <c r="AL35" i="57"/>
  <c r="C35" i="57"/>
  <c r="AM34" i="57"/>
  <c r="AL34" i="57"/>
  <c r="AC34" i="57"/>
  <c r="C34" i="57"/>
  <c r="AO33" i="57"/>
  <c r="AN33" i="57"/>
  <c r="AM33" i="57"/>
  <c r="AL33" i="57"/>
  <c r="AC33" i="57"/>
  <c r="C33" i="57"/>
  <c r="AM32" i="57"/>
  <c r="AL32" i="57"/>
  <c r="AC32" i="57"/>
  <c r="C32" i="57"/>
  <c r="AO31" i="57"/>
  <c r="AN31" i="57"/>
  <c r="AM31" i="57"/>
  <c r="AL31" i="57"/>
  <c r="AC31" i="57"/>
  <c r="C31" i="57"/>
  <c r="AO30" i="57"/>
  <c r="AN30" i="57"/>
  <c r="AM30" i="57"/>
  <c r="AL30" i="57"/>
  <c r="AC30" i="57"/>
  <c r="C30" i="57"/>
  <c r="AO29" i="57"/>
  <c r="AN29" i="57"/>
  <c r="AM29" i="57"/>
  <c r="AL29" i="57"/>
  <c r="AC29" i="57"/>
  <c r="C29" i="57"/>
  <c r="AO28" i="57"/>
  <c r="AN28" i="57"/>
  <c r="AM28" i="57"/>
  <c r="AL28" i="57"/>
  <c r="AC28" i="57"/>
  <c r="C28" i="57"/>
  <c r="AO27" i="57"/>
  <c r="AN27" i="57"/>
  <c r="AM27" i="57"/>
  <c r="AL27" i="57"/>
  <c r="AC27" i="57"/>
  <c r="C27" i="57"/>
  <c r="AO26" i="57"/>
  <c r="AN26" i="57"/>
  <c r="AM26" i="57"/>
  <c r="AL26" i="57"/>
  <c r="AC26" i="57"/>
  <c r="C26" i="57"/>
  <c r="AO25" i="57"/>
  <c r="AN25" i="57"/>
  <c r="AM25" i="57"/>
  <c r="AL25" i="57"/>
  <c r="AC25" i="57"/>
  <c r="C25" i="57"/>
  <c r="AO24" i="57"/>
  <c r="AN24" i="57"/>
  <c r="AM24" i="57"/>
  <c r="AL24" i="57"/>
  <c r="AC24" i="57"/>
  <c r="C24" i="57"/>
  <c r="AO23" i="57"/>
  <c r="AN23" i="57"/>
  <c r="AM23" i="57"/>
  <c r="AL23" i="57"/>
  <c r="AC23" i="57"/>
  <c r="C23" i="57"/>
  <c r="AO22" i="57"/>
  <c r="AN22" i="57"/>
  <c r="AM22" i="57"/>
  <c r="AL22" i="57"/>
  <c r="AC22" i="57"/>
  <c r="C22" i="57"/>
  <c r="AO21" i="57"/>
  <c r="AN21" i="57"/>
  <c r="AM21" i="57"/>
  <c r="AL21" i="57"/>
  <c r="AC21" i="57"/>
  <c r="C21" i="57"/>
  <c r="AO20" i="57"/>
  <c r="AN20" i="57"/>
  <c r="AM20" i="57"/>
  <c r="AL20" i="57"/>
  <c r="AC20" i="57"/>
  <c r="C20" i="57"/>
  <c r="AO19" i="57"/>
  <c r="AN19" i="57"/>
  <c r="AM19" i="57"/>
  <c r="AL19" i="57"/>
  <c r="AC19" i="57"/>
  <c r="C19" i="57"/>
  <c r="AO18" i="57"/>
  <c r="AN18" i="57"/>
  <c r="AM18" i="57"/>
  <c r="AL18" i="57"/>
  <c r="AC18" i="57"/>
  <c r="C18" i="57"/>
  <c r="AO17" i="57"/>
  <c r="AN17" i="57"/>
  <c r="AM17" i="57"/>
  <c r="AL17" i="57"/>
  <c r="AC17" i="57"/>
  <c r="C17" i="57"/>
  <c r="AO16" i="57"/>
  <c r="AN16" i="57"/>
  <c r="AM16" i="57"/>
  <c r="AL16" i="57"/>
  <c r="AC16" i="57"/>
  <c r="C16" i="57"/>
  <c r="AO15" i="57"/>
  <c r="AN15" i="57"/>
  <c r="AM15" i="57"/>
  <c r="AL15" i="57"/>
  <c r="AC15" i="57"/>
  <c r="C15" i="57"/>
  <c r="AO14" i="57"/>
  <c r="AN14" i="57"/>
  <c r="AM14" i="57"/>
  <c r="AL14" i="57"/>
  <c r="AC14" i="57"/>
  <c r="C14" i="57"/>
  <c r="AO13" i="57"/>
  <c r="AN13" i="57"/>
  <c r="AC13" i="57"/>
  <c r="C13" i="57"/>
  <c r="AO12" i="57"/>
  <c r="AN12" i="57"/>
  <c r="AC12" i="57"/>
  <c r="C12" i="57"/>
  <c r="AO11" i="57"/>
  <c r="AN11" i="57"/>
  <c r="AM11" i="57"/>
  <c r="AL11" i="57"/>
  <c r="AC11" i="57"/>
  <c r="C11" i="57"/>
  <c r="AO10" i="57"/>
  <c r="AN10" i="57"/>
  <c r="AC10" i="57"/>
  <c r="C10" i="57"/>
  <c r="AO9" i="57"/>
  <c r="AN9" i="57"/>
  <c r="AM9" i="57"/>
  <c r="AL9" i="57"/>
  <c r="C9" i="57"/>
  <c r="AO8" i="57"/>
  <c r="AN8" i="57"/>
  <c r="AM8" i="57"/>
  <c r="AL8" i="57"/>
  <c r="C8" i="57"/>
  <c r="AO7" i="57"/>
  <c r="AN7" i="57"/>
  <c r="AM7" i="57"/>
  <c r="AL7" i="57"/>
  <c r="AC7" i="57"/>
  <c r="C7" i="57"/>
  <c r="AO6" i="57"/>
  <c r="AN6" i="57"/>
  <c r="AM6" i="57"/>
  <c r="AL6" i="57"/>
  <c r="AJ6" i="57"/>
  <c r="AJ7" i="57" s="1"/>
  <c r="AF6" i="57"/>
  <c r="AF7" i="57" s="1"/>
  <c r="A7" i="57" s="1"/>
  <c r="AC6" i="57"/>
  <c r="C6" i="57"/>
  <c r="AO5" i="57"/>
  <c r="AN5" i="57"/>
  <c r="AM5" i="57"/>
  <c r="AL5" i="57"/>
  <c r="AJ5" i="57"/>
  <c r="AK5" i="57" s="1"/>
  <c r="AC5" i="57"/>
  <c r="AI5" i="57" s="1"/>
  <c r="C5" i="57"/>
  <c r="B5" i="57"/>
  <c r="A5" i="57"/>
  <c r="AI4" i="57"/>
  <c r="AH4" i="57"/>
  <c r="B10" i="62" l="1"/>
  <c r="AK10" i="62"/>
  <c r="AK35" i="65"/>
  <c r="AI35" i="65"/>
  <c r="AI38" i="65"/>
  <c r="AJ48" i="65"/>
  <c r="AP48" i="65"/>
  <c r="AP20" i="62"/>
  <c r="AJ20" i="62"/>
  <c r="AF12" i="62"/>
  <c r="A11" i="62"/>
  <c r="AH12" i="62"/>
  <c r="AD13" i="62" s="1"/>
  <c r="AP13" i="62"/>
  <c r="AK12" i="62"/>
  <c r="AK47" i="62"/>
  <c r="AP48" i="62"/>
  <c r="AJ48" i="62"/>
  <c r="AH47" i="62" s="1"/>
  <c r="AC35" i="61"/>
  <c r="AI35" i="61" s="1"/>
  <c r="AI36" i="61" s="1"/>
  <c r="AH9" i="61"/>
  <c r="AD10" i="61" s="1"/>
  <c r="B10" i="61" s="1"/>
  <c r="AP38" i="61"/>
  <c r="AJ38" i="61"/>
  <c r="AJ39" i="61" s="1"/>
  <c r="AP40" i="61" s="1"/>
  <c r="AF11" i="61"/>
  <c r="A10" i="61"/>
  <c r="AJ11" i="61"/>
  <c r="AH10" i="61" s="1"/>
  <c r="AD11" i="61" s="1"/>
  <c r="B11" i="61" s="1"/>
  <c r="AP11" i="61"/>
  <c r="AP18" i="61"/>
  <c r="AJ18" i="61"/>
  <c r="AJ45" i="61"/>
  <c r="AH44" i="61" s="1"/>
  <c r="AP45" i="61"/>
  <c r="AK44" i="61"/>
  <c r="AK7" i="60"/>
  <c r="AC8" i="60"/>
  <c r="AI8" i="60" s="1"/>
  <c r="B8" i="60"/>
  <c r="AF8" i="60"/>
  <c r="AF9" i="60" s="1"/>
  <c r="AF10" i="60" s="1"/>
  <c r="AF11" i="60" s="1"/>
  <c r="AF12" i="60" s="1"/>
  <c r="AF13" i="60" s="1"/>
  <c r="AF14" i="60" s="1"/>
  <c r="AF15" i="60" s="1"/>
  <c r="AF16" i="60" s="1"/>
  <c r="AF17" i="60" s="1"/>
  <c r="AF18" i="60" s="1"/>
  <c r="AF19" i="60" s="1"/>
  <c r="AF20" i="60" s="1"/>
  <c r="AF21" i="60" s="1"/>
  <c r="AF22" i="60" s="1"/>
  <c r="AF23" i="60" s="1"/>
  <c r="AF24" i="60" s="1"/>
  <c r="AF25" i="60" s="1"/>
  <c r="AF26" i="60" s="1"/>
  <c r="AF27" i="60" s="1"/>
  <c r="AF28" i="60" s="1"/>
  <c r="AF29" i="60" s="1"/>
  <c r="AF30" i="60" s="1"/>
  <c r="AF31" i="60" s="1"/>
  <c r="AF32" i="60" s="1"/>
  <c r="AF33" i="60" s="1"/>
  <c r="AF34" i="60" s="1"/>
  <c r="AF35" i="60" s="1"/>
  <c r="A35" i="60" s="1"/>
  <c r="A7" i="60"/>
  <c r="AJ9" i="60"/>
  <c r="AK8" i="60"/>
  <c r="AK6" i="60"/>
  <c r="B6" i="60"/>
  <c r="A6" i="57"/>
  <c r="AJ8" i="57"/>
  <c r="AH5" i="57"/>
  <c r="AD6" i="57" s="1"/>
  <c r="B6" i="57" s="1"/>
  <c r="AI6" i="57"/>
  <c r="AI7" i="57" s="1"/>
  <c r="AF8" i="57"/>
  <c r="AJ40" i="57"/>
  <c r="AC36" i="56"/>
  <c r="AC35" i="56"/>
  <c r="AC34" i="56"/>
  <c r="AC33" i="56"/>
  <c r="AC32" i="56"/>
  <c r="AC31" i="56"/>
  <c r="C62" i="56"/>
  <c r="B58" i="56"/>
  <c r="B56" i="56"/>
  <c r="AO51" i="56"/>
  <c r="AN51" i="56"/>
  <c r="AM51" i="56"/>
  <c r="AL51" i="56"/>
  <c r="AI51" i="56"/>
  <c r="C51" i="56"/>
  <c r="AO50" i="56"/>
  <c r="AN50" i="56"/>
  <c r="AM50" i="56"/>
  <c r="AL50" i="56"/>
  <c r="AI50" i="56"/>
  <c r="C50" i="56"/>
  <c r="AO49" i="56"/>
  <c r="AN49" i="56"/>
  <c r="AM49" i="56"/>
  <c r="AL49" i="56"/>
  <c r="AI49" i="56"/>
  <c r="C49" i="56"/>
  <c r="AO48" i="56"/>
  <c r="AN48" i="56"/>
  <c r="AM48" i="56"/>
  <c r="AL48" i="56"/>
  <c r="AI48" i="56"/>
  <c r="C48" i="56"/>
  <c r="AO47" i="56"/>
  <c r="AN47" i="56"/>
  <c r="AM47" i="56"/>
  <c r="AL47" i="56"/>
  <c r="AI47" i="56"/>
  <c r="C47" i="56"/>
  <c r="AO46" i="56"/>
  <c r="AN46" i="56"/>
  <c r="AM46" i="56"/>
  <c r="AL46" i="56"/>
  <c r="AI46" i="56"/>
  <c r="C46" i="56"/>
  <c r="AO45" i="56"/>
  <c r="AN45" i="56"/>
  <c r="AM45" i="56"/>
  <c r="AL45" i="56"/>
  <c r="AI45" i="56"/>
  <c r="C45" i="56"/>
  <c r="AO44" i="56"/>
  <c r="AN44" i="56"/>
  <c r="AM44" i="56"/>
  <c r="AL44" i="56"/>
  <c r="AI44" i="56"/>
  <c r="C44" i="56"/>
  <c r="AO43" i="56"/>
  <c r="AN43" i="56"/>
  <c r="AM43" i="56"/>
  <c r="AL43" i="56"/>
  <c r="AI43" i="56"/>
  <c r="C43" i="56"/>
  <c r="AO42" i="56"/>
  <c r="AN42" i="56"/>
  <c r="AM42" i="56"/>
  <c r="AL42" i="56"/>
  <c r="AI42" i="56"/>
  <c r="C42" i="56"/>
  <c r="AO41" i="56"/>
  <c r="AN41" i="56"/>
  <c r="AM41" i="56"/>
  <c r="AL41" i="56"/>
  <c r="AI41" i="56"/>
  <c r="C41" i="56"/>
  <c r="AO40" i="56"/>
  <c r="AN40" i="56"/>
  <c r="AM40" i="56"/>
  <c r="AL40" i="56"/>
  <c r="C40" i="56"/>
  <c r="AO39" i="56"/>
  <c r="AN39" i="56"/>
  <c r="AM39" i="56"/>
  <c r="AL39" i="56"/>
  <c r="C39" i="56"/>
  <c r="AO38" i="56"/>
  <c r="AN38" i="56"/>
  <c r="AM38" i="56"/>
  <c r="AL38" i="56"/>
  <c r="C38" i="56"/>
  <c r="AO37" i="56"/>
  <c r="AN37" i="56"/>
  <c r="AM37" i="56"/>
  <c r="AL37" i="56"/>
  <c r="C37" i="56"/>
  <c r="AO36" i="56"/>
  <c r="AN36" i="56"/>
  <c r="AM36" i="56"/>
  <c r="AL36" i="56"/>
  <c r="C36" i="56"/>
  <c r="AO35" i="56"/>
  <c r="AN35" i="56"/>
  <c r="AM35" i="56"/>
  <c r="AL35" i="56"/>
  <c r="C35" i="56"/>
  <c r="AO34" i="56"/>
  <c r="AN34" i="56"/>
  <c r="AM34" i="56"/>
  <c r="AL34" i="56"/>
  <c r="C34" i="56"/>
  <c r="AO33" i="56"/>
  <c r="AN33" i="56"/>
  <c r="AM33" i="56"/>
  <c r="AL33" i="56"/>
  <c r="C33" i="56"/>
  <c r="AM32" i="56"/>
  <c r="AL32" i="56"/>
  <c r="C32" i="56"/>
  <c r="AO31" i="56"/>
  <c r="AN31" i="56"/>
  <c r="AM31" i="56"/>
  <c r="AL31" i="56"/>
  <c r="C31" i="56"/>
  <c r="AO30" i="56"/>
  <c r="AN30" i="56"/>
  <c r="AM30" i="56"/>
  <c r="AL30" i="56"/>
  <c r="AC30" i="56"/>
  <c r="C30" i="56"/>
  <c r="AO29" i="56"/>
  <c r="AN29" i="56"/>
  <c r="AM29" i="56"/>
  <c r="AL29" i="56"/>
  <c r="AC29" i="56"/>
  <c r="C29" i="56"/>
  <c r="AO28" i="56"/>
  <c r="AN28" i="56"/>
  <c r="AM28" i="56"/>
  <c r="AL28" i="56"/>
  <c r="AC28" i="56"/>
  <c r="C28" i="56"/>
  <c r="AO27" i="56"/>
  <c r="AN27" i="56"/>
  <c r="AM27" i="56"/>
  <c r="AL27" i="56"/>
  <c r="C27" i="56"/>
  <c r="AM26" i="56"/>
  <c r="AL26" i="56"/>
  <c r="AC26" i="56"/>
  <c r="C26" i="56"/>
  <c r="AO25" i="56"/>
  <c r="AN25" i="56"/>
  <c r="AM25" i="56"/>
  <c r="AL25" i="56"/>
  <c r="AC25" i="56"/>
  <c r="C25" i="56"/>
  <c r="AO24" i="56"/>
  <c r="AN24" i="56"/>
  <c r="AM24" i="56"/>
  <c r="AL24" i="56"/>
  <c r="AC24" i="56"/>
  <c r="C24" i="56"/>
  <c r="AO23" i="56"/>
  <c r="AN23" i="56"/>
  <c r="AM23" i="56"/>
  <c r="AL23" i="56"/>
  <c r="AC23" i="56"/>
  <c r="C23" i="56"/>
  <c r="AO22" i="56"/>
  <c r="AN22" i="56"/>
  <c r="AM22" i="56"/>
  <c r="AL22" i="56"/>
  <c r="AC22" i="56"/>
  <c r="C22" i="56"/>
  <c r="AO21" i="56"/>
  <c r="AN21" i="56"/>
  <c r="AM21" i="56"/>
  <c r="AL21" i="56"/>
  <c r="AC21" i="56"/>
  <c r="C21" i="56"/>
  <c r="AO20" i="56"/>
  <c r="AN20" i="56"/>
  <c r="AM20" i="56"/>
  <c r="AL20" i="56"/>
  <c r="AC20" i="56"/>
  <c r="C20" i="56"/>
  <c r="AO19" i="56"/>
  <c r="AN19" i="56"/>
  <c r="AM19" i="56"/>
  <c r="AL19" i="56"/>
  <c r="AC19" i="56"/>
  <c r="C19" i="56"/>
  <c r="AO18" i="56"/>
  <c r="AN18" i="56"/>
  <c r="AM18" i="56"/>
  <c r="AL18" i="56"/>
  <c r="AC18" i="56"/>
  <c r="C18" i="56"/>
  <c r="AO17" i="56"/>
  <c r="AN17" i="56"/>
  <c r="AM17" i="56"/>
  <c r="AL17" i="56"/>
  <c r="AC17" i="56"/>
  <c r="C17" i="56"/>
  <c r="AO16" i="56"/>
  <c r="AN16" i="56"/>
  <c r="AM16" i="56"/>
  <c r="AL16" i="56"/>
  <c r="AC16" i="56"/>
  <c r="C16" i="56"/>
  <c r="AO15" i="56"/>
  <c r="AN15" i="56"/>
  <c r="AM15" i="56"/>
  <c r="AL15" i="56"/>
  <c r="AC15" i="56"/>
  <c r="C15" i="56"/>
  <c r="AO14" i="56"/>
  <c r="AN14" i="56"/>
  <c r="AM14" i="56"/>
  <c r="AL14" i="56"/>
  <c r="AC14" i="56"/>
  <c r="C14" i="56"/>
  <c r="AO13" i="56"/>
  <c r="AN13" i="56"/>
  <c r="AM13" i="56"/>
  <c r="AL13" i="56"/>
  <c r="AC13" i="56"/>
  <c r="C13" i="56"/>
  <c r="AO12" i="56"/>
  <c r="AN12" i="56"/>
  <c r="AM12" i="56"/>
  <c r="AL12" i="56"/>
  <c r="AC12" i="56"/>
  <c r="C12" i="56"/>
  <c r="AO11" i="56"/>
  <c r="AN11" i="56"/>
  <c r="AC11" i="56"/>
  <c r="C11" i="56"/>
  <c r="AO10" i="56"/>
  <c r="AN10" i="56"/>
  <c r="AC10" i="56"/>
  <c r="C10" i="56"/>
  <c r="AO9" i="56"/>
  <c r="AN9" i="56"/>
  <c r="AM9" i="56"/>
  <c r="AL9" i="56"/>
  <c r="C9" i="56"/>
  <c r="AO8" i="56"/>
  <c r="AN8" i="56"/>
  <c r="AM8" i="56"/>
  <c r="AL8" i="56"/>
  <c r="C8" i="56"/>
  <c r="AO7" i="56"/>
  <c r="AN7" i="56"/>
  <c r="AM7" i="56"/>
  <c r="AL7" i="56"/>
  <c r="AC7" i="56"/>
  <c r="C7" i="56"/>
  <c r="AO6" i="56"/>
  <c r="AN6" i="56"/>
  <c r="AM6" i="56"/>
  <c r="AL6" i="56"/>
  <c r="AJ6" i="56"/>
  <c r="AJ7" i="56" s="1"/>
  <c r="AJ8" i="56" s="1"/>
  <c r="AF6" i="56"/>
  <c r="AC6" i="56"/>
  <c r="C6" i="56"/>
  <c r="AO5" i="56"/>
  <c r="AN5" i="56"/>
  <c r="AM5" i="56"/>
  <c r="AL5" i="56"/>
  <c r="AJ5" i="56"/>
  <c r="AC5" i="56"/>
  <c r="AI5" i="56" s="1"/>
  <c r="AI6" i="56" s="1"/>
  <c r="C5" i="56"/>
  <c r="B5" i="56"/>
  <c r="A5" i="56"/>
  <c r="AH4" i="56"/>
  <c r="AI4" i="56" s="1"/>
  <c r="AH35" i="65" l="1"/>
  <c r="AI36" i="65" s="1"/>
  <c r="AP49" i="65"/>
  <c r="AJ49" i="65"/>
  <c r="AH6" i="57"/>
  <c r="AD7" i="57" s="1"/>
  <c r="B7" i="57" s="1"/>
  <c r="AL13" i="62"/>
  <c r="AL4" i="62" s="1"/>
  <c r="B53" i="62" s="1"/>
  <c r="B13" i="62"/>
  <c r="AK13" i="62"/>
  <c r="AJ49" i="62"/>
  <c r="AH48" i="62" s="1"/>
  <c r="AK48" i="62"/>
  <c r="AP49" i="62"/>
  <c r="AF13" i="62"/>
  <c r="A12" i="62"/>
  <c r="AJ21" i="62"/>
  <c r="AP21" i="62"/>
  <c r="AK10" i="61"/>
  <c r="AK45" i="61"/>
  <c r="AP46" i="61"/>
  <c r="AJ46" i="61"/>
  <c r="AH45" i="61" s="1"/>
  <c r="AF12" i="61"/>
  <c r="A11" i="61"/>
  <c r="AP39" i="61"/>
  <c r="AP19" i="61"/>
  <c r="AJ19" i="61"/>
  <c r="AJ12" i="61"/>
  <c r="AH11" i="61" s="1"/>
  <c r="AD12" i="61" s="1"/>
  <c r="B12" i="61" s="1"/>
  <c r="AK11" i="61"/>
  <c r="AP12" i="61"/>
  <c r="AI37" i="61"/>
  <c r="AH36" i="61"/>
  <c r="AD37" i="61" s="1"/>
  <c r="AJ10" i="60"/>
  <c r="AH8" i="60"/>
  <c r="AD9" i="60" s="1"/>
  <c r="A8" i="60"/>
  <c r="AH5" i="56"/>
  <c r="AD6" i="56" s="1"/>
  <c r="B6" i="56" s="1"/>
  <c r="A6" i="56"/>
  <c r="AF7" i="56"/>
  <c r="A7" i="56" s="1"/>
  <c r="AH7" i="57"/>
  <c r="AD8" i="57" s="1"/>
  <c r="B8" i="57" s="1"/>
  <c r="AK6" i="57"/>
  <c r="AJ34" i="57"/>
  <c r="AJ41" i="57"/>
  <c r="AP41" i="57"/>
  <c r="A8" i="57"/>
  <c r="AF9" i="57"/>
  <c r="AJ9" i="57"/>
  <c r="AJ10" i="57" s="1"/>
  <c r="AK8" i="57"/>
  <c r="AI7" i="56"/>
  <c r="AH7" i="56" s="1"/>
  <c r="AD8" i="56" s="1"/>
  <c r="AH6" i="56"/>
  <c r="AD7" i="56" s="1"/>
  <c r="B7" i="56" s="1"/>
  <c r="AK5" i="56"/>
  <c r="AK6" i="56"/>
  <c r="AJ9" i="56"/>
  <c r="B56" i="55"/>
  <c r="B56" i="54"/>
  <c r="AK7" i="57" l="1"/>
  <c r="AK36" i="65"/>
  <c r="AH36" i="65" s="1"/>
  <c r="AP50" i="65"/>
  <c r="AJ50" i="65"/>
  <c r="AF14" i="62"/>
  <c r="A13" i="62"/>
  <c r="AM13" i="62"/>
  <c r="AM4" i="62" s="1"/>
  <c r="A53" i="62" s="1"/>
  <c r="AK14" i="62"/>
  <c r="AH13" i="62"/>
  <c r="AD14" i="62" s="1"/>
  <c r="B14" i="62" s="1"/>
  <c r="AJ22" i="62"/>
  <c r="AP22" i="62"/>
  <c r="AK49" i="62"/>
  <c r="AP50" i="62"/>
  <c r="AJ50" i="62"/>
  <c r="AH49" i="62" s="1"/>
  <c r="AC8" i="57"/>
  <c r="AI8" i="57" s="1"/>
  <c r="AH8" i="57" s="1"/>
  <c r="AD9" i="57" s="1"/>
  <c r="B9" i="57" s="1"/>
  <c r="AP13" i="61"/>
  <c r="AK12" i="61"/>
  <c r="AH12" i="61"/>
  <c r="AD13" i="61" s="1"/>
  <c r="AF13" i="61"/>
  <c r="A12" i="61"/>
  <c r="B37" i="61"/>
  <c r="AK37" i="61"/>
  <c r="AJ20" i="61"/>
  <c r="AP20" i="61"/>
  <c r="AJ47" i="61"/>
  <c r="AH46" i="61" s="1"/>
  <c r="AP47" i="61"/>
  <c r="AK46" i="61"/>
  <c r="AH37" i="61"/>
  <c r="AD38" i="61" s="1"/>
  <c r="AC38" i="61" s="1"/>
  <c r="AI38" i="61" s="1"/>
  <c r="B9" i="60"/>
  <c r="AI9" i="60"/>
  <c r="AI10" i="60" s="1"/>
  <c r="AI11" i="60" s="1"/>
  <c r="AI12" i="60" s="1"/>
  <c r="AI13" i="60" s="1"/>
  <c r="AI14" i="60" s="1"/>
  <c r="AI15" i="60" s="1"/>
  <c r="AI16" i="60" s="1"/>
  <c r="AI17" i="60" s="1"/>
  <c r="AI18" i="60" s="1"/>
  <c r="AI19" i="60" s="1"/>
  <c r="AI20" i="60" s="1"/>
  <c r="AI21" i="60" s="1"/>
  <c r="AI22" i="60" s="1"/>
  <c r="AI23" i="60" s="1"/>
  <c r="AI24" i="60" s="1"/>
  <c r="AI25" i="60" s="1"/>
  <c r="AI26" i="60" s="1"/>
  <c r="AI27" i="60" s="1"/>
  <c r="AI28" i="60" s="1"/>
  <c r="AI29" i="60" s="1"/>
  <c r="AI30" i="60" s="1"/>
  <c r="AI31" i="60" s="1"/>
  <c r="AJ11" i="60"/>
  <c r="AP11" i="60"/>
  <c r="A9" i="60"/>
  <c r="AK9" i="60"/>
  <c r="AJ11" i="57"/>
  <c r="AP11" i="57"/>
  <c r="AF8" i="56"/>
  <c r="AF10" i="57"/>
  <c r="A9" i="57"/>
  <c r="AC9" i="57"/>
  <c r="AJ13" i="57"/>
  <c r="AP42" i="57"/>
  <c r="AJ42" i="57"/>
  <c r="AH41" i="57" s="1"/>
  <c r="AK41" i="57"/>
  <c r="AJ35" i="57"/>
  <c r="AP35" i="57"/>
  <c r="AC8" i="56"/>
  <c r="AI8" i="56" s="1"/>
  <c r="B8" i="56"/>
  <c r="AK8" i="56"/>
  <c r="AK7" i="56"/>
  <c r="AJ32" i="56"/>
  <c r="AJ10" i="56"/>
  <c r="AJ11" i="56" s="1"/>
  <c r="C62" i="55"/>
  <c r="B58" i="55"/>
  <c r="AO51" i="55"/>
  <c r="AN51" i="55"/>
  <c r="AM51" i="55"/>
  <c r="AL51" i="55"/>
  <c r="C51" i="55"/>
  <c r="AO50" i="55"/>
  <c r="AN50" i="55"/>
  <c r="AM50" i="55"/>
  <c r="AL50" i="55"/>
  <c r="C50" i="55"/>
  <c r="AO49" i="55"/>
  <c r="AN49" i="55"/>
  <c r="AM49" i="55"/>
  <c r="AL49" i="55"/>
  <c r="C49" i="55"/>
  <c r="AO48" i="55"/>
  <c r="AN48" i="55"/>
  <c r="AM48" i="55"/>
  <c r="AL48" i="55"/>
  <c r="C48" i="55"/>
  <c r="AO47" i="55"/>
  <c r="AN47" i="55"/>
  <c r="AM47" i="55"/>
  <c r="AL47" i="55"/>
  <c r="C47" i="55"/>
  <c r="AO46" i="55"/>
  <c r="AN46" i="55"/>
  <c r="AM46" i="55"/>
  <c r="AL46" i="55"/>
  <c r="C46" i="55"/>
  <c r="AO45" i="55"/>
  <c r="AN45" i="55"/>
  <c r="AM45" i="55"/>
  <c r="AL45" i="55"/>
  <c r="C45" i="55"/>
  <c r="AO44" i="55"/>
  <c r="AN44" i="55"/>
  <c r="AM44" i="55"/>
  <c r="AL44" i="55"/>
  <c r="C44" i="55"/>
  <c r="AO43" i="55"/>
  <c r="AN43" i="55"/>
  <c r="AM43" i="55"/>
  <c r="AL43" i="55"/>
  <c r="C43" i="55"/>
  <c r="AO42" i="55"/>
  <c r="AN42" i="55"/>
  <c r="AM42" i="55"/>
  <c r="AL42" i="55"/>
  <c r="C42" i="55"/>
  <c r="AO41" i="55"/>
  <c r="AN41" i="55"/>
  <c r="AM41" i="55"/>
  <c r="AL41" i="55"/>
  <c r="C41" i="55"/>
  <c r="AO40" i="55"/>
  <c r="AN40" i="55"/>
  <c r="AM40" i="55"/>
  <c r="AL40" i="55"/>
  <c r="C40" i="55"/>
  <c r="AO39" i="55"/>
  <c r="AN39" i="55"/>
  <c r="AM39" i="55"/>
  <c r="AL39" i="55"/>
  <c r="C39" i="55"/>
  <c r="AO38" i="55"/>
  <c r="AN38" i="55"/>
  <c r="AM38" i="55"/>
  <c r="AL38" i="55"/>
  <c r="C38" i="55"/>
  <c r="AO37" i="55"/>
  <c r="AN37" i="55"/>
  <c r="AM37" i="55"/>
  <c r="AL37" i="55"/>
  <c r="C37" i="55"/>
  <c r="AO36" i="55"/>
  <c r="AN36" i="55"/>
  <c r="AM36" i="55"/>
  <c r="AL36" i="55"/>
  <c r="C36" i="55"/>
  <c r="AO35" i="55"/>
  <c r="AN35" i="55"/>
  <c r="AM35" i="55"/>
  <c r="AL35" i="55"/>
  <c r="C35" i="55"/>
  <c r="AO34" i="55"/>
  <c r="AN34" i="55"/>
  <c r="AM34" i="55"/>
  <c r="AL34" i="55"/>
  <c r="C34" i="55"/>
  <c r="AO33" i="55"/>
  <c r="AN33" i="55"/>
  <c r="AM33" i="55"/>
  <c r="AL33" i="55"/>
  <c r="C33" i="55"/>
  <c r="AO32" i="55"/>
  <c r="AN32" i="55"/>
  <c r="AM32" i="55"/>
  <c r="AL32" i="55"/>
  <c r="C32" i="55"/>
  <c r="AO31" i="55"/>
  <c r="AN31" i="55"/>
  <c r="AM31" i="55"/>
  <c r="AL31" i="55"/>
  <c r="C31" i="55"/>
  <c r="AO30" i="55"/>
  <c r="AN30" i="55"/>
  <c r="AM30" i="55"/>
  <c r="AL30" i="55"/>
  <c r="C30" i="55"/>
  <c r="AO29" i="55"/>
  <c r="AN29" i="55"/>
  <c r="AM29" i="55"/>
  <c r="AL29" i="55"/>
  <c r="AJ29" i="55"/>
  <c r="AC29" i="55"/>
  <c r="C29" i="55"/>
  <c r="AO28" i="55"/>
  <c r="AN28" i="55"/>
  <c r="AM28" i="55"/>
  <c r="AL28" i="55"/>
  <c r="AC28" i="55"/>
  <c r="C28" i="55"/>
  <c r="AO27" i="55"/>
  <c r="AN27" i="55"/>
  <c r="AM27" i="55"/>
  <c r="AL27" i="55"/>
  <c r="C27" i="55"/>
  <c r="AM26" i="55"/>
  <c r="AL26" i="55"/>
  <c r="AJ26" i="55"/>
  <c r="C26" i="55"/>
  <c r="AM25" i="55"/>
  <c r="AL25" i="55"/>
  <c r="AC25" i="55"/>
  <c r="C25" i="55"/>
  <c r="AO24" i="55"/>
  <c r="AN24" i="55"/>
  <c r="AM24" i="55"/>
  <c r="AL24" i="55"/>
  <c r="AC24" i="55"/>
  <c r="C24" i="55"/>
  <c r="AO23" i="55"/>
  <c r="AN23" i="55"/>
  <c r="AM23" i="55"/>
  <c r="AL23" i="55"/>
  <c r="AC23" i="55"/>
  <c r="C23" i="55"/>
  <c r="AO22" i="55"/>
  <c r="AN22" i="55"/>
  <c r="AM22" i="55"/>
  <c r="AL22" i="55"/>
  <c r="AC22" i="55"/>
  <c r="C22" i="55"/>
  <c r="AO21" i="55"/>
  <c r="AN21" i="55"/>
  <c r="AM21" i="55"/>
  <c r="AL21" i="55"/>
  <c r="AC21" i="55"/>
  <c r="C21" i="55"/>
  <c r="AO20" i="55"/>
  <c r="AN20" i="55"/>
  <c r="AM20" i="55"/>
  <c r="AL20" i="55"/>
  <c r="AC20" i="55"/>
  <c r="C20" i="55"/>
  <c r="AO19" i="55"/>
  <c r="AN19" i="55"/>
  <c r="AM19" i="55"/>
  <c r="AL19" i="55"/>
  <c r="AC19" i="55"/>
  <c r="C19" i="55"/>
  <c r="AO18" i="55"/>
  <c r="AN18" i="55"/>
  <c r="AM18" i="55"/>
  <c r="AL18" i="55"/>
  <c r="AC18" i="55"/>
  <c r="C18" i="55"/>
  <c r="AO17" i="55"/>
  <c r="AN17" i="55"/>
  <c r="AM17" i="55"/>
  <c r="AL17" i="55"/>
  <c r="AC17" i="55"/>
  <c r="C17" i="55"/>
  <c r="AO16" i="55"/>
  <c r="AN16" i="55"/>
  <c r="AM16" i="55"/>
  <c r="AL16" i="55"/>
  <c r="AC16" i="55"/>
  <c r="C16" i="55"/>
  <c r="AO15" i="55"/>
  <c r="AN15" i="55"/>
  <c r="AM15" i="55"/>
  <c r="AL15" i="55"/>
  <c r="AC15" i="55"/>
  <c r="C15" i="55"/>
  <c r="AO14" i="55"/>
  <c r="AN14" i="55"/>
  <c r="AM14" i="55"/>
  <c r="AL14" i="55"/>
  <c r="AC14" i="55"/>
  <c r="C14" i="55"/>
  <c r="AO13" i="55"/>
  <c r="AN13" i="55"/>
  <c r="AM13" i="55"/>
  <c r="AL13" i="55"/>
  <c r="AC13" i="55"/>
  <c r="C13" i="55"/>
  <c r="AO12" i="55"/>
  <c r="AN12" i="55"/>
  <c r="AC12" i="55"/>
  <c r="C12" i="55"/>
  <c r="AO11" i="55"/>
  <c r="AN11" i="55"/>
  <c r="AC11" i="55"/>
  <c r="C11" i="55"/>
  <c r="AO10" i="55"/>
  <c r="AN10" i="55"/>
  <c r="AM10" i="55"/>
  <c r="AL10" i="55"/>
  <c r="AC10" i="55"/>
  <c r="C10" i="55"/>
  <c r="AO9" i="55"/>
  <c r="AN9" i="55"/>
  <c r="AM9" i="55"/>
  <c r="AL9" i="55"/>
  <c r="C9" i="55"/>
  <c r="AO8" i="55"/>
  <c r="AN8" i="55"/>
  <c r="AM8" i="55"/>
  <c r="AL8" i="55"/>
  <c r="C8" i="55"/>
  <c r="AO7" i="55"/>
  <c r="AN7" i="55"/>
  <c r="AM7" i="55"/>
  <c r="AL7" i="55"/>
  <c r="AC7" i="55"/>
  <c r="C7" i="55"/>
  <c r="AO6" i="55"/>
  <c r="AN6" i="55"/>
  <c r="AM6" i="55"/>
  <c r="AL6" i="55"/>
  <c r="AJ6" i="55"/>
  <c r="AJ7" i="55" s="1"/>
  <c r="AF6" i="55"/>
  <c r="AF7" i="55" s="1"/>
  <c r="AF8" i="55" s="1"/>
  <c r="A8" i="55" s="1"/>
  <c r="AC6" i="55"/>
  <c r="C6" i="55"/>
  <c r="AO5" i="55"/>
  <c r="AN5" i="55"/>
  <c r="AM5" i="55"/>
  <c r="AL5" i="55"/>
  <c r="AJ5" i="55"/>
  <c r="AK5" i="55" s="1"/>
  <c r="AC5" i="55"/>
  <c r="AI5" i="55" s="1"/>
  <c r="AI6" i="55" s="1"/>
  <c r="AI7" i="55" s="1"/>
  <c r="C5" i="55"/>
  <c r="B5" i="55"/>
  <c r="A5" i="55"/>
  <c r="AH4" i="55"/>
  <c r="AI4" i="55" s="1"/>
  <c r="AK9" i="57" l="1"/>
  <c r="AK37" i="65"/>
  <c r="AI37" i="65"/>
  <c r="AH37" i="65" s="1"/>
  <c r="AP51" i="65"/>
  <c r="AJ51" i="65"/>
  <c r="AP23" i="62"/>
  <c r="AJ23" i="62"/>
  <c r="AJ51" i="62"/>
  <c r="AH50" i="62" s="1"/>
  <c r="AK50" i="62"/>
  <c r="AP51" i="62"/>
  <c r="AH14" i="62"/>
  <c r="AD15" i="62" s="1"/>
  <c r="B15" i="62" s="1"/>
  <c r="AK15" i="62"/>
  <c r="AF15" i="62"/>
  <c r="A14" i="62"/>
  <c r="AI9" i="57"/>
  <c r="AI10" i="57" s="1"/>
  <c r="AI11" i="57" s="1"/>
  <c r="AI12" i="57" s="1"/>
  <c r="AI13" i="57" s="1"/>
  <c r="AI14" i="57" s="1"/>
  <c r="AI15" i="57" s="1"/>
  <c r="AI16" i="57" s="1"/>
  <c r="AI17" i="57" s="1"/>
  <c r="AI18" i="57" s="1"/>
  <c r="AI19" i="57" s="1"/>
  <c r="AI20" i="57" s="1"/>
  <c r="AI21" i="57" s="1"/>
  <c r="AI22" i="57" s="1"/>
  <c r="AI23" i="57" s="1"/>
  <c r="AI24" i="57" s="1"/>
  <c r="AI25" i="57" s="1"/>
  <c r="AI26" i="57" s="1"/>
  <c r="AI27" i="57" s="1"/>
  <c r="AI28" i="57" s="1"/>
  <c r="AI29" i="57" s="1"/>
  <c r="AI30" i="57" s="1"/>
  <c r="AI31" i="57" s="1"/>
  <c r="AI32" i="57" s="1"/>
  <c r="B13" i="61"/>
  <c r="AL13" i="61"/>
  <c r="AL4" i="61" s="1"/>
  <c r="B53" i="61" s="1"/>
  <c r="AK13" i="61"/>
  <c r="B38" i="61"/>
  <c r="AK38" i="61"/>
  <c r="AJ21" i="61"/>
  <c r="AP21" i="61"/>
  <c r="AI39" i="61"/>
  <c r="AH38" i="61"/>
  <c r="AD39" i="61" s="1"/>
  <c r="AK47" i="61"/>
  <c r="AP48" i="61"/>
  <c r="AJ48" i="61"/>
  <c r="AH47" i="61" s="1"/>
  <c r="AF14" i="61"/>
  <c r="A13" i="61"/>
  <c r="AM13" i="61"/>
  <c r="AM4" i="61" s="1"/>
  <c r="A53" i="61" s="1"/>
  <c r="AH9" i="60"/>
  <c r="AL10" i="60"/>
  <c r="AP12" i="60"/>
  <c r="AJ12" i="60"/>
  <c r="A10" i="60"/>
  <c r="AF9" i="56"/>
  <c r="A8" i="56"/>
  <c r="AJ12" i="56"/>
  <c r="AP12" i="56"/>
  <c r="AJ12" i="57"/>
  <c r="AP13" i="57" s="1"/>
  <c r="AP12" i="57"/>
  <c r="AH9" i="57"/>
  <c r="AD10" i="57" s="1"/>
  <c r="AK10" i="57" s="1"/>
  <c r="A10" i="57"/>
  <c r="AF11" i="57"/>
  <c r="AM10" i="57"/>
  <c r="AP14" i="57"/>
  <c r="AJ14" i="57"/>
  <c r="AI33" i="57"/>
  <c r="AJ36" i="57"/>
  <c r="AP36" i="57"/>
  <c r="AJ43" i="57"/>
  <c r="AH42" i="57" s="1"/>
  <c r="AK42" i="57"/>
  <c r="AP43" i="57"/>
  <c r="AM11" i="56"/>
  <c r="AP11" i="56"/>
  <c r="AJ33" i="56"/>
  <c r="AP33" i="56"/>
  <c r="AH8" i="56"/>
  <c r="AD9" i="56" s="1"/>
  <c r="AC9" i="56" s="1"/>
  <c r="AI9" i="56" s="1"/>
  <c r="AI10" i="56" s="1"/>
  <c r="AI11" i="56" s="1"/>
  <c r="AI12" i="56" s="1"/>
  <c r="AI13" i="56" s="1"/>
  <c r="AI14" i="56" s="1"/>
  <c r="AI15" i="56" s="1"/>
  <c r="AI16" i="56" s="1"/>
  <c r="AI17" i="56" s="1"/>
  <c r="AI18" i="56" s="1"/>
  <c r="AI19" i="56" s="1"/>
  <c r="AI20" i="56" s="1"/>
  <c r="AI21" i="56" s="1"/>
  <c r="AI22" i="56" s="1"/>
  <c r="AI23" i="56" s="1"/>
  <c r="AI24" i="56" s="1"/>
  <c r="AI25" i="56" s="1"/>
  <c r="AI26" i="56" s="1"/>
  <c r="A6" i="55"/>
  <c r="AJ8" i="55"/>
  <c r="AH7" i="55" s="1"/>
  <c r="AD8" i="55" s="1"/>
  <c r="AH6" i="55"/>
  <c r="AD7" i="55" s="1"/>
  <c r="B7" i="55" s="1"/>
  <c r="AH5" i="55"/>
  <c r="AD6" i="55" s="1"/>
  <c r="B6" i="55" s="1"/>
  <c r="AP27" i="55"/>
  <c r="AJ30" i="55"/>
  <c r="AP30" i="55"/>
  <c r="A7" i="55"/>
  <c r="AJ27" i="55"/>
  <c r="AJ28" i="55" s="1"/>
  <c r="AP29" i="55" s="1"/>
  <c r="AF9" i="55"/>
  <c r="C62" i="54"/>
  <c r="B58" i="54"/>
  <c r="AO51" i="54"/>
  <c r="AN51" i="54"/>
  <c r="AM51" i="54"/>
  <c r="AL51" i="54"/>
  <c r="C51" i="54"/>
  <c r="AO50" i="54"/>
  <c r="AN50" i="54"/>
  <c r="AM50" i="54"/>
  <c r="AL50" i="54"/>
  <c r="C50" i="54"/>
  <c r="AO49" i="54"/>
  <c r="AN49" i="54"/>
  <c r="AM49" i="54"/>
  <c r="AL49" i="54"/>
  <c r="C49" i="54"/>
  <c r="AO48" i="54"/>
  <c r="AN48" i="54"/>
  <c r="AM48" i="54"/>
  <c r="AL48" i="54"/>
  <c r="C48" i="54"/>
  <c r="AO47" i="54"/>
  <c r="AN47" i="54"/>
  <c r="AM47" i="54"/>
  <c r="AL47" i="54"/>
  <c r="C47" i="54"/>
  <c r="AO46" i="54"/>
  <c r="AN46" i="54"/>
  <c r="AM46" i="54"/>
  <c r="AL46" i="54"/>
  <c r="C46" i="54"/>
  <c r="AO45" i="54"/>
  <c r="AN45" i="54"/>
  <c r="AM45" i="54"/>
  <c r="AL45" i="54"/>
  <c r="C45" i="54"/>
  <c r="AO44" i="54"/>
  <c r="AN44" i="54"/>
  <c r="AM44" i="54"/>
  <c r="AL44" i="54"/>
  <c r="C44" i="54"/>
  <c r="AO43" i="54"/>
  <c r="AN43" i="54"/>
  <c r="AM43" i="54"/>
  <c r="AL43" i="54"/>
  <c r="C43" i="54"/>
  <c r="AO42" i="54"/>
  <c r="AN42" i="54"/>
  <c r="AM42" i="54"/>
  <c r="AL42" i="54"/>
  <c r="C42" i="54"/>
  <c r="AO41" i="54"/>
  <c r="AN41" i="54"/>
  <c r="AM41" i="54"/>
  <c r="AL41" i="54"/>
  <c r="C41" i="54"/>
  <c r="AO40" i="54"/>
  <c r="AN40" i="54"/>
  <c r="AM40" i="54"/>
  <c r="AL40" i="54"/>
  <c r="C40" i="54"/>
  <c r="AO39" i="54"/>
  <c r="AN39" i="54"/>
  <c r="AM39" i="54"/>
  <c r="AL39" i="54"/>
  <c r="C39" i="54"/>
  <c r="AO38" i="54"/>
  <c r="AN38" i="54"/>
  <c r="AM38" i="54"/>
  <c r="AL38" i="54"/>
  <c r="C38" i="54"/>
  <c r="AO37" i="54"/>
  <c r="AN37" i="54"/>
  <c r="AM37" i="54"/>
  <c r="AL37" i="54"/>
  <c r="C37" i="54"/>
  <c r="AO36" i="54"/>
  <c r="AN36" i="54"/>
  <c r="AM36" i="54"/>
  <c r="AL36" i="54"/>
  <c r="C36" i="54"/>
  <c r="AO35" i="54"/>
  <c r="AN35" i="54"/>
  <c r="AM35" i="54"/>
  <c r="AL35" i="54"/>
  <c r="C35" i="54"/>
  <c r="AO34" i="54"/>
  <c r="AN34" i="54"/>
  <c r="AM34" i="54"/>
  <c r="AL34" i="54"/>
  <c r="C34" i="54"/>
  <c r="AO33" i="54"/>
  <c r="AN33" i="54"/>
  <c r="AM33" i="54"/>
  <c r="AL33" i="54"/>
  <c r="C33" i="54"/>
  <c r="AO32" i="54"/>
  <c r="AN32" i="54"/>
  <c r="AM32" i="54"/>
  <c r="AL32" i="54"/>
  <c r="C32" i="54"/>
  <c r="AO31" i="54"/>
  <c r="AN31" i="54"/>
  <c r="AM31" i="54"/>
  <c r="AL31" i="54"/>
  <c r="C31" i="54"/>
  <c r="AM30" i="54"/>
  <c r="AL30" i="54"/>
  <c r="C30" i="54"/>
  <c r="AO29" i="54"/>
  <c r="AN29" i="54"/>
  <c r="AM29" i="54"/>
  <c r="AL29" i="54"/>
  <c r="C29" i="54"/>
  <c r="AO28" i="54"/>
  <c r="AN28" i="54"/>
  <c r="AM28" i="54"/>
  <c r="AL28" i="54"/>
  <c r="C28" i="54"/>
  <c r="AO27" i="54"/>
  <c r="AN27" i="54"/>
  <c r="AM27" i="54"/>
  <c r="AL27" i="54"/>
  <c r="C27" i="54"/>
  <c r="AM26" i="54"/>
  <c r="AL26" i="54"/>
  <c r="C26" i="54"/>
  <c r="AO25" i="54"/>
  <c r="AN25" i="54"/>
  <c r="AM25" i="54"/>
  <c r="AL25" i="54"/>
  <c r="C25" i="54"/>
  <c r="AO24" i="54"/>
  <c r="AN24" i="54"/>
  <c r="AM24" i="54"/>
  <c r="AL24" i="54"/>
  <c r="C24" i="54"/>
  <c r="AO23" i="54"/>
  <c r="AN23" i="54"/>
  <c r="AM23" i="54"/>
  <c r="AL23" i="54"/>
  <c r="C23" i="54"/>
  <c r="AO22" i="54"/>
  <c r="AN22" i="54"/>
  <c r="AM22" i="54"/>
  <c r="AL22" i="54"/>
  <c r="C22" i="54"/>
  <c r="AO21" i="54"/>
  <c r="AN21" i="54"/>
  <c r="AM21" i="54"/>
  <c r="AL21" i="54"/>
  <c r="C21" i="54"/>
  <c r="AO20" i="54"/>
  <c r="AN20" i="54"/>
  <c r="AM20" i="54"/>
  <c r="AL20" i="54"/>
  <c r="C20" i="54"/>
  <c r="AO19" i="54"/>
  <c r="AN19" i="54"/>
  <c r="AM19" i="54"/>
  <c r="AL19" i="54"/>
  <c r="C19" i="54"/>
  <c r="AO18" i="54"/>
  <c r="AN18" i="54"/>
  <c r="AM18" i="54"/>
  <c r="AL18" i="54"/>
  <c r="C18" i="54"/>
  <c r="AO17" i="54"/>
  <c r="AN17" i="54"/>
  <c r="AM17" i="54"/>
  <c r="AL17" i="54"/>
  <c r="C17" i="54"/>
  <c r="AO16" i="54"/>
  <c r="AN16" i="54"/>
  <c r="AM16" i="54"/>
  <c r="AL16" i="54"/>
  <c r="C16" i="54"/>
  <c r="AO15" i="54"/>
  <c r="AN15" i="54"/>
  <c r="AM15" i="54"/>
  <c r="AL15" i="54"/>
  <c r="C15" i="54"/>
  <c r="AO14" i="54"/>
  <c r="AN14" i="54"/>
  <c r="AM14" i="54"/>
  <c r="AL14" i="54"/>
  <c r="C14" i="54"/>
  <c r="AO13" i="54"/>
  <c r="AN13" i="54"/>
  <c r="AM13" i="54"/>
  <c r="AL13" i="54"/>
  <c r="C13" i="54"/>
  <c r="AO12" i="54"/>
  <c r="AN12" i="54"/>
  <c r="C12" i="54"/>
  <c r="AO11" i="54"/>
  <c r="AN11" i="54"/>
  <c r="AM11" i="54"/>
  <c r="AL11" i="54"/>
  <c r="C11" i="54"/>
  <c r="AO10" i="54"/>
  <c r="AN10" i="54"/>
  <c r="AM10" i="54"/>
  <c r="AL10" i="54"/>
  <c r="C10" i="54"/>
  <c r="AO9" i="54"/>
  <c r="AN9" i="54"/>
  <c r="C9" i="54"/>
  <c r="AO8" i="54"/>
  <c r="AN8" i="54"/>
  <c r="AM8" i="54"/>
  <c r="AL8" i="54"/>
  <c r="C8" i="54"/>
  <c r="AO7" i="54"/>
  <c r="AN7" i="54"/>
  <c r="AM7" i="54"/>
  <c r="AL7" i="54"/>
  <c r="C7" i="54"/>
  <c r="AO6" i="54"/>
  <c r="AN6" i="54"/>
  <c r="AM6" i="54"/>
  <c r="AL6" i="54"/>
  <c r="AJ6" i="54"/>
  <c r="AF6" i="54"/>
  <c r="A6" i="54" s="1"/>
  <c r="C6" i="54"/>
  <c r="AO5" i="54"/>
  <c r="AN5" i="54"/>
  <c r="AM5" i="54"/>
  <c r="AL5" i="54"/>
  <c r="AJ5" i="54"/>
  <c r="AK5" i="54" s="1"/>
  <c r="AC5" i="54"/>
  <c r="AI5" i="54" s="1"/>
  <c r="C5" i="54"/>
  <c r="B5" i="54"/>
  <c r="A5" i="54"/>
  <c r="AH4" i="54"/>
  <c r="AI4" i="54" s="1"/>
  <c r="AK38" i="65" l="1"/>
  <c r="AK39" i="65"/>
  <c r="AH38" i="65"/>
  <c r="AH51" i="65"/>
  <c r="AF16" i="62"/>
  <c r="A15" i="62"/>
  <c r="AH15" i="62"/>
  <c r="AD16" i="62" s="1"/>
  <c r="B16" i="62" s="1"/>
  <c r="AK16" i="62"/>
  <c r="AP24" i="62"/>
  <c r="AJ24" i="62"/>
  <c r="AK51" i="62"/>
  <c r="AH51" i="62"/>
  <c r="AF7" i="54"/>
  <c r="A7" i="54" s="1"/>
  <c r="AJ49" i="61"/>
  <c r="AH48" i="61" s="1"/>
  <c r="AP49" i="61"/>
  <c r="AK48" i="61"/>
  <c r="AI40" i="61"/>
  <c r="AH39" i="61"/>
  <c r="AD40" i="61" s="1"/>
  <c r="AK14" i="61"/>
  <c r="AH13" i="61"/>
  <c r="AD14" i="61" s="1"/>
  <c r="B14" i="61" s="1"/>
  <c r="AP22" i="61"/>
  <c r="AJ22" i="61"/>
  <c r="AF15" i="61"/>
  <c r="A14" i="61"/>
  <c r="B39" i="61"/>
  <c r="AK39" i="61"/>
  <c r="AD10" i="60"/>
  <c r="B10" i="60" s="1"/>
  <c r="AM11" i="60"/>
  <c r="AJ13" i="60"/>
  <c r="AJ14" i="60" s="1"/>
  <c r="AP13" i="60"/>
  <c r="A11" i="60"/>
  <c r="AP13" i="56"/>
  <c r="AJ13" i="56"/>
  <c r="AF10" i="56"/>
  <c r="A9" i="56"/>
  <c r="AL10" i="57"/>
  <c r="AH10" i="57"/>
  <c r="AD11" i="57" s="1"/>
  <c r="B11" i="57" s="1"/>
  <c r="B10" i="57"/>
  <c r="AI34" i="57"/>
  <c r="AP44" i="57"/>
  <c r="AJ44" i="57"/>
  <c r="AH43" i="57" s="1"/>
  <c r="AK43" i="57"/>
  <c r="AF12" i="57"/>
  <c r="AM12" i="57" s="1"/>
  <c r="A11" i="57"/>
  <c r="AP37" i="57"/>
  <c r="AJ37" i="57"/>
  <c r="AJ38" i="57" s="1"/>
  <c r="AH11" i="57"/>
  <c r="AD12" i="57" s="1"/>
  <c r="AK12" i="57" s="1"/>
  <c r="AJ15" i="57"/>
  <c r="AP15" i="57"/>
  <c r="AC27" i="56"/>
  <c r="AI27" i="56" s="1"/>
  <c r="AP34" i="56"/>
  <c r="AJ34" i="56"/>
  <c r="AH9" i="56"/>
  <c r="AD10" i="56" s="1"/>
  <c r="AL10" i="56" s="1"/>
  <c r="B9" i="56"/>
  <c r="AK9" i="56"/>
  <c r="B8" i="55"/>
  <c r="AC8" i="55"/>
  <c r="AI8" i="55" s="1"/>
  <c r="AP28" i="55"/>
  <c r="AK6" i="55"/>
  <c r="AF10" i="55"/>
  <c r="A9" i="55"/>
  <c r="AK7" i="55"/>
  <c r="AJ31" i="55"/>
  <c r="AP31" i="55"/>
  <c r="AK8" i="55"/>
  <c r="AJ9" i="55"/>
  <c r="AF8" i="54"/>
  <c r="A8" i="54" s="1"/>
  <c r="AJ7" i="54"/>
  <c r="AJ12" i="54"/>
  <c r="AM9" i="54"/>
  <c r="AH5" i="54"/>
  <c r="AD6" i="54" s="1"/>
  <c r="C62" i="53"/>
  <c r="B58" i="53"/>
  <c r="A58" i="53"/>
  <c r="B56" i="53"/>
  <c r="AO51" i="53"/>
  <c r="AN51" i="53"/>
  <c r="AM51" i="53"/>
  <c r="AL51" i="53"/>
  <c r="C51" i="53"/>
  <c r="AO50" i="53"/>
  <c r="AN50" i="53"/>
  <c r="AM50" i="53"/>
  <c r="AL50" i="53"/>
  <c r="C50" i="53"/>
  <c r="AO49" i="53"/>
  <c r="AN49" i="53"/>
  <c r="AM49" i="53"/>
  <c r="AL49" i="53"/>
  <c r="C49" i="53"/>
  <c r="AO48" i="53"/>
  <c r="AN48" i="53"/>
  <c r="AM48" i="53"/>
  <c r="AL48" i="53"/>
  <c r="C48" i="53"/>
  <c r="AO47" i="53"/>
  <c r="AN47" i="53"/>
  <c r="AM47" i="53"/>
  <c r="AL47" i="53"/>
  <c r="C47" i="53"/>
  <c r="AO46" i="53"/>
  <c r="AN46" i="53"/>
  <c r="AM46" i="53"/>
  <c r="AL46" i="53"/>
  <c r="C46" i="53"/>
  <c r="AO45" i="53"/>
  <c r="AN45" i="53"/>
  <c r="AM45" i="53"/>
  <c r="AL45" i="53"/>
  <c r="C45" i="53"/>
  <c r="AO44" i="53"/>
  <c r="AN44" i="53"/>
  <c r="AM44" i="53"/>
  <c r="AL44" i="53"/>
  <c r="C44" i="53"/>
  <c r="AO43" i="53"/>
  <c r="AN43" i="53"/>
  <c r="AM43" i="53"/>
  <c r="AL43" i="53"/>
  <c r="C43" i="53"/>
  <c r="AO42" i="53"/>
  <c r="AN42" i="53"/>
  <c r="AM42" i="53"/>
  <c r="AL42" i="53"/>
  <c r="C42" i="53"/>
  <c r="AO41" i="53"/>
  <c r="AN41" i="53"/>
  <c r="AM41" i="53"/>
  <c r="AL41" i="53"/>
  <c r="C41" i="53"/>
  <c r="AO40" i="53"/>
  <c r="AN40" i="53"/>
  <c r="AM40" i="53"/>
  <c r="AL40" i="53"/>
  <c r="C40" i="53"/>
  <c r="AO39" i="53"/>
  <c r="AN39" i="53"/>
  <c r="AM39" i="53"/>
  <c r="AL39" i="53"/>
  <c r="C39" i="53"/>
  <c r="AO38" i="53"/>
  <c r="AN38" i="53"/>
  <c r="AM38" i="53"/>
  <c r="AL38" i="53"/>
  <c r="C38" i="53"/>
  <c r="AO37" i="53"/>
  <c r="AN37" i="53"/>
  <c r="AM37" i="53"/>
  <c r="AL37" i="53"/>
  <c r="C37" i="53"/>
  <c r="AO36" i="53"/>
  <c r="AN36" i="53"/>
  <c r="AM36" i="53"/>
  <c r="AL36" i="53"/>
  <c r="C36" i="53"/>
  <c r="AO35" i="53"/>
  <c r="AN35" i="53"/>
  <c r="AM35" i="53"/>
  <c r="AL35" i="53"/>
  <c r="AJ35" i="53"/>
  <c r="AP36" i="53" s="1"/>
  <c r="AC35" i="53"/>
  <c r="C35" i="53"/>
  <c r="AO34" i="53"/>
  <c r="AN34" i="53"/>
  <c r="AM34" i="53"/>
  <c r="AL34" i="53"/>
  <c r="AJ34" i="53"/>
  <c r="AP35" i="53" s="1"/>
  <c r="C34" i="53"/>
  <c r="AO33" i="53"/>
  <c r="AN33" i="53"/>
  <c r="AM33" i="53"/>
  <c r="AL33" i="53"/>
  <c r="C33" i="53"/>
  <c r="AO32" i="53"/>
  <c r="AN32" i="53"/>
  <c r="AM32" i="53"/>
  <c r="AL32" i="53"/>
  <c r="AC32" i="53"/>
  <c r="C32" i="53"/>
  <c r="AO31" i="53"/>
  <c r="AN31" i="53"/>
  <c r="AM31" i="53"/>
  <c r="AL31" i="53"/>
  <c r="AC31" i="53"/>
  <c r="C31" i="53"/>
  <c r="AM30" i="53"/>
  <c r="AL30" i="53"/>
  <c r="AJ30" i="53"/>
  <c r="AJ31" i="53" s="1"/>
  <c r="AJ32" i="53" s="1"/>
  <c r="AC30" i="53"/>
  <c r="C30" i="53"/>
  <c r="AO29" i="53"/>
  <c r="AN29" i="53"/>
  <c r="AM29" i="53"/>
  <c r="AL29" i="53"/>
  <c r="AC29" i="53"/>
  <c r="C29" i="53"/>
  <c r="AO28" i="53"/>
  <c r="AN28" i="53"/>
  <c r="AM28" i="53"/>
  <c r="AL28" i="53"/>
  <c r="AC28" i="53"/>
  <c r="C28" i="53"/>
  <c r="AO27" i="53"/>
  <c r="AN27" i="53"/>
  <c r="AM27" i="53"/>
  <c r="AL27" i="53"/>
  <c r="AC27" i="53"/>
  <c r="C27" i="53"/>
  <c r="AO26" i="53"/>
  <c r="AN26" i="53"/>
  <c r="AM26" i="53"/>
  <c r="AL26" i="53"/>
  <c r="AC26" i="53"/>
  <c r="C26" i="53"/>
  <c r="AO25" i="53"/>
  <c r="AN25" i="53"/>
  <c r="AM25" i="53"/>
  <c r="AL25" i="53"/>
  <c r="AC25" i="53"/>
  <c r="C25" i="53"/>
  <c r="AO24" i="53"/>
  <c r="AN24" i="53"/>
  <c r="AM24" i="53"/>
  <c r="AL24" i="53"/>
  <c r="AC24" i="53"/>
  <c r="C24" i="53"/>
  <c r="AO23" i="53"/>
  <c r="AN23" i="53"/>
  <c r="AM23" i="53"/>
  <c r="AL23" i="53"/>
  <c r="AC23" i="53"/>
  <c r="C23" i="53"/>
  <c r="AO22" i="53"/>
  <c r="AN22" i="53"/>
  <c r="AM22" i="53"/>
  <c r="AL22" i="53"/>
  <c r="AC22" i="53"/>
  <c r="C22" i="53"/>
  <c r="AO21" i="53"/>
  <c r="AN21" i="53"/>
  <c r="AM21" i="53"/>
  <c r="AL21" i="53"/>
  <c r="AC21" i="53"/>
  <c r="C21" i="53"/>
  <c r="AO20" i="53"/>
  <c r="AN20" i="53"/>
  <c r="AM20" i="53"/>
  <c r="AL20" i="53"/>
  <c r="AC20" i="53"/>
  <c r="C20" i="53"/>
  <c r="AO19" i="53"/>
  <c r="AN19" i="53"/>
  <c r="AM19" i="53"/>
  <c r="AL19" i="53"/>
  <c r="AC19" i="53"/>
  <c r="C19" i="53"/>
  <c r="AO18" i="53"/>
  <c r="AN18" i="53"/>
  <c r="AM18" i="53"/>
  <c r="AL18" i="53"/>
  <c r="AC18" i="53"/>
  <c r="C18" i="53"/>
  <c r="AO17" i="53"/>
  <c r="AN17" i="53"/>
  <c r="AM17" i="53"/>
  <c r="AL17" i="53"/>
  <c r="AC17" i="53"/>
  <c r="C17" i="53"/>
  <c r="AO16" i="53"/>
  <c r="AN16" i="53"/>
  <c r="AM16" i="53"/>
  <c r="AL16" i="53"/>
  <c r="AC16" i="53"/>
  <c r="C16" i="53"/>
  <c r="AO15" i="53"/>
  <c r="AN15" i="53"/>
  <c r="AM15" i="53"/>
  <c r="AL15" i="53"/>
  <c r="AC15" i="53"/>
  <c r="C15" i="53"/>
  <c r="AO14" i="53"/>
  <c r="AN14" i="53"/>
  <c r="AM14" i="53"/>
  <c r="AL14" i="53"/>
  <c r="AC14" i="53"/>
  <c r="C14" i="53"/>
  <c r="AO13" i="53"/>
  <c r="AN13" i="53"/>
  <c r="AM13" i="53"/>
  <c r="AL13" i="53"/>
  <c r="AC13" i="53"/>
  <c r="C13" i="53"/>
  <c r="AO12" i="53"/>
  <c r="AN12" i="53"/>
  <c r="AM12" i="53"/>
  <c r="AL12" i="53"/>
  <c r="AC12" i="53"/>
  <c r="C12" i="53"/>
  <c r="AO11" i="53"/>
  <c r="AN11" i="53"/>
  <c r="AM11" i="53"/>
  <c r="AL11" i="53"/>
  <c r="AC11" i="53"/>
  <c r="C11" i="53"/>
  <c r="AO10" i="53"/>
  <c r="AN10" i="53"/>
  <c r="AM10" i="53"/>
  <c r="AL10" i="53"/>
  <c r="AC10" i="53"/>
  <c r="C10" i="53"/>
  <c r="AO9" i="53"/>
  <c r="AN9" i="53"/>
  <c r="AJ9" i="53"/>
  <c r="AJ10" i="53" s="1"/>
  <c r="AC9" i="53"/>
  <c r="C9" i="53"/>
  <c r="AO8" i="53"/>
  <c r="AN8" i="53"/>
  <c r="AM8" i="53"/>
  <c r="AL8" i="53"/>
  <c r="AC8" i="53"/>
  <c r="C8" i="53"/>
  <c r="AO7" i="53"/>
  <c r="AN7" i="53"/>
  <c r="AM7" i="53"/>
  <c r="AL7" i="53"/>
  <c r="AC7" i="53"/>
  <c r="C7" i="53"/>
  <c r="AO6" i="53"/>
  <c r="AN6" i="53"/>
  <c r="AM6" i="53"/>
  <c r="AL6" i="53"/>
  <c r="AJ6" i="53"/>
  <c r="AJ7" i="53" s="1"/>
  <c r="AJ8" i="53" s="1"/>
  <c r="AF6" i="53"/>
  <c r="A6" i="53" s="1"/>
  <c r="AC6" i="53"/>
  <c r="C6" i="53"/>
  <c r="AO5" i="53"/>
  <c r="AN5" i="53"/>
  <c r="AM5" i="53"/>
  <c r="AL5" i="53"/>
  <c r="AJ5" i="53"/>
  <c r="AC5" i="53"/>
  <c r="AI5" i="53" s="1"/>
  <c r="AI6" i="53" s="1"/>
  <c r="C5" i="53"/>
  <c r="B5" i="53"/>
  <c r="A5" i="53"/>
  <c r="AH4" i="53"/>
  <c r="AI4" i="53" s="1"/>
  <c r="AH39" i="65" l="1"/>
  <c r="AK40" i="65"/>
  <c r="AK10" i="60"/>
  <c r="AH10" i="60" s="1"/>
  <c r="AK40" i="61"/>
  <c r="B40" i="61"/>
  <c r="AJ25" i="62"/>
  <c r="AP25" i="62"/>
  <c r="AH16" i="62"/>
  <c r="AD17" i="62" s="1"/>
  <c r="B17" i="62" s="1"/>
  <c r="AK17" i="62"/>
  <c r="AF17" i="62"/>
  <c r="A16" i="62"/>
  <c r="AH40" i="61"/>
  <c r="AD41" i="61" s="1"/>
  <c r="AK41" i="61" s="1"/>
  <c r="AI41" i="61"/>
  <c r="AH41" i="61" s="1"/>
  <c r="AP31" i="53"/>
  <c r="AH14" i="61"/>
  <c r="AD15" i="61" s="1"/>
  <c r="B15" i="61" s="1"/>
  <c r="AK15" i="61"/>
  <c r="AF16" i="61"/>
  <c r="A15" i="61"/>
  <c r="AP23" i="61"/>
  <c r="AJ23" i="61"/>
  <c r="AK49" i="61"/>
  <c r="AP50" i="61"/>
  <c r="AJ50" i="61"/>
  <c r="AH49" i="61" s="1"/>
  <c r="AD11" i="60"/>
  <c r="AL11" i="60" s="1"/>
  <c r="AP14" i="60"/>
  <c r="AM12" i="60"/>
  <c r="B11" i="60"/>
  <c r="AJ15" i="60"/>
  <c r="AP15" i="60"/>
  <c r="AL13" i="60"/>
  <c r="A12" i="60"/>
  <c r="AM10" i="56"/>
  <c r="AM4" i="56" s="1"/>
  <c r="A53" i="56" s="1"/>
  <c r="A10" i="56"/>
  <c r="AF11" i="56"/>
  <c r="AP14" i="56"/>
  <c r="AJ14" i="56"/>
  <c r="AK11" i="57"/>
  <c r="AJ39" i="57"/>
  <c r="AP40" i="57" s="1"/>
  <c r="AP39" i="57"/>
  <c r="B12" i="57"/>
  <c r="AL12" i="57"/>
  <c r="AH12" i="57"/>
  <c r="AD13" i="57" s="1"/>
  <c r="AP38" i="57"/>
  <c r="AF13" i="57"/>
  <c r="AM13" i="57" s="1"/>
  <c r="AM4" i="57" s="1"/>
  <c r="A53" i="57" s="1"/>
  <c r="A12" i="57"/>
  <c r="AJ16" i="57"/>
  <c r="AP16" i="57"/>
  <c r="AJ45" i="57"/>
  <c r="AH44" i="57" s="1"/>
  <c r="AK44" i="57"/>
  <c r="AP45" i="57"/>
  <c r="AJ35" i="56"/>
  <c r="AP35" i="56"/>
  <c r="AI28" i="56"/>
  <c r="B10" i="56"/>
  <c r="AK10" i="56"/>
  <c r="AH10" i="56" s="1"/>
  <c r="AD11" i="56" s="1"/>
  <c r="AL11" i="56" s="1"/>
  <c r="AL4" i="56" s="1"/>
  <c r="B53" i="56" s="1"/>
  <c r="AF7" i="53"/>
  <c r="AJ32" i="55"/>
  <c r="AP32" i="55"/>
  <c r="AJ10" i="55"/>
  <c r="AH8" i="55"/>
  <c r="AD9" i="55" s="1"/>
  <c r="AF11" i="55"/>
  <c r="AM11" i="55" s="1"/>
  <c r="A10" i="55"/>
  <c r="AF9" i="54"/>
  <c r="B6" i="54"/>
  <c r="AC6" i="54"/>
  <c r="AI6" i="54" s="1"/>
  <c r="AH6" i="54" s="1"/>
  <c r="AD7" i="54" s="1"/>
  <c r="AK6" i="54"/>
  <c r="AJ13" i="54"/>
  <c r="AP13" i="54"/>
  <c r="AJ8" i="54"/>
  <c r="AJ9" i="54" s="1"/>
  <c r="AJ10" i="54" s="1"/>
  <c r="AH5" i="53"/>
  <c r="AD6" i="53" s="1"/>
  <c r="B6" i="53" s="1"/>
  <c r="AK5" i="53"/>
  <c r="A7" i="53"/>
  <c r="AF8" i="53"/>
  <c r="AJ11" i="53"/>
  <c r="AP11" i="53"/>
  <c r="AP32" i="53"/>
  <c r="AI7" i="53"/>
  <c r="AH6" i="53"/>
  <c r="AD7" i="53" s="1"/>
  <c r="B7" i="53" s="1"/>
  <c r="AP33" i="53"/>
  <c r="AJ33" i="53"/>
  <c r="AJ36" i="53"/>
  <c r="C44" i="52"/>
  <c r="C43" i="52"/>
  <c r="C44" i="51"/>
  <c r="C43" i="51"/>
  <c r="C43" i="50"/>
  <c r="C44" i="50"/>
  <c r="C43" i="49"/>
  <c r="C44" i="49"/>
  <c r="C44" i="47"/>
  <c r="C44" i="46"/>
  <c r="C46" i="45"/>
  <c r="C45" i="45"/>
  <c r="C45" i="44"/>
  <c r="C46" i="44"/>
  <c r="C46" i="43"/>
  <c r="C45" i="43"/>
  <c r="C45" i="42"/>
  <c r="C46" i="42"/>
  <c r="C45" i="41"/>
  <c r="C46" i="41"/>
  <c r="C45" i="40"/>
  <c r="C46" i="40"/>
  <c r="C45" i="39"/>
  <c r="C46" i="39"/>
  <c r="C45" i="38"/>
  <c r="C46" i="38"/>
  <c r="C45" i="37"/>
  <c r="C46" i="37"/>
  <c r="C52" i="31"/>
  <c r="C53" i="31"/>
  <c r="C52" i="30"/>
  <c r="C53" i="30"/>
  <c r="C52" i="29"/>
  <c r="C53" i="29"/>
  <c r="C52" i="28"/>
  <c r="C53" i="28"/>
  <c r="C57" i="27"/>
  <c r="C58" i="27"/>
  <c r="C57" i="26"/>
  <c r="C58" i="26"/>
  <c r="C45" i="25"/>
  <c r="C46" i="25"/>
  <c r="C58" i="24"/>
  <c r="C57" i="24"/>
  <c r="C56" i="23"/>
  <c r="C57" i="23"/>
  <c r="C57" i="22"/>
  <c r="C58" i="22"/>
  <c r="C57" i="21"/>
  <c r="C58" i="21"/>
  <c r="C39" i="20"/>
  <c r="C40" i="20"/>
  <c r="AK11" i="60" l="1"/>
  <c r="AH11" i="60" s="1"/>
  <c r="AD12" i="60" s="1"/>
  <c r="B12" i="60" s="1"/>
  <c r="AK41" i="65"/>
  <c r="AH40" i="65"/>
  <c r="AH17" i="62"/>
  <c r="AD18" i="62" s="1"/>
  <c r="B18" i="62" s="1"/>
  <c r="AK18" i="62"/>
  <c r="AF18" i="62"/>
  <c r="A17" i="62"/>
  <c r="AJ26" i="62"/>
  <c r="AP26" i="62"/>
  <c r="AF17" i="61"/>
  <c r="A16" i="61"/>
  <c r="AH15" i="61"/>
  <c r="AD16" i="61" s="1"/>
  <c r="B16" i="61" s="1"/>
  <c r="AK16" i="61"/>
  <c r="AJ51" i="61"/>
  <c r="AH50" i="61" s="1"/>
  <c r="AP51" i="61"/>
  <c r="AK50" i="61"/>
  <c r="AJ24" i="61"/>
  <c r="AP24" i="61"/>
  <c r="AO32" i="60"/>
  <c r="AL12" i="60"/>
  <c r="AL4" i="60" s="1"/>
  <c r="B53" i="60" s="1"/>
  <c r="AK12" i="60"/>
  <c r="AH12" i="60" s="1"/>
  <c r="AP16" i="60"/>
  <c r="AJ16" i="60"/>
  <c r="AM13" i="60"/>
  <c r="AM4" i="60" s="1"/>
  <c r="A53" i="60" s="1"/>
  <c r="A13" i="60"/>
  <c r="AF12" i="56"/>
  <c r="A11" i="56"/>
  <c r="AP15" i="56"/>
  <c r="AJ15" i="56"/>
  <c r="B13" i="57"/>
  <c r="AL13" i="57"/>
  <c r="AL4" i="57" s="1"/>
  <c r="B53" i="57" s="1"/>
  <c r="AK13" i="57"/>
  <c r="AP46" i="57"/>
  <c r="AJ46" i="57"/>
  <c r="AH45" i="57" s="1"/>
  <c r="AK45" i="57"/>
  <c r="AH13" i="57"/>
  <c r="AD14" i="57" s="1"/>
  <c r="B14" i="57" s="1"/>
  <c r="AF14" i="57"/>
  <c r="A13" i="57"/>
  <c r="AP17" i="57"/>
  <c r="AJ17" i="57"/>
  <c r="AK11" i="56"/>
  <c r="AH11" i="56" s="1"/>
  <c r="AD12" i="56" s="1"/>
  <c r="B12" i="56" s="1"/>
  <c r="B11" i="56"/>
  <c r="AI29" i="56"/>
  <c r="AP36" i="56"/>
  <c r="AJ36" i="56"/>
  <c r="B9" i="55"/>
  <c r="AC9" i="55"/>
  <c r="AI9" i="55" s="1"/>
  <c r="AP11" i="55"/>
  <c r="AJ11" i="55"/>
  <c r="AJ12" i="55" s="1"/>
  <c r="AK9" i="55"/>
  <c r="AJ33" i="55"/>
  <c r="AP33" i="55"/>
  <c r="AF12" i="55"/>
  <c r="A11" i="55"/>
  <c r="AF10" i="54"/>
  <c r="A9" i="54"/>
  <c r="AJ11" i="54"/>
  <c r="AP12" i="54" s="1"/>
  <c r="AP11" i="54"/>
  <c r="B7" i="54"/>
  <c r="AC7" i="54"/>
  <c r="AI7" i="54"/>
  <c r="AK7" i="54"/>
  <c r="AJ14" i="54"/>
  <c r="AP14" i="54"/>
  <c r="AJ12" i="53"/>
  <c r="AP12" i="53"/>
  <c r="AP34" i="53"/>
  <c r="AH7" i="53"/>
  <c r="AD8" i="53" s="1"/>
  <c r="AI8" i="53"/>
  <c r="AF9" i="53"/>
  <c r="A8" i="53"/>
  <c r="AK7" i="53"/>
  <c r="AK6" i="53"/>
  <c r="AJ37" i="53"/>
  <c r="AP37" i="53"/>
  <c r="AK42" i="65" l="1"/>
  <c r="AH41" i="65"/>
  <c r="AF19" i="62"/>
  <c r="A18" i="62"/>
  <c r="AH18" i="62"/>
  <c r="AD19" i="62" s="1"/>
  <c r="B19" i="62" s="1"/>
  <c r="AK19" i="62"/>
  <c r="AP27" i="62"/>
  <c r="AJ27" i="62"/>
  <c r="AH16" i="61"/>
  <c r="AD17" i="61" s="1"/>
  <c r="B17" i="61" s="1"/>
  <c r="AK17" i="61"/>
  <c r="AJ25" i="61"/>
  <c r="AP25" i="61"/>
  <c r="AK51" i="61"/>
  <c r="AH51" i="61"/>
  <c r="AF18" i="61"/>
  <c r="A17" i="61"/>
  <c r="AD13" i="60"/>
  <c r="B13" i="60" s="1"/>
  <c r="AK13" i="60"/>
  <c r="AH13" i="60" s="1"/>
  <c r="AJ17" i="60"/>
  <c r="AP17" i="60"/>
  <c r="A14" i="60"/>
  <c r="AJ16" i="56"/>
  <c r="AP16" i="56"/>
  <c r="AK12" i="56"/>
  <c r="AH12" i="56" s="1"/>
  <c r="AD13" i="56" s="1"/>
  <c r="B13" i="56" s="1"/>
  <c r="AF13" i="56"/>
  <c r="A12" i="56"/>
  <c r="AK14" i="57"/>
  <c r="AP18" i="57"/>
  <c r="AJ18" i="57"/>
  <c r="AJ47" i="57"/>
  <c r="AH46" i="57" s="1"/>
  <c r="AK46" i="57"/>
  <c r="AP47" i="57"/>
  <c r="A14" i="57"/>
  <c r="AF15" i="57"/>
  <c r="AH14" i="57"/>
  <c r="AD15" i="57" s="1"/>
  <c r="B15" i="57" s="1"/>
  <c r="AI30" i="56"/>
  <c r="AJ37" i="56"/>
  <c r="AP37" i="56"/>
  <c r="AJ13" i="55"/>
  <c r="AP13" i="55"/>
  <c r="AJ34" i="55"/>
  <c r="AP34" i="55"/>
  <c r="AP12" i="55"/>
  <c r="AM12" i="55"/>
  <c r="AM4" i="55" s="1"/>
  <c r="A53" i="55" s="1"/>
  <c r="A12" i="55"/>
  <c r="AF13" i="55"/>
  <c r="AI10" i="55"/>
  <c r="AI11" i="55" s="1"/>
  <c r="AI12" i="55" s="1"/>
  <c r="AI13" i="55" s="1"/>
  <c r="AI14" i="55" s="1"/>
  <c r="AI15" i="55" s="1"/>
  <c r="AI16" i="55" s="1"/>
  <c r="AI17" i="55" s="1"/>
  <c r="AI18" i="55" s="1"/>
  <c r="AI19" i="55" s="1"/>
  <c r="AI20" i="55" s="1"/>
  <c r="AI21" i="55" s="1"/>
  <c r="AI22" i="55" s="1"/>
  <c r="AI23" i="55" s="1"/>
  <c r="AI24" i="55" s="1"/>
  <c r="AI25" i="55" s="1"/>
  <c r="AH9" i="55"/>
  <c r="AD10" i="55" s="1"/>
  <c r="AF11" i="54"/>
  <c r="A10" i="54"/>
  <c r="AH7" i="54"/>
  <c r="AD8" i="54" s="1"/>
  <c r="AJ15" i="54"/>
  <c r="AP15" i="54"/>
  <c r="AJ38" i="53"/>
  <c r="AP38" i="53"/>
  <c r="AJ13" i="53"/>
  <c r="AP13" i="53"/>
  <c r="AM9" i="53"/>
  <c r="AM4" i="53" s="1"/>
  <c r="A53" i="53" s="1"/>
  <c r="AF10" i="53"/>
  <c r="A9" i="53"/>
  <c r="AI9" i="53"/>
  <c r="AI10" i="53" s="1"/>
  <c r="AI11" i="53" s="1"/>
  <c r="AI12" i="53" s="1"/>
  <c r="AI13" i="53" s="1"/>
  <c r="AI14" i="53" s="1"/>
  <c r="AI15" i="53" s="1"/>
  <c r="AI16" i="53" s="1"/>
  <c r="AI17" i="53" s="1"/>
  <c r="AI18" i="53" s="1"/>
  <c r="AI19" i="53" s="1"/>
  <c r="AI20" i="53" s="1"/>
  <c r="AI21" i="53" s="1"/>
  <c r="AI22" i="53" s="1"/>
  <c r="AI23" i="53" s="1"/>
  <c r="AI24" i="53" s="1"/>
  <c r="AI25" i="53" s="1"/>
  <c r="AI26" i="53" s="1"/>
  <c r="AI27" i="53" s="1"/>
  <c r="AI28" i="53" s="1"/>
  <c r="AI29" i="53" s="1"/>
  <c r="AI30" i="53" s="1"/>
  <c r="AH8" i="53"/>
  <c r="AD9" i="53" s="1"/>
  <c r="B8" i="53"/>
  <c r="AK8" i="53"/>
  <c r="AH42" i="65" l="1"/>
  <c r="AK43" i="65"/>
  <c r="AP28" i="62"/>
  <c r="AJ28" i="62"/>
  <c r="AF20" i="62"/>
  <c r="A19" i="62"/>
  <c r="AH19" i="62"/>
  <c r="AD20" i="62" s="1"/>
  <c r="B20" i="62" s="1"/>
  <c r="AK20" i="62"/>
  <c r="AK13" i="56"/>
  <c r="AP26" i="61"/>
  <c r="AJ26" i="61"/>
  <c r="AF19" i="61"/>
  <c r="A18" i="61"/>
  <c r="AH17" i="61"/>
  <c r="AD18" i="61" s="1"/>
  <c r="B18" i="61" s="1"/>
  <c r="AK18" i="61"/>
  <c r="AD14" i="60"/>
  <c r="B14" i="60" s="1"/>
  <c r="AK14" i="60"/>
  <c r="AH14" i="60" s="1"/>
  <c r="AJ18" i="60"/>
  <c r="AP18" i="60"/>
  <c r="A15" i="60"/>
  <c r="A13" i="56"/>
  <c r="AF14" i="56"/>
  <c r="AP17" i="56"/>
  <c r="AJ17" i="56"/>
  <c r="AK15" i="57"/>
  <c r="AH15" i="57" s="1"/>
  <c r="AD16" i="57" s="1"/>
  <c r="B16" i="57" s="1"/>
  <c r="AF16" i="57"/>
  <c r="A15" i="57"/>
  <c r="AP48" i="57"/>
  <c r="AJ48" i="57"/>
  <c r="AK47" i="57"/>
  <c r="AJ19" i="57"/>
  <c r="AP19" i="57"/>
  <c r="AI31" i="56"/>
  <c r="AP38" i="56"/>
  <c r="AJ38" i="56"/>
  <c r="AH13" i="56"/>
  <c r="AD14" i="56" s="1"/>
  <c r="B14" i="56" s="1"/>
  <c r="AK14" i="56"/>
  <c r="AJ14" i="55"/>
  <c r="AP14" i="55"/>
  <c r="AF14" i="55"/>
  <c r="A13" i="55"/>
  <c r="AH10" i="55"/>
  <c r="AD11" i="55" s="1"/>
  <c r="AL11" i="55" s="1"/>
  <c r="AP35" i="55"/>
  <c r="AJ35" i="55"/>
  <c r="B10" i="55"/>
  <c r="AK10" i="55"/>
  <c r="AF12" i="54"/>
  <c r="A11" i="54"/>
  <c r="B8" i="54"/>
  <c r="AC8" i="54"/>
  <c r="AI8" i="54" s="1"/>
  <c r="AK8" i="54"/>
  <c r="AJ16" i="54"/>
  <c r="AP16" i="54"/>
  <c r="B9" i="53"/>
  <c r="AL9" i="53"/>
  <c r="AL4" i="53" s="1"/>
  <c r="B53" i="53" s="1"/>
  <c r="AK9" i="53"/>
  <c r="AP14" i="53"/>
  <c r="AJ14" i="53"/>
  <c r="AJ39" i="53"/>
  <c r="AP39" i="53"/>
  <c r="AI31" i="53"/>
  <c r="AH30" i="53"/>
  <c r="AD31" i="53" s="1"/>
  <c r="A10" i="53"/>
  <c r="AF11" i="53"/>
  <c r="AH43" i="65" l="1"/>
  <c r="AK44" i="65"/>
  <c r="AF21" i="62"/>
  <c r="A20" i="62"/>
  <c r="AH20" i="62"/>
  <c r="AD21" i="62" s="1"/>
  <c r="B21" i="62" s="1"/>
  <c r="AK21" i="62"/>
  <c r="AJ29" i="62"/>
  <c r="AP29" i="62"/>
  <c r="AP27" i="61"/>
  <c r="AJ27" i="61"/>
  <c r="AF20" i="61"/>
  <c r="A19" i="61"/>
  <c r="AH18" i="61"/>
  <c r="AD19" i="61" s="1"/>
  <c r="B19" i="61" s="1"/>
  <c r="AK19" i="61"/>
  <c r="AD15" i="60"/>
  <c r="B15" i="60" s="1"/>
  <c r="AK15" i="60"/>
  <c r="AK16" i="60" s="1"/>
  <c r="AH16" i="60" s="1"/>
  <c r="AD17" i="60" s="1"/>
  <c r="AP19" i="60"/>
  <c r="AJ19" i="60"/>
  <c r="A16" i="60"/>
  <c r="AP18" i="56"/>
  <c r="AJ18" i="56"/>
  <c r="AF15" i="56"/>
  <c r="A14" i="56"/>
  <c r="AK16" i="57"/>
  <c r="AH16" i="57" s="1"/>
  <c r="AD17" i="57" s="1"/>
  <c r="B17" i="57" s="1"/>
  <c r="AJ49" i="57"/>
  <c r="AH48" i="57" s="1"/>
  <c r="AK48" i="57"/>
  <c r="AP49" i="57"/>
  <c r="AJ20" i="57"/>
  <c r="AP20" i="57"/>
  <c r="AH47" i="57"/>
  <c r="AF17" i="57"/>
  <c r="A16" i="57"/>
  <c r="AI32" i="56"/>
  <c r="AJ39" i="56"/>
  <c r="AP39" i="56"/>
  <c r="AH14" i="56"/>
  <c r="AD15" i="56" s="1"/>
  <c r="B15" i="56" s="1"/>
  <c r="AK15" i="56"/>
  <c r="AP15" i="55"/>
  <c r="AJ15" i="55"/>
  <c r="AP36" i="55"/>
  <c r="AJ36" i="55"/>
  <c r="B11" i="55"/>
  <c r="AK11" i="55"/>
  <c r="AH11" i="55" s="1"/>
  <c r="AD12" i="55" s="1"/>
  <c r="A14" i="55"/>
  <c r="AF15" i="55"/>
  <c r="AM12" i="54"/>
  <c r="AM4" i="54" s="1"/>
  <c r="A53" i="54" s="1"/>
  <c r="AF13" i="54"/>
  <c r="A12" i="54"/>
  <c r="AH8" i="54"/>
  <c r="AD9" i="54" s="1"/>
  <c r="AP17" i="54"/>
  <c r="AJ17" i="54"/>
  <c r="AJ15" i="53"/>
  <c r="AP15" i="53"/>
  <c r="AH9" i="53"/>
  <c r="AD10" i="53" s="1"/>
  <c r="B10" i="53" s="1"/>
  <c r="AK10" i="53"/>
  <c r="B31" i="53"/>
  <c r="AK31" i="53"/>
  <c r="AI32" i="53"/>
  <c r="AH32" i="53" s="1"/>
  <c r="AD33" i="53" s="1"/>
  <c r="AH31" i="53"/>
  <c r="AD32" i="53" s="1"/>
  <c r="AP40" i="53"/>
  <c r="AJ40" i="53"/>
  <c r="A11" i="53"/>
  <c r="AF12" i="53"/>
  <c r="AH44" i="65" l="1"/>
  <c r="AK45" i="65"/>
  <c r="AH21" i="62"/>
  <c r="AD22" i="62" s="1"/>
  <c r="B22" i="62" s="1"/>
  <c r="AK22" i="62"/>
  <c r="AJ30" i="62"/>
  <c r="AP30" i="62"/>
  <c r="AF22" i="62"/>
  <c r="A21" i="62"/>
  <c r="AJ28" i="61"/>
  <c r="AP28" i="61"/>
  <c r="AF21" i="61"/>
  <c r="A20" i="61"/>
  <c r="AH19" i="61"/>
  <c r="AD20" i="61" s="1"/>
  <c r="B20" i="61" s="1"/>
  <c r="AK20" i="61"/>
  <c r="AH15" i="60"/>
  <c r="AD16" i="60" s="1"/>
  <c r="B16" i="60" s="1"/>
  <c r="AK17" i="60"/>
  <c r="AH17" i="60" s="1"/>
  <c r="AD18" i="60" s="1"/>
  <c r="B17" i="60"/>
  <c r="AJ20" i="60"/>
  <c r="AP20" i="60"/>
  <c r="A17" i="60"/>
  <c r="A15" i="56"/>
  <c r="AF16" i="56"/>
  <c r="AP19" i="56"/>
  <c r="AJ19" i="56"/>
  <c r="AK17" i="57"/>
  <c r="AH17" i="57" s="1"/>
  <c r="AD18" i="57" s="1"/>
  <c r="B18" i="57" s="1"/>
  <c r="AP21" i="57"/>
  <c r="AJ21" i="57"/>
  <c r="AF18" i="57"/>
  <c r="A17" i="57"/>
  <c r="AP50" i="57"/>
  <c r="AJ50" i="57"/>
  <c r="AK49" i="57"/>
  <c r="AH32" i="56"/>
  <c r="AD33" i="56" s="1"/>
  <c r="AI33" i="56"/>
  <c r="AP40" i="56"/>
  <c r="AJ40" i="56"/>
  <c r="AH15" i="56"/>
  <c r="AD16" i="56" s="1"/>
  <c r="B16" i="56" s="1"/>
  <c r="AK16" i="56"/>
  <c r="AJ16" i="55"/>
  <c r="AP16" i="55"/>
  <c r="B12" i="55"/>
  <c r="AL12" i="55"/>
  <c r="AL4" i="55" s="1"/>
  <c r="B53" i="55" s="1"/>
  <c r="AK12" i="55"/>
  <c r="AP37" i="55"/>
  <c r="AJ37" i="55"/>
  <c r="A15" i="55"/>
  <c r="AF16" i="55"/>
  <c r="A13" i="54"/>
  <c r="AF14" i="54"/>
  <c r="AC9" i="54"/>
  <c r="AI9" i="54" s="1"/>
  <c r="AK9" i="54"/>
  <c r="B9" i="54"/>
  <c r="AL9" i="54"/>
  <c r="AP18" i="54"/>
  <c r="AJ18" i="54"/>
  <c r="A12" i="53"/>
  <c r="AF13" i="53"/>
  <c r="AP16" i="53"/>
  <c r="AJ16" i="53"/>
  <c r="AP41" i="53"/>
  <c r="AJ41" i="53"/>
  <c r="AH10" i="53"/>
  <c r="AD11" i="53" s="1"/>
  <c r="B11" i="53" s="1"/>
  <c r="AK11" i="53"/>
  <c r="B32" i="53"/>
  <c r="AK32" i="53"/>
  <c r="AC33" i="53"/>
  <c r="AI33" i="53" s="1"/>
  <c r="AH33" i="53" s="1"/>
  <c r="AD34" i="53" s="1"/>
  <c r="B33" i="53"/>
  <c r="AK33" i="53"/>
  <c r="AK46" i="65" l="1"/>
  <c r="AH45" i="65"/>
  <c r="AF23" i="62"/>
  <c r="A22" i="62"/>
  <c r="AP31" i="62"/>
  <c r="AJ31" i="62"/>
  <c r="AK23" i="62"/>
  <c r="AH22" i="62"/>
  <c r="AD23" i="62" s="1"/>
  <c r="B23" i="62" s="1"/>
  <c r="AF22" i="61"/>
  <c r="A21" i="61"/>
  <c r="AH20" i="61"/>
  <c r="AD21" i="61" s="1"/>
  <c r="B21" i="61" s="1"/>
  <c r="AK21" i="61"/>
  <c r="AJ29" i="61"/>
  <c r="AP29" i="61"/>
  <c r="AK18" i="60"/>
  <c r="AH18" i="60" s="1"/>
  <c r="AD19" i="60" s="1"/>
  <c r="B18" i="60"/>
  <c r="AJ21" i="60"/>
  <c r="AP21" i="60"/>
  <c r="AK19" i="60"/>
  <c r="A18" i="60"/>
  <c r="AJ20" i="56"/>
  <c r="AP20" i="56"/>
  <c r="AF17" i="56"/>
  <c r="A16" i="56"/>
  <c r="AK18" i="57"/>
  <c r="AH18" i="57" s="1"/>
  <c r="AD19" i="57" s="1"/>
  <c r="B19" i="57" s="1"/>
  <c r="A18" i="57"/>
  <c r="AF19" i="57"/>
  <c r="AJ51" i="57"/>
  <c r="AH50" i="57" s="1"/>
  <c r="AK50" i="57"/>
  <c r="AP51" i="57"/>
  <c r="AH49" i="57"/>
  <c r="AP22" i="57"/>
  <c r="AJ22" i="57"/>
  <c r="AK33" i="56"/>
  <c r="B33" i="56"/>
  <c r="AI34" i="56"/>
  <c r="AH33" i="56"/>
  <c r="AD34" i="56" s="1"/>
  <c r="AH16" i="56"/>
  <c r="AD17" i="56" s="1"/>
  <c r="B17" i="56" s="1"/>
  <c r="AK17" i="56"/>
  <c r="AJ41" i="56"/>
  <c r="AP41" i="56"/>
  <c r="AJ17" i="55"/>
  <c r="AP17" i="55"/>
  <c r="AK13" i="55"/>
  <c r="AH12" i="55"/>
  <c r="AD13" i="55" s="1"/>
  <c r="B13" i="55" s="1"/>
  <c r="AJ38" i="55"/>
  <c r="AP38" i="55"/>
  <c r="AF17" i="55"/>
  <c r="A16" i="55"/>
  <c r="A14" i="54"/>
  <c r="AF15" i="54"/>
  <c r="AH9" i="54"/>
  <c r="AD10" i="54" s="1"/>
  <c r="AK10" i="54" s="1"/>
  <c r="AP19" i="54"/>
  <c r="AJ19" i="54"/>
  <c r="AK12" i="53"/>
  <c r="AH11" i="53"/>
  <c r="AD12" i="53" s="1"/>
  <c r="B12" i="53" s="1"/>
  <c r="AJ42" i="53"/>
  <c r="AP42" i="53"/>
  <c r="A13" i="53"/>
  <c r="AF14" i="53"/>
  <c r="AP17" i="53"/>
  <c r="AJ17" i="53"/>
  <c r="AC34" i="53"/>
  <c r="AI34" i="53" s="1"/>
  <c r="B34" i="53"/>
  <c r="AK34" i="53"/>
  <c r="AH46" i="65" l="1"/>
  <c r="AK47" i="65"/>
  <c r="AK24" i="62"/>
  <c r="AH23" i="62"/>
  <c r="AD24" i="62" s="1"/>
  <c r="B24" i="62" s="1"/>
  <c r="AP32" i="62"/>
  <c r="AJ32" i="62"/>
  <c r="AF24" i="62"/>
  <c r="A23" i="62"/>
  <c r="AH21" i="61"/>
  <c r="AD22" i="61" s="1"/>
  <c r="B22" i="61" s="1"/>
  <c r="AK22" i="61"/>
  <c r="AP30" i="61"/>
  <c r="AJ30" i="61"/>
  <c r="AF23" i="61"/>
  <c r="A22" i="61"/>
  <c r="B19" i="60"/>
  <c r="AP22" i="60"/>
  <c r="AJ22" i="60"/>
  <c r="A19" i="60"/>
  <c r="AK20" i="60"/>
  <c r="AH19" i="60"/>
  <c r="AD20" i="60" s="1"/>
  <c r="AF18" i="56"/>
  <c r="A17" i="56"/>
  <c r="AJ21" i="56"/>
  <c r="AP21" i="56"/>
  <c r="AK19" i="57"/>
  <c r="AH19" i="57" s="1"/>
  <c r="AD20" i="57" s="1"/>
  <c r="B20" i="57" s="1"/>
  <c r="AF20" i="57"/>
  <c r="A19" i="57"/>
  <c r="AJ23" i="57"/>
  <c r="AP23" i="57"/>
  <c r="AH51" i="57"/>
  <c r="AK51" i="57"/>
  <c r="AK34" i="56"/>
  <c r="B34" i="56"/>
  <c r="AI35" i="56"/>
  <c r="AH34" i="56"/>
  <c r="AD35" i="56" s="1"/>
  <c r="AK18" i="56"/>
  <c r="AH17" i="56"/>
  <c r="AD18" i="56" s="1"/>
  <c r="B18" i="56" s="1"/>
  <c r="AK41" i="56"/>
  <c r="AP42" i="56"/>
  <c r="AJ42" i="56"/>
  <c r="AH41" i="56" s="1"/>
  <c r="AP18" i="55"/>
  <c r="AJ18" i="55"/>
  <c r="AH13" i="55"/>
  <c r="AD14" i="55" s="1"/>
  <c r="B14" i="55" s="1"/>
  <c r="AK14" i="55"/>
  <c r="A17" i="55"/>
  <c r="AF18" i="55"/>
  <c r="AJ39" i="55"/>
  <c r="AP39" i="55"/>
  <c r="A15" i="54"/>
  <c r="AF16" i="54"/>
  <c r="B10" i="54"/>
  <c r="AC10" i="54"/>
  <c r="AI10" i="54" s="1"/>
  <c r="AH10" i="54" s="1"/>
  <c r="AD11" i="54" s="1"/>
  <c r="AK11" i="54" s="1"/>
  <c r="AP20" i="54"/>
  <c r="AJ20" i="54"/>
  <c r="AJ43" i="53"/>
  <c r="AP43" i="53"/>
  <c r="AJ18" i="53"/>
  <c r="AP18" i="53"/>
  <c r="AI35" i="53"/>
  <c r="AH35" i="53" s="1"/>
  <c r="AH34" i="53"/>
  <c r="AD35" i="53" s="1"/>
  <c r="AF15" i="53"/>
  <c r="A14" i="53"/>
  <c r="AH12" i="53"/>
  <c r="AD13" i="53" s="1"/>
  <c r="B13" i="53" s="1"/>
  <c r="AK13" i="53"/>
  <c r="AK48" i="65" l="1"/>
  <c r="AH47" i="65"/>
  <c r="AF25" i="62"/>
  <c r="A24" i="62"/>
  <c r="AJ33" i="62"/>
  <c r="AP33" i="62"/>
  <c r="AH24" i="62"/>
  <c r="AD25" i="62" s="1"/>
  <c r="B25" i="62" s="1"/>
  <c r="AK25" i="62"/>
  <c r="AF24" i="61"/>
  <c r="A23" i="61"/>
  <c r="AP31" i="61"/>
  <c r="AJ31" i="61"/>
  <c r="AH22" i="61"/>
  <c r="AD23" i="61" s="1"/>
  <c r="B23" i="61" s="1"/>
  <c r="AK23" i="61"/>
  <c r="B20" i="60"/>
  <c r="AJ23" i="60"/>
  <c r="AP23" i="60"/>
  <c r="AH20" i="60"/>
  <c r="AD21" i="60" s="1"/>
  <c r="AK21" i="60"/>
  <c r="A20" i="60"/>
  <c r="AJ22" i="56"/>
  <c r="AP22" i="56"/>
  <c r="AF19" i="56"/>
  <c r="A18" i="56"/>
  <c r="AK20" i="57"/>
  <c r="AH20" i="57" s="1"/>
  <c r="AD21" i="57" s="1"/>
  <c r="B21" i="57" s="1"/>
  <c r="AJ24" i="57"/>
  <c r="AP24" i="57"/>
  <c r="AF21" i="57"/>
  <c r="A20" i="57"/>
  <c r="AK35" i="56"/>
  <c r="B35" i="56"/>
  <c r="E10" i="56" s="1"/>
  <c r="AI36" i="56"/>
  <c r="AH36" i="56" s="1"/>
  <c r="AD37" i="56" s="1"/>
  <c r="B37" i="56" s="1"/>
  <c r="AH35" i="56"/>
  <c r="AD36" i="56" s="1"/>
  <c r="AH18" i="56"/>
  <c r="AD19" i="56" s="1"/>
  <c r="B19" i="56" s="1"/>
  <c r="AK19" i="56"/>
  <c r="AJ43" i="56"/>
  <c r="AH42" i="56" s="1"/>
  <c r="AK42" i="56"/>
  <c r="AP43" i="56"/>
  <c r="AJ19" i="55"/>
  <c r="AP19" i="55"/>
  <c r="AK15" i="55"/>
  <c r="AH14" i="55"/>
  <c r="AD15" i="55" s="1"/>
  <c r="B15" i="55" s="1"/>
  <c r="AJ40" i="55"/>
  <c r="AP40" i="55"/>
  <c r="AF19" i="55"/>
  <c r="A18" i="55"/>
  <c r="A16" i="54"/>
  <c r="AF17" i="54"/>
  <c r="B11" i="54"/>
  <c r="AC11" i="54"/>
  <c r="AI11" i="54" s="1"/>
  <c r="AH11" i="54" s="1"/>
  <c r="AD12" i="54" s="1"/>
  <c r="AL12" i="54" s="1"/>
  <c r="AL4" i="54" s="1"/>
  <c r="B53" i="54" s="1"/>
  <c r="AJ21" i="54"/>
  <c r="AP21" i="54"/>
  <c r="AJ19" i="53"/>
  <c r="AP19" i="53"/>
  <c r="AF16" i="53"/>
  <c r="A15" i="53"/>
  <c r="AK14" i="53"/>
  <c r="AH13" i="53"/>
  <c r="AD14" i="53" s="1"/>
  <c r="B14" i="53" s="1"/>
  <c r="B35" i="53"/>
  <c r="E10" i="53" s="1"/>
  <c r="AD36" i="53"/>
  <c r="AK35" i="53"/>
  <c r="AJ44" i="53"/>
  <c r="AP44" i="53"/>
  <c r="AH48" i="65" l="1"/>
  <c r="AK49" i="65"/>
  <c r="AJ34" i="62"/>
  <c r="AP34" i="62"/>
  <c r="AH25" i="62"/>
  <c r="AD26" i="62" s="1"/>
  <c r="B26" i="62" s="1"/>
  <c r="AK26" i="62"/>
  <c r="AF26" i="62"/>
  <c r="A25" i="62"/>
  <c r="AJ32" i="61"/>
  <c r="AP32" i="61"/>
  <c r="AH23" i="61"/>
  <c r="AD24" i="61" s="1"/>
  <c r="B24" i="61" s="1"/>
  <c r="AK24" i="61"/>
  <c r="AF25" i="61"/>
  <c r="A24" i="61"/>
  <c r="B21" i="60"/>
  <c r="AJ24" i="60"/>
  <c r="AP24" i="60"/>
  <c r="A21" i="60"/>
  <c r="AH21" i="60"/>
  <c r="AD22" i="60" s="1"/>
  <c r="AK22" i="60"/>
  <c r="A19" i="56"/>
  <c r="AF20" i="56"/>
  <c r="AJ23" i="56"/>
  <c r="AP23" i="56"/>
  <c r="AK21" i="57"/>
  <c r="AH21" i="57" s="1"/>
  <c r="AD22" i="57" s="1"/>
  <c r="B22" i="57" s="1"/>
  <c r="AF22" i="57"/>
  <c r="A21" i="57"/>
  <c r="AP25" i="57"/>
  <c r="AJ25" i="57"/>
  <c r="AK36" i="56"/>
  <c r="B36" i="56"/>
  <c r="AK37" i="56"/>
  <c r="AC37" i="56"/>
  <c r="AI37" i="56" s="1"/>
  <c r="AH37" i="56" s="1"/>
  <c r="AD38" i="56" s="1"/>
  <c r="B38" i="56" s="1"/>
  <c r="AK43" i="56"/>
  <c r="AP44" i="56"/>
  <c r="AJ44" i="56"/>
  <c r="AH43" i="56" s="1"/>
  <c r="AH19" i="56"/>
  <c r="AD20" i="56" s="1"/>
  <c r="B20" i="56" s="1"/>
  <c r="AK20" i="56"/>
  <c r="AP20" i="55"/>
  <c r="AJ20" i="55"/>
  <c r="AH15" i="55"/>
  <c r="AD16" i="55" s="1"/>
  <c r="B16" i="55" s="1"/>
  <c r="AK16" i="55"/>
  <c r="AF20" i="55"/>
  <c r="A19" i="55"/>
  <c r="AJ41" i="55"/>
  <c r="AP41" i="55"/>
  <c r="AF18" i="54"/>
  <c r="A17" i="54"/>
  <c r="AK12" i="54"/>
  <c r="AK13" i="54" s="1"/>
  <c r="B12" i="54"/>
  <c r="AC12" i="54"/>
  <c r="AI12" i="54" s="1"/>
  <c r="AP22" i="54"/>
  <c r="AJ22" i="54"/>
  <c r="B36" i="53"/>
  <c r="AC36" i="53"/>
  <c r="AI36" i="53" s="1"/>
  <c r="AH36" i="53" s="1"/>
  <c r="AD37" i="53"/>
  <c r="AK36" i="53"/>
  <c r="AH14" i="53"/>
  <c r="AD15" i="53" s="1"/>
  <c r="B15" i="53" s="1"/>
  <c r="AK15" i="53"/>
  <c r="AJ45" i="53"/>
  <c r="AP45" i="53"/>
  <c r="AF17" i="53"/>
  <c r="A16" i="53"/>
  <c r="AJ20" i="53"/>
  <c r="AP20" i="53"/>
  <c r="AH49" i="65" l="1"/>
  <c r="AK50" i="65"/>
  <c r="AH26" i="62"/>
  <c r="AD27" i="62" s="1"/>
  <c r="B27" i="62" s="1"/>
  <c r="AK27" i="62"/>
  <c r="AF27" i="62"/>
  <c r="A26" i="62"/>
  <c r="AP35" i="62"/>
  <c r="AJ35" i="62"/>
  <c r="AJ36" i="62" s="1"/>
  <c r="AH24" i="61"/>
  <c r="AD25" i="61" s="1"/>
  <c r="B25" i="61" s="1"/>
  <c r="AK25" i="61"/>
  <c r="AJ33" i="61"/>
  <c r="AJ34" i="61" s="1"/>
  <c r="AP33" i="61"/>
  <c r="AF26" i="61"/>
  <c r="A25" i="61"/>
  <c r="B22" i="60"/>
  <c r="AJ25" i="60"/>
  <c r="AP25" i="60"/>
  <c r="AH22" i="60"/>
  <c r="AD23" i="60" s="1"/>
  <c r="AK23" i="60"/>
  <c r="A22" i="60"/>
  <c r="AJ24" i="56"/>
  <c r="AP24" i="56"/>
  <c r="A20" i="56"/>
  <c r="AF21" i="56"/>
  <c r="AK22" i="57"/>
  <c r="AH22" i="57" s="1"/>
  <c r="AD23" i="57" s="1"/>
  <c r="B23" i="57" s="1"/>
  <c r="AP26" i="57"/>
  <c r="AJ26" i="57"/>
  <c r="AF23" i="57"/>
  <c r="A22" i="57"/>
  <c r="AK38" i="56"/>
  <c r="AC38" i="56"/>
  <c r="AI38" i="56" s="1"/>
  <c r="AH38" i="56" s="1"/>
  <c r="AD39" i="56" s="1"/>
  <c r="B39" i="56" s="1"/>
  <c r="AN26" i="56"/>
  <c r="AJ45" i="56"/>
  <c r="AH44" i="56" s="1"/>
  <c r="AK44" i="56"/>
  <c r="AP45" i="56"/>
  <c r="AH20" i="56"/>
  <c r="AD21" i="56" s="1"/>
  <c r="B21" i="56" s="1"/>
  <c r="AK21" i="56"/>
  <c r="AP21" i="55"/>
  <c r="AJ21" i="55"/>
  <c r="AK17" i="55"/>
  <c r="AH16" i="55"/>
  <c r="AD17" i="55" s="1"/>
  <c r="B17" i="55" s="1"/>
  <c r="AJ42" i="55"/>
  <c r="AP42" i="55"/>
  <c r="AF21" i="55"/>
  <c r="A20" i="55"/>
  <c r="AF19" i="54"/>
  <c r="A18" i="54"/>
  <c r="AH12" i="54"/>
  <c r="AD13" i="54" s="1"/>
  <c r="B13" i="54" s="1"/>
  <c r="AH13" i="54"/>
  <c r="AD14" i="54" s="1"/>
  <c r="AK14" i="54"/>
  <c r="AJ23" i="54"/>
  <c r="AP23" i="54"/>
  <c r="AJ21" i="53"/>
  <c r="AP21" i="53"/>
  <c r="AF18" i="53"/>
  <c r="A17" i="53"/>
  <c r="AC37" i="53"/>
  <c r="AI37" i="53" s="1"/>
  <c r="AH37" i="53" s="1"/>
  <c r="B37" i="53"/>
  <c r="AD38" i="53"/>
  <c r="AK37" i="53"/>
  <c r="AJ46" i="53"/>
  <c r="AP46" i="53"/>
  <c r="AK16" i="53"/>
  <c r="AH15" i="53"/>
  <c r="AD16" i="53" s="1"/>
  <c r="B16" i="53" s="1"/>
  <c r="AH50" i="65" l="1"/>
  <c r="AK51" i="65"/>
  <c r="AP35" i="61"/>
  <c r="AJ35" i="61"/>
  <c r="AJ37" i="62"/>
  <c r="AP37" i="62"/>
  <c r="AP36" i="62"/>
  <c r="AF28" i="62"/>
  <c r="A27" i="62"/>
  <c r="AK28" i="62"/>
  <c r="AH27" i="62"/>
  <c r="AD28" i="62" s="1"/>
  <c r="B28" i="62" s="1"/>
  <c r="AF27" i="61"/>
  <c r="A26" i="61"/>
  <c r="AP34" i="61"/>
  <c r="AH25" i="61"/>
  <c r="AD26" i="61" s="1"/>
  <c r="B26" i="61" s="1"/>
  <c r="AK26" i="61"/>
  <c r="B23" i="60"/>
  <c r="AP26" i="60"/>
  <c r="AJ26" i="60"/>
  <c r="A23" i="60"/>
  <c r="AH23" i="60"/>
  <c r="AD24" i="60" s="1"/>
  <c r="AK24" i="60"/>
  <c r="AF22" i="56"/>
  <c r="A21" i="56"/>
  <c r="AP25" i="56"/>
  <c r="AJ25" i="56"/>
  <c r="AK23" i="57"/>
  <c r="AH23" i="57" s="1"/>
  <c r="AD24" i="57" s="1"/>
  <c r="B24" i="57" s="1"/>
  <c r="AJ27" i="57"/>
  <c r="AP27" i="57"/>
  <c r="AF24" i="57"/>
  <c r="A23" i="57"/>
  <c r="AK39" i="56"/>
  <c r="AC39" i="56"/>
  <c r="AI39" i="56" s="1"/>
  <c r="AH39" i="56" s="1"/>
  <c r="AK45" i="56"/>
  <c r="AP46" i="56"/>
  <c r="AJ46" i="56"/>
  <c r="AH45" i="56" s="1"/>
  <c r="AK22" i="56"/>
  <c r="AH21" i="56"/>
  <c r="AD22" i="56" s="1"/>
  <c r="B22" i="56" s="1"/>
  <c r="AJ22" i="55"/>
  <c r="AP22" i="55"/>
  <c r="AK18" i="55"/>
  <c r="AH17" i="55"/>
  <c r="AD18" i="55" s="1"/>
  <c r="B18" i="55" s="1"/>
  <c r="AJ43" i="55"/>
  <c r="AP43" i="55"/>
  <c r="AF22" i="55"/>
  <c r="A21" i="55"/>
  <c r="AF20" i="54"/>
  <c r="A19" i="54"/>
  <c r="AC13" i="54"/>
  <c r="AI13" i="54" s="1"/>
  <c r="AH14" i="54"/>
  <c r="AD15" i="54" s="1"/>
  <c r="AK15" i="54"/>
  <c r="B14" i="54"/>
  <c r="AC14" i="54"/>
  <c r="AI14" i="54" s="1"/>
  <c r="AJ24" i="54"/>
  <c r="AP24" i="54"/>
  <c r="AJ47" i="53"/>
  <c r="AP47" i="53"/>
  <c r="AC38" i="53"/>
  <c r="AI38" i="53" s="1"/>
  <c r="AH38" i="53" s="1"/>
  <c r="B38" i="53"/>
  <c r="AD39" i="53"/>
  <c r="AK38" i="53"/>
  <c r="AJ22" i="53"/>
  <c r="AP22" i="53"/>
  <c r="A18" i="53"/>
  <c r="AF19" i="53"/>
  <c r="AK17" i="53"/>
  <c r="AH16" i="53"/>
  <c r="AD17" i="53" s="1"/>
  <c r="B17" i="53" s="1"/>
  <c r="AP36" i="61" l="1"/>
  <c r="AH35" i="61"/>
  <c r="AD36" i="61" s="1"/>
  <c r="AK36" i="61" s="1"/>
  <c r="AN37" i="62"/>
  <c r="AJ38" i="62"/>
  <c r="AH37" i="62" s="1"/>
  <c r="AD38" i="62" s="1"/>
  <c r="AN38" i="62" s="1"/>
  <c r="AP38" i="62"/>
  <c r="AH28" i="62"/>
  <c r="AD29" i="62" s="1"/>
  <c r="B29" i="62" s="1"/>
  <c r="AK29" i="62"/>
  <c r="AN36" i="62"/>
  <c r="AF29" i="62"/>
  <c r="A28" i="62"/>
  <c r="AN34" i="61"/>
  <c r="AK27" i="61"/>
  <c r="AH26" i="61"/>
  <c r="AD27" i="61" s="1"/>
  <c r="B27" i="61" s="1"/>
  <c r="AF28" i="61"/>
  <c r="A27" i="61"/>
  <c r="B24" i="60"/>
  <c r="AJ27" i="60"/>
  <c r="AP27" i="60"/>
  <c r="A24" i="60"/>
  <c r="AK25" i="60"/>
  <c r="AH24" i="60"/>
  <c r="AD25" i="60" s="1"/>
  <c r="AJ26" i="56"/>
  <c r="AP26" i="56"/>
  <c r="A22" i="56"/>
  <c r="AF23" i="56"/>
  <c r="AK24" i="57"/>
  <c r="AH24" i="57" s="1"/>
  <c r="AD25" i="57" s="1"/>
  <c r="B25" i="57" s="1"/>
  <c r="AF25" i="57"/>
  <c r="A24" i="57"/>
  <c r="AJ28" i="57"/>
  <c r="AP28" i="57"/>
  <c r="AI40" i="56"/>
  <c r="AH40" i="56" s="1"/>
  <c r="AK40" i="56"/>
  <c r="AK23" i="56"/>
  <c r="AH22" i="56"/>
  <c r="AD23" i="56" s="1"/>
  <c r="B23" i="56" s="1"/>
  <c r="AJ47" i="56"/>
  <c r="AK46" i="56"/>
  <c r="AP47" i="56"/>
  <c r="AJ23" i="55"/>
  <c r="AP23" i="55"/>
  <c r="AC26" i="55"/>
  <c r="AI26" i="55" s="1"/>
  <c r="AH26" i="55" s="1"/>
  <c r="AD27" i="55" s="1"/>
  <c r="AH18" i="55"/>
  <c r="AD19" i="55" s="1"/>
  <c r="B19" i="55" s="1"/>
  <c r="AK19" i="55"/>
  <c r="AP44" i="55"/>
  <c r="AJ44" i="55"/>
  <c r="A22" i="55"/>
  <c r="AF23" i="55"/>
  <c r="AF21" i="54"/>
  <c r="A20" i="54"/>
  <c r="B15" i="54"/>
  <c r="AC15" i="54"/>
  <c r="AI15" i="54" s="1"/>
  <c r="AK16" i="54"/>
  <c r="AH15" i="54"/>
  <c r="AD16" i="54" s="1"/>
  <c r="AJ25" i="54"/>
  <c r="AP25" i="54"/>
  <c r="B39" i="53"/>
  <c r="AC39" i="53"/>
  <c r="AI39" i="53" s="1"/>
  <c r="AH39" i="53" s="1"/>
  <c r="AD40" i="53"/>
  <c r="AK39" i="53"/>
  <c r="AP48" i="53"/>
  <c r="AJ48" i="53"/>
  <c r="A19" i="53"/>
  <c r="AF20" i="53"/>
  <c r="AJ23" i="53"/>
  <c r="AP23" i="53"/>
  <c r="AH17" i="53"/>
  <c r="AD18" i="53" s="1"/>
  <c r="B18" i="53" s="1"/>
  <c r="AK18" i="53"/>
  <c r="B36" i="61" l="1"/>
  <c r="AN36" i="61"/>
  <c r="AN4" i="61"/>
  <c r="B54" i="61" s="1"/>
  <c r="B38" i="62"/>
  <c r="AC38" i="62"/>
  <c r="AI38" i="62" s="1"/>
  <c r="AP39" i="62"/>
  <c r="AJ39" i="62"/>
  <c r="AJ40" i="62" s="1"/>
  <c r="AK38" i="62"/>
  <c r="AH29" i="62"/>
  <c r="AD30" i="62" s="1"/>
  <c r="B30" i="62" s="1"/>
  <c r="AK30" i="62"/>
  <c r="AF30" i="62"/>
  <c r="A29" i="62"/>
  <c r="AH27" i="61"/>
  <c r="AD28" i="61" s="1"/>
  <c r="B28" i="61" s="1"/>
  <c r="AK28" i="61"/>
  <c r="AF29" i="61"/>
  <c r="A28" i="61"/>
  <c r="B25" i="60"/>
  <c r="AJ28" i="60"/>
  <c r="AP28" i="60"/>
  <c r="AH25" i="60"/>
  <c r="AD26" i="60" s="1"/>
  <c r="AK26" i="60"/>
  <c r="A25" i="60"/>
  <c r="AF24" i="56"/>
  <c r="A23" i="56"/>
  <c r="AJ27" i="56"/>
  <c r="AP27" i="56"/>
  <c r="AK25" i="57"/>
  <c r="AH25" i="57" s="1"/>
  <c r="AD26" i="57" s="1"/>
  <c r="B26" i="57" s="1"/>
  <c r="AP29" i="57"/>
  <c r="AJ29" i="57"/>
  <c r="AF26" i="57"/>
  <c r="A25" i="57"/>
  <c r="AO26" i="56"/>
  <c r="AH23" i="56"/>
  <c r="AD24" i="56" s="1"/>
  <c r="B24" i="56" s="1"/>
  <c r="AK24" i="56"/>
  <c r="AK47" i="56"/>
  <c r="AP48" i="56"/>
  <c r="AJ48" i="56"/>
  <c r="AH47" i="56" s="1"/>
  <c r="AH46" i="56"/>
  <c r="AJ24" i="55"/>
  <c r="AP24" i="55"/>
  <c r="AK27" i="55"/>
  <c r="AC27" i="55"/>
  <c r="AI27" i="55" s="1"/>
  <c r="B27" i="55"/>
  <c r="AK20" i="55"/>
  <c r="AH19" i="55"/>
  <c r="AD20" i="55" s="1"/>
  <c r="B20" i="55" s="1"/>
  <c r="A23" i="55"/>
  <c r="AF24" i="55"/>
  <c r="AP45" i="55"/>
  <c r="AJ45" i="55"/>
  <c r="A21" i="54"/>
  <c r="AF22" i="54"/>
  <c r="B16" i="54"/>
  <c r="AC16" i="54"/>
  <c r="AI16" i="54" s="1"/>
  <c r="AK17" i="54"/>
  <c r="AH16" i="54"/>
  <c r="AD17" i="54" s="1"/>
  <c r="AP26" i="54"/>
  <c r="AJ26" i="54"/>
  <c r="AP24" i="53"/>
  <c r="AJ24" i="53"/>
  <c r="AC40" i="53"/>
  <c r="AI40" i="53" s="1"/>
  <c r="AH40" i="53" s="1"/>
  <c r="B40" i="53"/>
  <c r="AD41" i="53"/>
  <c r="AK40" i="53"/>
  <c r="AH18" i="53"/>
  <c r="AD19" i="53" s="1"/>
  <c r="B19" i="53" s="1"/>
  <c r="AK19" i="53"/>
  <c r="AP49" i="53"/>
  <c r="AJ49" i="53"/>
  <c r="A20" i="53"/>
  <c r="AF21" i="53"/>
  <c r="AP41" i="62" l="1"/>
  <c r="AJ41" i="62"/>
  <c r="AH38" i="62"/>
  <c r="AD39" i="62" s="1"/>
  <c r="AP40" i="62"/>
  <c r="AF31" i="62"/>
  <c r="A30" i="62"/>
  <c r="AH30" i="62"/>
  <c r="AD31" i="62" s="1"/>
  <c r="B31" i="62" s="1"/>
  <c r="AK31" i="62"/>
  <c r="AF30" i="61"/>
  <c r="A29" i="61"/>
  <c r="AH28" i="61"/>
  <c r="AD29" i="61" s="1"/>
  <c r="B29" i="61" s="1"/>
  <c r="AK29" i="61"/>
  <c r="B26" i="60"/>
  <c r="AJ29" i="60"/>
  <c r="AP29" i="60"/>
  <c r="A26" i="60"/>
  <c r="AH26" i="60"/>
  <c r="AD27" i="60" s="1"/>
  <c r="AK27" i="60"/>
  <c r="AJ28" i="56"/>
  <c r="AP28" i="56"/>
  <c r="A24" i="56"/>
  <c r="AF25" i="56"/>
  <c r="AK26" i="57"/>
  <c r="AH26" i="57" s="1"/>
  <c r="AD27" i="57" s="1"/>
  <c r="B27" i="57" s="1"/>
  <c r="AF27" i="57"/>
  <c r="A26" i="57"/>
  <c r="AP30" i="57"/>
  <c r="AJ30" i="57"/>
  <c r="AH24" i="56"/>
  <c r="AD25" i="56" s="1"/>
  <c r="B25" i="56" s="1"/>
  <c r="AK25" i="56"/>
  <c r="AJ49" i="56"/>
  <c r="AK48" i="56"/>
  <c r="AP49" i="56"/>
  <c r="AJ25" i="55"/>
  <c r="AP25" i="55"/>
  <c r="AI28" i="55"/>
  <c r="AH27" i="55"/>
  <c r="AD28" i="55" s="1"/>
  <c r="AK21" i="55"/>
  <c r="AH20" i="55"/>
  <c r="AD21" i="55" s="1"/>
  <c r="B21" i="55" s="1"/>
  <c r="AJ46" i="55"/>
  <c r="AP46" i="55"/>
  <c r="A24" i="55"/>
  <c r="AF25" i="55"/>
  <c r="AO25" i="55" s="1"/>
  <c r="A22" i="54"/>
  <c r="AF23" i="54"/>
  <c r="B17" i="54"/>
  <c r="AC17" i="54"/>
  <c r="AI17" i="54" s="1"/>
  <c r="AH17" i="54"/>
  <c r="AD18" i="54" s="1"/>
  <c r="AK18" i="54"/>
  <c r="AP27" i="54"/>
  <c r="AJ27" i="54"/>
  <c r="AJ50" i="53"/>
  <c r="AP50" i="53"/>
  <c r="AK20" i="53"/>
  <c r="AH19" i="53"/>
  <c r="AD20" i="53" s="1"/>
  <c r="B20" i="53" s="1"/>
  <c r="AP25" i="53"/>
  <c r="AJ25" i="53"/>
  <c r="A21" i="53"/>
  <c r="AF22" i="53"/>
  <c r="AC41" i="53"/>
  <c r="AI41" i="53" s="1"/>
  <c r="AH41" i="53" s="1"/>
  <c r="B41" i="53"/>
  <c r="AD42" i="53"/>
  <c r="AK41" i="53"/>
  <c r="AJ42" i="62" l="1"/>
  <c r="AP42" i="62"/>
  <c r="B39" i="62"/>
  <c r="AC39" i="62"/>
  <c r="AI39" i="62" s="1"/>
  <c r="AK39" i="62"/>
  <c r="AH31" i="62"/>
  <c r="AD32" i="62" s="1"/>
  <c r="B32" i="62" s="1"/>
  <c r="AK32" i="62"/>
  <c r="AF32" i="62"/>
  <c r="A31" i="62"/>
  <c r="AK30" i="61"/>
  <c r="AH29" i="61"/>
  <c r="AD30" i="61" s="1"/>
  <c r="B30" i="61" s="1"/>
  <c r="AF31" i="61"/>
  <c r="A30" i="61"/>
  <c r="B27" i="60"/>
  <c r="AP30" i="60"/>
  <c r="AJ30" i="60"/>
  <c r="AH27" i="60"/>
  <c r="AD28" i="60" s="1"/>
  <c r="AK28" i="60"/>
  <c r="A27" i="60"/>
  <c r="A25" i="56"/>
  <c r="AF26" i="56"/>
  <c r="AJ29" i="56"/>
  <c r="AP29" i="56"/>
  <c r="AK27" i="57"/>
  <c r="AH27" i="57" s="1"/>
  <c r="AD28" i="57" s="1"/>
  <c r="B28" i="57" s="1"/>
  <c r="AJ31" i="57"/>
  <c r="AJ32" i="57" s="1"/>
  <c r="AP31" i="57"/>
  <c r="AF28" i="57"/>
  <c r="A27" i="57"/>
  <c r="AH25" i="56"/>
  <c r="AD26" i="56" s="1"/>
  <c r="B26" i="56" s="1"/>
  <c r="AK26" i="56"/>
  <c r="AK49" i="56"/>
  <c r="AP50" i="56"/>
  <c r="AJ50" i="56"/>
  <c r="AH48" i="56"/>
  <c r="AH25" i="55"/>
  <c r="AD26" i="55" s="1"/>
  <c r="AK26" i="55" s="1"/>
  <c r="AP26" i="55"/>
  <c r="B28" i="55"/>
  <c r="AK28" i="55"/>
  <c r="AI29" i="55"/>
  <c r="AH29" i="55" s="1"/>
  <c r="AH28" i="55"/>
  <c r="AD29" i="55" s="1"/>
  <c r="AH21" i="55"/>
  <c r="AD22" i="55" s="1"/>
  <c r="B22" i="55" s="1"/>
  <c r="AK22" i="55"/>
  <c r="AJ47" i="55"/>
  <c r="AP47" i="55"/>
  <c r="A25" i="55"/>
  <c r="AF26" i="55"/>
  <c r="AF24" i="54"/>
  <c r="A23" i="54"/>
  <c r="AH18" i="54"/>
  <c r="AD19" i="54" s="1"/>
  <c r="AK19" i="54"/>
  <c r="B18" i="54"/>
  <c r="AC18" i="54"/>
  <c r="AI18" i="54" s="1"/>
  <c r="AP28" i="54"/>
  <c r="AJ28" i="54"/>
  <c r="AH20" i="53"/>
  <c r="AD21" i="53" s="1"/>
  <c r="B21" i="53" s="1"/>
  <c r="AK21" i="53"/>
  <c r="B42" i="53"/>
  <c r="AC42" i="53"/>
  <c r="AI42" i="53" s="1"/>
  <c r="AH42" i="53" s="1"/>
  <c r="AK42" i="53"/>
  <c r="AD43" i="53"/>
  <c r="AF23" i="53"/>
  <c r="A22" i="53"/>
  <c r="AJ26" i="53"/>
  <c r="AP26" i="53"/>
  <c r="AJ51" i="53"/>
  <c r="AP51" i="53"/>
  <c r="AP43" i="62" l="1"/>
  <c r="AI40" i="62"/>
  <c r="AH39" i="62"/>
  <c r="AD40" i="62" s="1"/>
  <c r="B40" i="62" s="1"/>
  <c r="AF33" i="62"/>
  <c r="A32" i="62"/>
  <c r="AK33" i="62"/>
  <c r="AH32" i="62"/>
  <c r="AD33" i="62" s="1"/>
  <c r="B33" i="62" s="1"/>
  <c r="AF32" i="61"/>
  <c r="A31" i="61"/>
  <c r="AH30" i="61"/>
  <c r="AD31" i="61" s="1"/>
  <c r="B31" i="61" s="1"/>
  <c r="AK31" i="61"/>
  <c r="B28" i="60"/>
  <c r="AP31" i="60"/>
  <c r="AJ31" i="60"/>
  <c r="AH28" i="60"/>
  <c r="AD29" i="60" s="1"/>
  <c r="AK29" i="60"/>
  <c r="A28" i="60"/>
  <c r="AP30" i="56"/>
  <c r="AJ30" i="56"/>
  <c r="AP33" i="57"/>
  <c r="AJ33" i="57"/>
  <c r="AP34" i="57" s="1"/>
  <c r="A26" i="56"/>
  <c r="AF27" i="56"/>
  <c r="AK28" i="57"/>
  <c r="AH28" i="57" s="1"/>
  <c r="AD29" i="57" s="1"/>
  <c r="B29" i="57" s="1"/>
  <c r="AP32" i="57"/>
  <c r="AF29" i="57"/>
  <c r="A28" i="57"/>
  <c r="AK27" i="56"/>
  <c r="AH26" i="56"/>
  <c r="AD27" i="56" s="1"/>
  <c r="B27" i="56" s="1"/>
  <c r="AJ51" i="56"/>
  <c r="AK50" i="56"/>
  <c r="AP51" i="56"/>
  <c r="AH49" i="56"/>
  <c r="AN26" i="55"/>
  <c r="B26" i="55"/>
  <c r="B29" i="55"/>
  <c r="AK29" i="55"/>
  <c r="AD30" i="55"/>
  <c r="AK23" i="55"/>
  <c r="AH22" i="55"/>
  <c r="AD23" i="55" s="1"/>
  <c r="B23" i="55" s="1"/>
  <c r="AJ48" i="55"/>
  <c r="AP48" i="55"/>
  <c r="AF27" i="55"/>
  <c r="AO26" i="55"/>
  <c r="AO4" i="55" s="1"/>
  <c r="A54" i="55" s="1"/>
  <c r="A26" i="55"/>
  <c r="A24" i="54"/>
  <c r="AF25" i="54"/>
  <c r="B19" i="54"/>
  <c r="AC19" i="54"/>
  <c r="AI19" i="54" s="1"/>
  <c r="AH19" i="54"/>
  <c r="AD20" i="54" s="1"/>
  <c r="AK20" i="54"/>
  <c r="AJ29" i="54"/>
  <c r="AJ30" i="54" s="1"/>
  <c r="AP29" i="54"/>
  <c r="AF24" i="53"/>
  <c r="A23" i="53"/>
  <c r="AH21" i="53"/>
  <c r="AD22" i="53" s="1"/>
  <c r="B22" i="53" s="1"/>
  <c r="AK22" i="53"/>
  <c r="AP27" i="53"/>
  <c r="AJ27" i="53"/>
  <c r="B43" i="53"/>
  <c r="AC43" i="53"/>
  <c r="AI43" i="53" s="1"/>
  <c r="AH43" i="53" s="1"/>
  <c r="AD44" i="53"/>
  <c r="AK43" i="53"/>
  <c r="AK40" i="62" l="1"/>
  <c r="AH40" i="62"/>
  <c r="AI41" i="62"/>
  <c r="AH33" i="62"/>
  <c r="AD34" i="62" s="1"/>
  <c r="AK34" i="62"/>
  <c r="AF34" i="62"/>
  <c r="A33" i="62"/>
  <c r="AH31" i="61"/>
  <c r="AD32" i="61" s="1"/>
  <c r="B32" i="61" s="1"/>
  <c r="AK32" i="61"/>
  <c r="AF33" i="61"/>
  <c r="A32" i="61"/>
  <c r="B29" i="60"/>
  <c r="AP32" i="60"/>
  <c r="AJ32" i="60"/>
  <c r="A29" i="60"/>
  <c r="AH29" i="60"/>
  <c r="AD30" i="60" s="1"/>
  <c r="A27" i="56"/>
  <c r="AF28" i="56"/>
  <c r="AJ31" i="56"/>
  <c r="AP31" i="56"/>
  <c r="AK29" i="57"/>
  <c r="AH29" i="57" s="1"/>
  <c r="AD30" i="57" s="1"/>
  <c r="B30" i="57" s="1"/>
  <c r="AN32" i="57"/>
  <c r="AF30" i="57"/>
  <c r="A29" i="57"/>
  <c r="AK28" i="56"/>
  <c r="AH27" i="56"/>
  <c r="AD28" i="56" s="1"/>
  <c r="B28" i="56" s="1"/>
  <c r="AK51" i="56"/>
  <c r="AH51" i="56"/>
  <c r="AH50" i="56"/>
  <c r="AK30" i="55"/>
  <c r="AC30" i="55"/>
  <c r="AI30" i="55" s="1"/>
  <c r="AH30" i="55" s="1"/>
  <c r="B30" i="55"/>
  <c r="AH23" i="55"/>
  <c r="AD24" i="55" s="1"/>
  <c r="B24" i="55" s="1"/>
  <c r="AK24" i="55"/>
  <c r="AF28" i="55"/>
  <c r="A27" i="55"/>
  <c r="AJ49" i="55"/>
  <c r="AP49" i="55"/>
  <c r="AF26" i="54"/>
  <c r="A25" i="54"/>
  <c r="AJ31" i="54"/>
  <c r="AP31" i="54"/>
  <c r="B20" i="54"/>
  <c r="AC20" i="54"/>
  <c r="AI20" i="54" s="1"/>
  <c r="AK21" i="54"/>
  <c r="AH20" i="54"/>
  <c r="AD21" i="54" s="1"/>
  <c r="AP30" i="54"/>
  <c r="AK23" i="53"/>
  <c r="AH22" i="53"/>
  <c r="AD23" i="53" s="1"/>
  <c r="B23" i="53" s="1"/>
  <c r="AJ28" i="53"/>
  <c r="AP28" i="53"/>
  <c r="B44" i="53"/>
  <c r="AC44" i="53"/>
  <c r="AI44" i="53" s="1"/>
  <c r="AH44" i="53" s="1"/>
  <c r="AK44" i="53"/>
  <c r="AD45" i="53"/>
  <c r="AF25" i="53"/>
  <c r="A24" i="53"/>
  <c r="AH41" i="62" l="1"/>
  <c r="AD42" i="62" s="1"/>
  <c r="AI42" i="62"/>
  <c r="AD41" i="62"/>
  <c r="B34" i="62"/>
  <c r="AN34" i="62"/>
  <c r="AF35" i="62"/>
  <c r="AO35" i="62" s="1"/>
  <c r="A34" i="62"/>
  <c r="AH34" i="62"/>
  <c r="AD35" i="62" s="1"/>
  <c r="AK35" i="62" s="1"/>
  <c r="AH35" i="62" s="1"/>
  <c r="AD36" i="62" s="1"/>
  <c r="AF34" i="61"/>
  <c r="A33" i="61"/>
  <c r="AH32" i="61"/>
  <c r="AD33" i="61" s="1"/>
  <c r="B33" i="61" s="1"/>
  <c r="AK33" i="61"/>
  <c r="AK30" i="60"/>
  <c r="AH30" i="60" s="1"/>
  <c r="AD31" i="60" s="1"/>
  <c r="B30" i="60"/>
  <c r="AN30" i="60"/>
  <c r="AJ33" i="60"/>
  <c r="AP33" i="60"/>
  <c r="AO31" i="60"/>
  <c r="A30" i="60"/>
  <c r="AP32" i="56"/>
  <c r="AH31" i="56"/>
  <c r="AD32" i="56" s="1"/>
  <c r="AK32" i="56" s="1"/>
  <c r="A28" i="56"/>
  <c r="AF29" i="56"/>
  <c r="AK30" i="57"/>
  <c r="AH30" i="57" s="1"/>
  <c r="AD31" i="57" s="1"/>
  <c r="B31" i="57" s="1"/>
  <c r="AF31" i="57"/>
  <c r="A30" i="57"/>
  <c r="AH28" i="56"/>
  <c r="AD29" i="56" s="1"/>
  <c r="B29" i="56" s="1"/>
  <c r="AK29" i="56"/>
  <c r="AI31" i="55"/>
  <c r="AH31" i="55" s="1"/>
  <c r="AK31" i="55"/>
  <c r="AH24" i="55"/>
  <c r="AD25" i="55" s="1"/>
  <c r="AJ50" i="55"/>
  <c r="AP50" i="55"/>
  <c r="AF29" i="55"/>
  <c r="A28" i="55"/>
  <c r="AO26" i="54"/>
  <c r="AF27" i="54"/>
  <c r="A26" i="54"/>
  <c r="AJ32" i="54"/>
  <c r="AP32" i="54"/>
  <c r="B21" i="54"/>
  <c r="AC21" i="54"/>
  <c r="AI21" i="54" s="1"/>
  <c r="AH21" i="54"/>
  <c r="AD22" i="54" s="1"/>
  <c r="AK22" i="54"/>
  <c r="AJ29" i="53"/>
  <c r="AP29" i="53"/>
  <c r="AF26" i="53"/>
  <c r="A25" i="53"/>
  <c r="AC45" i="53"/>
  <c r="AI45" i="53" s="1"/>
  <c r="AH45" i="53" s="1"/>
  <c r="B45" i="53"/>
  <c r="AK45" i="53"/>
  <c r="AD46" i="53"/>
  <c r="AH23" i="53"/>
  <c r="AD24" i="53" s="1"/>
  <c r="B24" i="53" s="1"/>
  <c r="AK24" i="53"/>
  <c r="AK42" i="62" l="1"/>
  <c r="B42" i="62"/>
  <c r="AK41" i="62"/>
  <c r="B41" i="62"/>
  <c r="AI43" i="62"/>
  <c r="AH42" i="62"/>
  <c r="AD43" i="62" s="1"/>
  <c r="AH33" i="61"/>
  <c r="AD34" i="61" s="1"/>
  <c r="B34" i="61" s="1"/>
  <c r="AK34" i="61"/>
  <c r="AK36" i="62"/>
  <c r="B36" i="62"/>
  <c r="B35" i="62"/>
  <c r="E10" i="62" s="1"/>
  <c r="AN35" i="62"/>
  <c r="AN4" i="62" s="1"/>
  <c r="B54" i="62" s="1"/>
  <c r="AF36" i="62"/>
  <c r="A36" i="62" s="1"/>
  <c r="A35" i="62"/>
  <c r="AO34" i="61"/>
  <c r="A34" i="61"/>
  <c r="AF35" i="61"/>
  <c r="AK31" i="60"/>
  <c r="B31" i="60"/>
  <c r="AJ34" i="60"/>
  <c r="AN31" i="60"/>
  <c r="AJ35" i="60"/>
  <c r="AP34" i="60"/>
  <c r="A31" i="60"/>
  <c r="AH31" i="60"/>
  <c r="AN32" i="56"/>
  <c r="AN4" i="56" s="1"/>
  <c r="B54" i="56" s="1"/>
  <c r="B32" i="56"/>
  <c r="AF30" i="56"/>
  <c r="A29" i="56"/>
  <c r="AH33" i="57"/>
  <c r="AD34" i="57" s="1"/>
  <c r="AK34" i="57" s="1"/>
  <c r="AK31" i="57"/>
  <c r="AF32" i="57"/>
  <c r="A31" i="57"/>
  <c r="AH29" i="56"/>
  <c r="AD30" i="56" s="1"/>
  <c r="B30" i="56" s="1"/>
  <c r="AK30" i="56"/>
  <c r="AI32" i="55"/>
  <c r="AH32" i="55" s="1"/>
  <c r="AK32" i="55"/>
  <c r="B25" i="55"/>
  <c r="AN25" i="55"/>
  <c r="AN4" i="55" s="1"/>
  <c r="B54" i="55" s="1"/>
  <c r="AK25" i="55"/>
  <c r="AJ51" i="55"/>
  <c r="AP51" i="55"/>
  <c r="AF30" i="55"/>
  <c r="A29" i="55"/>
  <c r="AF28" i="54"/>
  <c r="A27" i="54"/>
  <c r="AP33" i="54"/>
  <c r="AJ33" i="54"/>
  <c r="AK23" i="54"/>
  <c r="AH22" i="54"/>
  <c r="AD23" i="54" s="1"/>
  <c r="B22" i="54"/>
  <c r="AC22" i="54"/>
  <c r="AI22" i="54" s="1"/>
  <c r="AC46" i="53"/>
  <c r="AI46" i="53" s="1"/>
  <c r="AH46" i="53" s="1"/>
  <c r="B46" i="53"/>
  <c r="AD47" i="53"/>
  <c r="AK46" i="53"/>
  <c r="A26" i="53"/>
  <c r="AF27" i="53"/>
  <c r="AH24" i="53"/>
  <c r="AD25" i="53" s="1"/>
  <c r="B25" i="53" s="1"/>
  <c r="AK25" i="53"/>
  <c r="AH29" i="53"/>
  <c r="AD30" i="53" s="1"/>
  <c r="AP30" i="53"/>
  <c r="AH34" i="61" l="1"/>
  <c r="AD35" i="61" s="1"/>
  <c r="B35" i="61" s="1"/>
  <c r="E10" i="61" s="1"/>
  <c r="AK35" i="61"/>
  <c r="B43" i="62"/>
  <c r="AK43" i="62"/>
  <c r="AI44" i="62"/>
  <c r="AH44" i="62" s="1"/>
  <c r="AH43" i="62"/>
  <c r="AD44" i="62" s="1"/>
  <c r="AH36" i="62"/>
  <c r="AD37" i="62" s="1"/>
  <c r="B37" i="62" s="1"/>
  <c r="AK37" i="62"/>
  <c r="AO36" i="62"/>
  <c r="AF37" i="62"/>
  <c r="A37" i="62" s="1"/>
  <c r="AF36" i="61"/>
  <c r="AO36" i="61" s="1"/>
  <c r="AO4" i="61" s="1"/>
  <c r="A54" i="61" s="1"/>
  <c r="A35" i="61"/>
  <c r="AP35" i="60"/>
  <c r="AN32" i="60"/>
  <c r="AD32" i="60"/>
  <c r="AC32" i="60" s="1"/>
  <c r="AI32" i="60" s="1"/>
  <c r="AJ36" i="60"/>
  <c r="AP36" i="60"/>
  <c r="AN34" i="60"/>
  <c r="A32" i="60"/>
  <c r="A30" i="56"/>
  <c r="AF31" i="56"/>
  <c r="AH31" i="57"/>
  <c r="AD32" i="57" s="1"/>
  <c r="B32" i="57" s="1"/>
  <c r="AK32" i="57"/>
  <c r="B34" i="57"/>
  <c r="AN34" i="57"/>
  <c r="AN4" i="57" s="1"/>
  <c r="B54" i="57" s="1"/>
  <c r="AH34" i="57"/>
  <c r="AD35" i="57" s="1"/>
  <c r="AK35" i="57" s="1"/>
  <c r="AO32" i="57"/>
  <c r="AF33" i="57"/>
  <c r="A32" i="57"/>
  <c r="AH30" i="56"/>
  <c r="AD31" i="56" s="1"/>
  <c r="B31" i="56" s="1"/>
  <c r="AK31" i="56"/>
  <c r="AK33" i="55"/>
  <c r="AI33" i="55"/>
  <c r="AH33" i="55" s="1"/>
  <c r="A30" i="55"/>
  <c r="AF29" i="54"/>
  <c r="A28" i="54"/>
  <c r="AP34" i="54"/>
  <c r="AJ34" i="54"/>
  <c r="B23" i="54"/>
  <c r="AC23" i="54"/>
  <c r="AI23" i="54" s="1"/>
  <c r="AK24" i="54"/>
  <c r="AH23" i="54"/>
  <c r="AD24" i="54" s="1"/>
  <c r="AO30" i="54"/>
  <c r="AO4" i="54" s="1"/>
  <c r="A54" i="54" s="1"/>
  <c r="AN30" i="53"/>
  <c r="AN4" i="53" s="1"/>
  <c r="B54" i="53" s="1"/>
  <c r="B30" i="53"/>
  <c r="AK30" i="53"/>
  <c r="B47" i="53"/>
  <c r="AC47" i="53"/>
  <c r="AI47" i="53" s="1"/>
  <c r="AH47" i="53" s="1"/>
  <c r="AD48" i="53"/>
  <c r="AK47" i="53"/>
  <c r="AH25" i="53"/>
  <c r="AD26" i="53" s="1"/>
  <c r="B26" i="53" s="1"/>
  <c r="AK26" i="53"/>
  <c r="A27" i="53"/>
  <c r="AF28" i="53"/>
  <c r="B44" i="62" l="1"/>
  <c r="AK44" i="62"/>
  <c r="AF38" i="62"/>
  <c r="AK32" i="60"/>
  <c r="B32" i="60"/>
  <c r="AF37" i="61"/>
  <c r="A36" i="61"/>
  <c r="AN4" i="60"/>
  <c r="B54" i="60" s="1"/>
  <c r="AH32" i="60"/>
  <c r="AD33" i="60" s="1"/>
  <c r="AJ37" i="60"/>
  <c r="AP37" i="60"/>
  <c r="A33" i="60"/>
  <c r="AF32" i="56"/>
  <c r="A31" i="56"/>
  <c r="AH32" i="57"/>
  <c r="AD33" i="57" s="1"/>
  <c r="B33" i="57" s="1"/>
  <c r="AK33" i="57"/>
  <c r="B35" i="57"/>
  <c r="E10" i="57" s="1"/>
  <c r="AC35" i="57"/>
  <c r="AI35" i="57" s="1"/>
  <c r="AI36" i="57" s="1"/>
  <c r="AF34" i="57"/>
  <c r="AO34" i="57" s="1"/>
  <c r="AO4" i="57" s="1"/>
  <c r="A54" i="57" s="1"/>
  <c r="A33" i="57"/>
  <c r="AP35" i="54"/>
  <c r="AJ35" i="54"/>
  <c r="AK34" i="55"/>
  <c r="AI34" i="55"/>
  <c r="AH34" i="55" s="1"/>
  <c r="A29" i="54"/>
  <c r="AF30" i="54"/>
  <c r="AH24" i="54"/>
  <c r="AD25" i="54" s="1"/>
  <c r="AK25" i="54"/>
  <c r="B24" i="54"/>
  <c r="AC24" i="54"/>
  <c r="AI24" i="54" s="1"/>
  <c r="A28" i="53"/>
  <c r="AF29" i="53"/>
  <c r="AC48" i="53"/>
  <c r="AI48" i="53" s="1"/>
  <c r="AH48" i="53" s="1"/>
  <c r="B48" i="53"/>
  <c r="AK48" i="53"/>
  <c r="AD49" i="53"/>
  <c r="AH26" i="53"/>
  <c r="AD27" i="53" s="1"/>
  <c r="B27" i="53" s="1"/>
  <c r="AK27" i="53"/>
  <c r="AO38" i="62" l="1"/>
  <c r="AO4" i="62" s="1"/>
  <c r="A54" i="62" s="1"/>
  <c r="A38" i="62"/>
  <c r="AF39" i="62"/>
  <c r="AF38" i="61"/>
  <c r="A37" i="61"/>
  <c r="AI33" i="60"/>
  <c r="AP38" i="60"/>
  <c r="AJ38" i="60"/>
  <c r="AJ39" i="60" s="1"/>
  <c r="AO34" i="60"/>
  <c r="AO4" i="60" s="1"/>
  <c r="A54" i="60" s="1"/>
  <c r="A34" i="60"/>
  <c r="A32" i="56"/>
  <c r="AO32" i="56"/>
  <c r="AO4" i="56" s="1"/>
  <c r="A54" i="56" s="1"/>
  <c r="AF33" i="56"/>
  <c r="AH35" i="57"/>
  <c r="AD36" i="57" s="1"/>
  <c r="B36" i="57" s="1"/>
  <c r="AH36" i="57"/>
  <c r="AD37" i="57" s="1"/>
  <c r="AK37" i="57" s="1"/>
  <c r="AF35" i="57"/>
  <c r="A34" i="57"/>
  <c r="AP36" i="54"/>
  <c r="AJ36" i="54"/>
  <c r="E10" i="55"/>
  <c r="AK35" i="55"/>
  <c r="AI35" i="55"/>
  <c r="AH35" i="55" s="1"/>
  <c r="A30" i="54"/>
  <c r="AF31" i="54"/>
  <c r="B25" i="54"/>
  <c r="AC25" i="54"/>
  <c r="AI25" i="54" s="1"/>
  <c r="AH25" i="54" s="1"/>
  <c r="AD26" i="54" s="1"/>
  <c r="AN26" i="54" s="1"/>
  <c r="AH27" i="53"/>
  <c r="AD28" i="53" s="1"/>
  <c r="B28" i="53" s="1"/>
  <c r="AK28" i="53"/>
  <c r="A29" i="53"/>
  <c r="AF30" i="53"/>
  <c r="AC49" i="53"/>
  <c r="AI49" i="53" s="1"/>
  <c r="AH49" i="53" s="1"/>
  <c r="B49" i="53"/>
  <c r="AD50" i="53"/>
  <c r="AK49" i="53"/>
  <c r="A39" i="62" l="1"/>
  <c r="AF40" i="62"/>
  <c r="AF39" i="61"/>
  <c r="A38" i="61"/>
  <c r="AK33" i="60"/>
  <c r="AI34" i="60"/>
  <c r="AH33" i="60"/>
  <c r="AD34" i="60" s="1"/>
  <c r="B33" i="60"/>
  <c r="AJ40" i="60"/>
  <c r="AP40" i="60"/>
  <c r="AP39" i="60"/>
  <c r="AF34" i="56"/>
  <c r="A33" i="56"/>
  <c r="AK36" i="57"/>
  <c r="B37" i="57"/>
  <c r="AC37" i="57"/>
  <c r="AI37" i="57" s="1"/>
  <c r="AF36" i="57"/>
  <c r="A35" i="57"/>
  <c r="AJ37" i="54"/>
  <c r="AP37" i="54"/>
  <c r="AK36" i="55"/>
  <c r="AI36" i="55"/>
  <c r="AH36" i="55" s="1"/>
  <c r="A31" i="54"/>
  <c r="AF32" i="54"/>
  <c r="AK26" i="54"/>
  <c r="B26" i="54"/>
  <c r="AC26" i="54"/>
  <c r="AI26" i="54" s="1"/>
  <c r="AH26" i="54" s="1"/>
  <c r="AD27" i="54" s="1"/>
  <c r="AK27" i="54" s="1"/>
  <c r="AH28" i="53"/>
  <c r="AD29" i="53" s="1"/>
  <c r="B29" i="53" s="1"/>
  <c r="AK29" i="53"/>
  <c r="AC50" i="53"/>
  <c r="AI50" i="53" s="1"/>
  <c r="AH50" i="53" s="1"/>
  <c r="B50" i="53"/>
  <c r="AK50" i="53"/>
  <c r="AD51" i="53"/>
  <c r="AF31" i="53"/>
  <c r="A30" i="53"/>
  <c r="AO30" i="53"/>
  <c r="AO4" i="53" s="1"/>
  <c r="A54" i="53" s="1"/>
  <c r="A40" i="62" l="1"/>
  <c r="AF41" i="62"/>
  <c r="A39" i="61"/>
  <c r="AF40" i="61"/>
  <c r="B34" i="60"/>
  <c r="AK34" i="60"/>
  <c r="AH34" i="60"/>
  <c r="AD35" i="60" s="1"/>
  <c r="B35" i="60" s="1"/>
  <c r="AI35" i="60"/>
  <c r="AP41" i="60"/>
  <c r="AJ41" i="60"/>
  <c r="AF35" i="56"/>
  <c r="A34" i="56"/>
  <c r="AI38" i="57"/>
  <c r="AH37" i="57"/>
  <c r="AD38" i="57" s="1"/>
  <c r="AF37" i="57"/>
  <c r="A36" i="57"/>
  <c r="AP38" i="54"/>
  <c r="AJ38" i="54"/>
  <c r="AI37" i="55"/>
  <c r="AH37" i="55" s="1"/>
  <c r="AK37" i="55"/>
  <c r="AF33" i="54"/>
  <c r="A32" i="54"/>
  <c r="B27" i="54"/>
  <c r="AC27" i="54"/>
  <c r="AI27" i="54" s="1"/>
  <c r="AH27" i="54" s="1"/>
  <c r="AD28" i="54" s="1"/>
  <c r="AK28" i="54" s="1"/>
  <c r="B51" i="53"/>
  <c r="AC51" i="53"/>
  <c r="AI51" i="53" s="1"/>
  <c r="AH51" i="53" s="1"/>
  <c r="AK51" i="53"/>
  <c r="AF32" i="53"/>
  <c r="A31" i="53"/>
  <c r="AF41" i="61" l="1"/>
  <c r="A40" i="61"/>
  <c r="AF42" i="62"/>
  <c r="A41" i="62"/>
  <c r="E10" i="60"/>
  <c r="AK35" i="60"/>
  <c r="AH35" i="60"/>
  <c r="AI36" i="60" s="1"/>
  <c r="AJ42" i="60"/>
  <c r="AK41" i="60"/>
  <c r="AP42" i="60"/>
  <c r="AI38" i="60"/>
  <c r="A35" i="56"/>
  <c r="AF36" i="56"/>
  <c r="AI39" i="57"/>
  <c r="AH38" i="57"/>
  <c r="AD39" i="57" s="1"/>
  <c r="B38" i="57"/>
  <c r="AK38" i="57"/>
  <c r="AF38" i="57"/>
  <c r="A37" i="57"/>
  <c r="AP39" i="54"/>
  <c r="AJ39" i="54"/>
  <c r="AK38" i="55"/>
  <c r="AI38" i="55"/>
  <c r="AH38" i="55" s="1"/>
  <c r="A33" i="54"/>
  <c r="AF34" i="54"/>
  <c r="B28" i="54"/>
  <c r="AC28" i="54"/>
  <c r="AI28" i="54" s="1"/>
  <c r="AH28" i="54" s="1"/>
  <c r="AD29" i="54" s="1"/>
  <c r="AK29" i="54" s="1"/>
  <c r="AF33" i="53"/>
  <c r="A32" i="53"/>
  <c r="AF43" i="62" l="1"/>
  <c r="A42" i="62"/>
  <c r="AH36" i="60"/>
  <c r="AK37" i="60" s="1"/>
  <c r="AI37" i="60"/>
  <c r="AH37" i="60" s="1"/>
  <c r="AH41" i="60"/>
  <c r="AJ43" i="60"/>
  <c r="AK42" i="60"/>
  <c r="AP43" i="60"/>
  <c r="AH38" i="60"/>
  <c r="AI39" i="60" s="1"/>
  <c r="AK38" i="60"/>
  <c r="A36" i="56"/>
  <c r="AF37" i="56"/>
  <c r="AH39" i="57"/>
  <c r="AD40" i="57" s="1"/>
  <c r="AK40" i="57" s="1"/>
  <c r="AI40" i="57"/>
  <c r="AH40" i="57" s="1"/>
  <c r="B39" i="57"/>
  <c r="AK39" i="57"/>
  <c r="AF39" i="57"/>
  <c r="A38" i="57"/>
  <c r="AJ40" i="54"/>
  <c r="AP40" i="54"/>
  <c r="AI39" i="55"/>
  <c r="AH39" i="55" s="1"/>
  <c r="AK39" i="55"/>
  <c r="AF35" i="54"/>
  <c r="A34" i="54"/>
  <c r="B29" i="54"/>
  <c r="AC29" i="54"/>
  <c r="AI29" i="54" s="1"/>
  <c r="AF34" i="53"/>
  <c r="A33" i="53"/>
  <c r="A43" i="62" l="1"/>
  <c r="AF44" i="62"/>
  <c r="A44" i="62" s="1"/>
  <c r="AK36" i="60"/>
  <c r="AH42" i="60"/>
  <c r="AP44" i="60"/>
  <c r="AJ44" i="60"/>
  <c r="AK43" i="60"/>
  <c r="AK39" i="60"/>
  <c r="AI40" i="60"/>
  <c r="AH40" i="60" s="1"/>
  <c r="AH39" i="60"/>
  <c r="AK40" i="60" s="1"/>
  <c r="A39" i="57"/>
  <c r="AF40" i="57"/>
  <c r="A37" i="56"/>
  <c r="AF38" i="56"/>
  <c r="AJ41" i="54"/>
  <c r="AP41" i="54"/>
  <c r="AI40" i="55"/>
  <c r="AH40" i="55" s="1"/>
  <c r="AK40" i="55"/>
  <c r="AF36" i="54"/>
  <c r="A35" i="54"/>
  <c r="AH29" i="54"/>
  <c r="AD30" i="54" s="1"/>
  <c r="A34" i="53"/>
  <c r="AF35" i="53"/>
  <c r="AH43" i="60" l="1"/>
  <c r="AK44" i="60"/>
  <c r="AP45" i="60"/>
  <c r="AJ45" i="60"/>
  <c r="AF39" i="56"/>
  <c r="A39" i="56" s="1"/>
  <c r="A38" i="56"/>
  <c r="AJ42" i="54"/>
  <c r="AP42" i="54"/>
  <c r="AK41" i="55"/>
  <c r="AI41" i="55"/>
  <c r="AH41" i="55" s="1"/>
  <c r="AF37" i="54"/>
  <c r="A36" i="54"/>
  <c r="AK30" i="54"/>
  <c r="AC30" i="54"/>
  <c r="AI30" i="54" s="1"/>
  <c r="AH30" i="54" s="1"/>
  <c r="AD31" i="54" s="1"/>
  <c r="B30" i="54"/>
  <c r="AN30" i="54"/>
  <c r="AN4" i="54" s="1"/>
  <c r="B54" i="54" s="1"/>
  <c r="A35" i="53"/>
  <c r="AF36" i="53"/>
  <c r="AH44" i="60" l="1"/>
  <c r="AP46" i="60"/>
  <c r="AJ46" i="60"/>
  <c r="AK45" i="60"/>
  <c r="AJ43" i="54"/>
  <c r="AP43" i="54"/>
  <c r="AK42" i="55"/>
  <c r="AI42" i="55"/>
  <c r="AH42" i="55" s="1"/>
  <c r="A37" i="54"/>
  <c r="AF38" i="54"/>
  <c r="B31" i="54"/>
  <c r="AC31" i="54"/>
  <c r="AI31" i="54" s="1"/>
  <c r="AH31" i="54" s="1"/>
  <c r="AD32" i="54" s="1"/>
  <c r="AK31" i="54"/>
  <c r="A36" i="53"/>
  <c r="AF37" i="53"/>
  <c r="AH45" i="60" l="1"/>
  <c r="AK46" i="60"/>
  <c r="AP47" i="60"/>
  <c r="AJ47" i="60"/>
  <c r="AP44" i="54"/>
  <c r="AJ44" i="54"/>
  <c r="AK43" i="55"/>
  <c r="AI43" i="55"/>
  <c r="AH43" i="55" s="1"/>
  <c r="AF39" i="54"/>
  <c r="A38" i="54"/>
  <c r="AC32" i="54"/>
  <c r="AI32" i="54" s="1"/>
  <c r="AH32" i="54" s="1"/>
  <c r="AD33" i="54" s="1"/>
  <c r="AK32" i="54"/>
  <c r="B32" i="54"/>
  <c r="A37" i="53"/>
  <c r="AF38" i="53"/>
  <c r="AH46" i="60" l="1"/>
  <c r="AJ48" i="60"/>
  <c r="AP48" i="60"/>
  <c r="AK47" i="60"/>
  <c r="AJ45" i="54"/>
  <c r="AP45" i="54"/>
  <c r="AK44" i="55"/>
  <c r="AI44" i="55"/>
  <c r="AH44" i="55" s="1"/>
  <c r="AF40" i="54"/>
  <c r="A39" i="54"/>
  <c r="B33" i="54"/>
  <c r="AC33" i="54"/>
  <c r="AI33" i="54" s="1"/>
  <c r="AH33" i="54" s="1"/>
  <c r="AD34" i="54" s="1"/>
  <c r="AK33" i="54"/>
  <c r="AF39" i="53"/>
  <c r="A38" i="53"/>
  <c r="AH47" i="60" l="1"/>
  <c r="AK48" i="60"/>
  <c r="AP49" i="60"/>
  <c r="AJ49" i="60"/>
  <c r="AP46" i="54"/>
  <c r="AJ46" i="54"/>
  <c r="AI45" i="55"/>
  <c r="AH45" i="55" s="1"/>
  <c r="AK45" i="55"/>
  <c r="A40" i="54"/>
  <c r="AF41" i="54"/>
  <c r="AK34" i="54"/>
  <c r="AC34" i="54"/>
  <c r="AI34" i="54" s="1"/>
  <c r="AH34" i="54" s="1"/>
  <c r="AD35" i="54" s="1"/>
  <c r="B34" i="54"/>
  <c r="AF40" i="53"/>
  <c r="A39" i="53"/>
  <c r="AH48" i="60" l="1"/>
  <c r="AP50" i="60"/>
  <c r="AK49" i="60"/>
  <c r="AJ50" i="60"/>
  <c r="AP47" i="54"/>
  <c r="AJ47" i="54"/>
  <c r="AK46" i="55"/>
  <c r="AI46" i="55"/>
  <c r="AH46" i="55" s="1"/>
  <c r="AF42" i="54"/>
  <c r="A41" i="54"/>
  <c r="AC35" i="54"/>
  <c r="AI35" i="54" s="1"/>
  <c r="AH35" i="54" s="1"/>
  <c r="AK35" i="54"/>
  <c r="B35" i="54"/>
  <c r="E10" i="54" s="1"/>
  <c r="AD36" i="54"/>
  <c r="AF41" i="53"/>
  <c r="A40" i="53"/>
  <c r="AH49" i="60" l="1"/>
  <c r="AJ51" i="60"/>
  <c r="AP51" i="60"/>
  <c r="AK50" i="60"/>
  <c r="AP48" i="54"/>
  <c r="AJ48" i="54"/>
  <c r="AK47" i="55"/>
  <c r="AI47" i="55"/>
  <c r="AH47" i="55" s="1"/>
  <c r="AF43" i="54"/>
  <c r="A42" i="54"/>
  <c r="B36" i="54"/>
  <c r="AD37" i="54"/>
  <c r="AC36" i="54"/>
  <c r="AI36" i="54" s="1"/>
  <c r="AH36" i="54" s="1"/>
  <c r="AK36" i="54"/>
  <c r="AF42" i="53"/>
  <c r="A41" i="53"/>
  <c r="AH50" i="60" l="1"/>
  <c r="AK51" i="60"/>
  <c r="AH51" i="60"/>
  <c r="AJ49" i="54"/>
  <c r="AP49" i="54"/>
  <c r="AI48" i="55"/>
  <c r="AH48" i="55" s="1"/>
  <c r="AK48" i="55"/>
  <c r="AF44" i="54"/>
  <c r="A43" i="54"/>
  <c r="B37" i="54"/>
  <c r="AC37" i="54"/>
  <c r="AI37" i="54" s="1"/>
  <c r="AH37" i="54" s="1"/>
  <c r="AK37" i="54"/>
  <c r="AD38" i="54"/>
  <c r="A42" i="53"/>
  <c r="AF43" i="53"/>
  <c r="AJ50" i="54" l="1"/>
  <c r="AP50" i="54"/>
  <c r="AK49" i="55"/>
  <c r="AI49" i="55"/>
  <c r="AH49" i="55" s="1"/>
  <c r="A44" i="54"/>
  <c r="AF45" i="54"/>
  <c r="AC38" i="54"/>
  <c r="AI38" i="54" s="1"/>
  <c r="AH38" i="54" s="1"/>
  <c r="AK38" i="54"/>
  <c r="AD39" i="54"/>
  <c r="B38" i="54"/>
  <c r="A43" i="53"/>
  <c r="AF44" i="53"/>
  <c r="AP51" i="54" l="1"/>
  <c r="AJ51" i="54"/>
  <c r="AK50" i="55"/>
  <c r="AI50" i="55"/>
  <c r="AH50" i="55" s="1"/>
  <c r="A45" i="54"/>
  <c r="AF46" i="54"/>
  <c r="B39" i="54"/>
  <c r="AC39" i="54"/>
  <c r="AI39" i="54" s="1"/>
  <c r="AH39" i="54" s="1"/>
  <c r="AK39" i="54"/>
  <c r="AD40" i="54"/>
  <c r="A44" i="53"/>
  <c r="AF45" i="53"/>
  <c r="AK51" i="55" l="1"/>
  <c r="AI51" i="55"/>
  <c r="AH51" i="55" s="1"/>
  <c r="A46" i="54"/>
  <c r="AF47" i="54"/>
  <c r="B40" i="54"/>
  <c r="AK40" i="54"/>
  <c r="AD41" i="54"/>
  <c r="AC40" i="54"/>
  <c r="AI40" i="54" s="1"/>
  <c r="AH40" i="54" s="1"/>
  <c r="A45" i="53"/>
  <c r="AF46" i="53"/>
  <c r="A47" i="54" l="1"/>
  <c r="AF48" i="54"/>
  <c r="B41" i="54"/>
  <c r="AD42" i="54"/>
  <c r="AC41" i="54"/>
  <c r="AI41" i="54" s="1"/>
  <c r="AH41" i="54" s="1"/>
  <c r="AK41" i="54"/>
  <c r="AF47" i="53"/>
  <c r="A46" i="53"/>
  <c r="AF49" i="54" l="1"/>
  <c r="A48" i="54"/>
  <c r="B42" i="54"/>
  <c r="AC42" i="54"/>
  <c r="AI42" i="54" s="1"/>
  <c r="AH42" i="54" s="1"/>
  <c r="AD43" i="54"/>
  <c r="AK42" i="54"/>
  <c r="AF48" i="53"/>
  <c r="A47" i="53"/>
  <c r="A49" i="54" l="1"/>
  <c r="AF50" i="54"/>
  <c r="AK43" i="54"/>
  <c r="AD44" i="54"/>
  <c r="AC43" i="54"/>
  <c r="AI43" i="54" s="1"/>
  <c r="AH43" i="54" s="1"/>
  <c r="B43" i="54"/>
  <c r="AF49" i="53"/>
  <c r="A48" i="53"/>
  <c r="AF51" i="54" l="1"/>
  <c r="A51" i="54" s="1"/>
  <c r="A50" i="54"/>
  <c r="AK44" i="54"/>
  <c r="AC44" i="54"/>
  <c r="AI44" i="54" s="1"/>
  <c r="AH44" i="54" s="1"/>
  <c r="B44" i="54"/>
  <c r="AD45" i="54"/>
  <c r="AF50" i="53"/>
  <c r="A49" i="53"/>
  <c r="B45" i="54" l="1"/>
  <c r="AC45" i="54"/>
  <c r="AI45" i="54" s="1"/>
  <c r="AH45" i="54" s="1"/>
  <c r="AK45" i="54"/>
  <c r="AD46" i="54"/>
  <c r="A50" i="53"/>
  <c r="AF51" i="53"/>
  <c r="A51" i="53" s="1"/>
  <c r="AD47" i="54" l="1"/>
  <c r="AC46" i="54"/>
  <c r="AI46" i="54" s="1"/>
  <c r="AH46" i="54" s="1"/>
  <c r="B46" i="54"/>
  <c r="AK46" i="54"/>
  <c r="AC47" i="54" l="1"/>
  <c r="AI47" i="54" s="1"/>
  <c r="AH47" i="54" s="1"/>
  <c r="AD48" i="54"/>
  <c r="B47" i="54"/>
  <c r="AK47" i="54"/>
  <c r="AC48" i="54" l="1"/>
  <c r="AI48" i="54" s="1"/>
  <c r="AH48" i="54" s="1"/>
  <c r="B48" i="54"/>
  <c r="AD49" i="54"/>
  <c r="AK48" i="54"/>
  <c r="AD50" i="54" l="1"/>
  <c r="AC49" i="54"/>
  <c r="AI49" i="54" s="1"/>
  <c r="AH49" i="54" s="1"/>
  <c r="AK49" i="54"/>
  <c r="B49" i="54"/>
  <c r="AC50" i="54" l="1"/>
  <c r="AI50" i="54" s="1"/>
  <c r="AH50" i="54" s="1"/>
  <c r="AD51" i="54"/>
  <c r="B50" i="54"/>
  <c r="AK50" i="54"/>
  <c r="AC51" i="54" l="1"/>
  <c r="AI51" i="54" s="1"/>
  <c r="AH51" i="54" s="1"/>
  <c r="B51" i="54"/>
  <c r="AK51" i="54"/>
</calcChain>
</file>

<file path=xl/sharedStrings.xml><?xml version="1.0" encoding="utf-8"?>
<sst xmlns="http://schemas.openxmlformats.org/spreadsheetml/2006/main" count="1172" uniqueCount="90">
  <si>
    <t>ABCISADO</t>
  </si>
  <si>
    <t>COTA</t>
  </si>
  <si>
    <t>MAXIMETRO</t>
  </si>
  <si>
    <t>OBSERV.</t>
  </si>
  <si>
    <t>PRI</t>
  </si>
  <si>
    <t>PRD</t>
  </si>
  <si>
    <t>DETALLES</t>
  </si>
  <si>
    <t>Desbordamiento</t>
  </si>
  <si>
    <t>MIRA</t>
  </si>
  <si>
    <t>NAOI</t>
  </si>
  <si>
    <t>NAOD</t>
  </si>
  <si>
    <t xml:space="preserve">Cota cero (m) =  </t>
  </si>
  <si>
    <t xml:space="preserve">Lectura mira (m)= </t>
  </si>
  <si>
    <t xml:space="preserve">Cota inundacion  =   </t>
  </si>
  <si>
    <t>Cota BM (m) =</t>
  </si>
  <si>
    <t>CARTERA CALCULADA</t>
  </si>
  <si>
    <t>HOJA DE TRABAJO</t>
  </si>
  <si>
    <t>BM</t>
  </si>
  <si>
    <t>PERFIL TRANSVERSAL DE LA ESTACIÓN ROSARIO, CORRIENTE CARAÑO, CÓDIGO 4403704</t>
  </si>
  <si>
    <t>S /BM</t>
  </si>
  <si>
    <t>P.R.</t>
  </si>
  <si>
    <t>N.A.M.I</t>
  </si>
  <si>
    <t>N.A.M.D.</t>
  </si>
  <si>
    <t>N.A.M.I.</t>
  </si>
  <si>
    <t>S/BM</t>
  </si>
  <si>
    <t>S/2M</t>
  </si>
  <si>
    <t>C1</t>
  </si>
  <si>
    <t>S/2 M</t>
  </si>
  <si>
    <t>S/MAX.</t>
  </si>
  <si>
    <t>C2</t>
  </si>
  <si>
    <t>BM=LM=0.26</t>
  </si>
  <si>
    <t>PERFIL TRANSVERSAL DE LA ESTACIÓN ROSARIO, CORRIENTE CARAÑO, CÓDIGO 44037040</t>
  </si>
  <si>
    <t>BM : LM 0.56</t>
  </si>
  <si>
    <t>IDEAM                        CARTERA DE NIVELACION</t>
  </si>
  <si>
    <t>DATOS DE ALTURA Y DISTANCIA DE LA CARTERA</t>
  </si>
  <si>
    <t xml:space="preserve"> DESCRIPCION DEL TRABAJO:  PERFIL TRANSVERSAL Y VERIFICACION DE COTA CERO</t>
  </si>
  <si>
    <t>OCULTA</t>
  </si>
  <si>
    <t>Distanc (m)</t>
  </si>
  <si>
    <t>Vista Atrás (+)</t>
  </si>
  <si>
    <t>Vista Intemedia     ( - )</t>
  </si>
  <si>
    <t>Vista Adelante      ( - )</t>
  </si>
  <si>
    <t xml:space="preserve">Altura          </t>
  </si>
  <si>
    <t>Cota         (m)</t>
  </si>
  <si>
    <t>Distancia (m)</t>
  </si>
  <si>
    <t>Abscisa (m)</t>
  </si>
  <si>
    <t>Descripcion del Punto</t>
  </si>
  <si>
    <t xml:space="preserve">S/BM </t>
  </si>
  <si>
    <t>C-1</t>
  </si>
  <si>
    <t>C-2</t>
  </si>
  <si>
    <t>Lectura mira =  1.21 MTS</t>
  </si>
  <si>
    <t xml:space="preserve">Cota cero  =  </t>
  </si>
  <si>
    <t>Cota inundacion  =     (LM = 0.00 MTS  )</t>
  </si>
  <si>
    <t>Estación</t>
  </si>
  <si>
    <t>Corriente</t>
  </si>
  <si>
    <t>Código</t>
  </si>
  <si>
    <t>Levantó</t>
  </si>
  <si>
    <t>M.PALACIOS</t>
  </si>
  <si>
    <t>Dibujó</t>
  </si>
  <si>
    <t>J.RAMOS</t>
  </si>
  <si>
    <t>Revisó</t>
  </si>
  <si>
    <t>J.R.M.</t>
  </si>
  <si>
    <t>Fecha</t>
  </si>
  <si>
    <t>ROSARIO</t>
  </si>
  <si>
    <t>CARAÑO</t>
  </si>
  <si>
    <t>PERFIL TRANSVERSAL DE LA ESTACIÓN: ROSARIO, CORRIENTE: CARAÑO, CÓDIGO: 44037040</t>
  </si>
  <si>
    <t>Corriente:CARAÑO - Estación:ROSARIO Cód:44037040 - Levantó: M.PALACIOS - Fecha:30/01/2017</t>
  </si>
  <si>
    <t>A. RAMIREZ.-</t>
  </si>
  <si>
    <t>Corriente:CARAÑO - Estación:ROSARIO Cód:44037040 - Levantó: A. RAMIREZ.- - Fecha:16/03/2017</t>
  </si>
  <si>
    <t>PALACIOS</t>
  </si>
  <si>
    <t>Corriente:CARAÑO - Estación:ROSARIO Cód:44037040 - Levantó: PALACIOS - Fecha:07/09/2017</t>
  </si>
  <si>
    <t>Lectura mira = 0.55 MTS</t>
  </si>
  <si>
    <t>Lectura mira =  0.54 MTS</t>
  </si>
  <si>
    <t>GUEVARA</t>
  </si>
  <si>
    <t>RAMOS</t>
  </si>
  <si>
    <t>Corriente:CARAÑO - Estación:ROSARIO Cód:44037040 - Levantó: GUEVARA - Fecha:2/04/2018</t>
  </si>
  <si>
    <t>D. CORTES</t>
  </si>
  <si>
    <t>Corriente:CARAÑO - Estación:ROSARIO Cód:44037040 - Levantó: D. CORTES - Fecha:8/10/2018</t>
  </si>
  <si>
    <t>Lectura mira = 0.25 MTS</t>
  </si>
  <si>
    <t>Lectura mira = 0.41 MTS</t>
  </si>
  <si>
    <t>Lectura mira = 0.48 MTS</t>
  </si>
  <si>
    <t>Corriente:CARAÑO - Estación:ROSARIO Cód:44037040 - Levantó: D. CORTES - Fecha:21/05/2019</t>
  </si>
  <si>
    <t>Corriente:CARAÑO - Estación:ROSARIO Cód:44037040 - Levantó: GUEVARA - Fecha:09/07/2019</t>
  </si>
  <si>
    <t>Lectura mira = 0.80 MTS</t>
  </si>
  <si>
    <t>E. TAMAYO</t>
  </si>
  <si>
    <t>J.OCAMPO</t>
  </si>
  <si>
    <t>Corriente:CARAÑO - Estación:ROSARIO Cód:44037040 - Levantó: E. TAMAYO - Fecha:3/03/2020</t>
  </si>
  <si>
    <t>Lectura mira = 0.31 MTS</t>
  </si>
  <si>
    <t/>
  </si>
  <si>
    <t>Lectura mira = 0.34 MTS</t>
  </si>
  <si>
    <t>J.CALDERÓN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</si>
</sst>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#,##0.000"/>
  </numFmts>
  <fonts count="3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5"/>
      <name val="Arial"/>
      <family val="2"/>
    </font>
    <font>
      <sz val="9"/>
      <name val="Arial"/>
      <family val="2"/>
    </font>
    <font>
      <b/>
      <sz val="7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61"/>
      <name val="Arial"/>
      <family val="2"/>
    </font>
    <font>
      <sz val="10"/>
      <name val="Arial"/>
      <family val="2"/>
    </font>
    <font>
      <b/>
      <sz val="16"/>
      <color indexed="48"/>
      <name val="Arial"/>
      <family val="2"/>
    </font>
    <font>
      <b/>
      <sz val="10"/>
      <name val="Arial"/>
      <family val="2"/>
    </font>
    <font>
      <b/>
      <sz val="12"/>
      <color indexed="12"/>
      <name val="Arial"/>
      <family val="2"/>
    </font>
    <font>
      <b/>
      <sz val="11"/>
      <name val="Arial"/>
      <family val="2"/>
    </font>
    <font>
      <b/>
      <sz val="10"/>
      <color indexed="56"/>
      <name val="Arial"/>
      <family val="2"/>
    </font>
    <font>
      <sz val="14"/>
      <name val="Arial"/>
      <family val="2"/>
    </font>
    <font>
      <b/>
      <sz val="10"/>
      <color indexed="48"/>
      <name val="Arial"/>
      <family val="2"/>
    </font>
    <font>
      <sz val="8"/>
      <name val="Arial"/>
      <family val="2"/>
    </font>
    <font>
      <b/>
      <sz val="10"/>
      <color indexed="18"/>
      <name val="Arial"/>
      <family val="2"/>
    </font>
    <font>
      <b/>
      <sz val="12"/>
      <color indexed="18"/>
      <name val="Arial"/>
      <family val="2"/>
    </font>
    <font>
      <sz val="8"/>
      <name val="Arial"/>
      <family val="2"/>
    </font>
    <font>
      <b/>
      <sz val="10"/>
      <color indexed="56"/>
      <name val="Arial"/>
      <family val="2"/>
    </font>
    <font>
      <b/>
      <sz val="10"/>
      <color rgb="FF0070C0"/>
      <name val="Arial"/>
      <family val="2"/>
    </font>
    <font>
      <b/>
      <i/>
      <sz val="16"/>
      <color indexed="48"/>
      <name val="Arial"/>
      <family val="2"/>
    </font>
    <font>
      <b/>
      <sz val="20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9"/>
      <name val="Arial"/>
      <family val="2"/>
    </font>
    <font>
      <b/>
      <sz val="9"/>
      <color indexed="10"/>
      <name val="Arial"/>
      <family val="2"/>
    </font>
    <font>
      <b/>
      <sz val="14"/>
      <name val="Arial"/>
      <family val="2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9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2" fontId="3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10" fillId="0" borderId="0" xfId="0" applyFont="1"/>
    <xf numFmtId="0" fontId="9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0" borderId="4" xfId="0" applyFont="1" applyBorder="1" applyAlignment="1">
      <alignment horizontal="center"/>
    </xf>
    <xf numFmtId="164" fontId="5" fillId="0" borderId="5" xfId="0" applyNumberFormat="1" applyFont="1" applyBorder="1" applyAlignment="1">
      <alignment horizontal="center"/>
    </xf>
    <xf numFmtId="164" fontId="4" fillId="0" borderId="6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2" fontId="12" fillId="0" borderId="8" xfId="0" applyNumberFormat="1" applyFont="1" applyBorder="1" applyAlignment="1">
      <alignment horizontal="center"/>
    </xf>
    <xf numFmtId="2" fontId="12" fillId="0" borderId="9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164" fontId="6" fillId="2" borderId="10" xfId="0" applyNumberFormat="1" applyFont="1" applyFill="1" applyBorder="1" applyAlignment="1">
      <alignment horizontal="center"/>
    </xf>
    <xf numFmtId="164" fontId="12" fillId="0" borderId="11" xfId="0" applyNumberFormat="1" applyFont="1" applyBorder="1" applyAlignment="1">
      <alignment horizontal="center"/>
    </xf>
    <xf numFmtId="2" fontId="12" fillId="0" borderId="12" xfId="0" applyNumberFormat="1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2" fontId="14" fillId="0" borderId="0" xfId="0" applyNumberFormat="1" applyFont="1" applyAlignment="1">
      <alignment horizontal="left"/>
    </xf>
    <xf numFmtId="0" fontId="5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64" fontId="12" fillId="0" borderId="17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64" fontId="12" fillId="0" borderId="6" xfId="0" applyNumberFormat="1" applyFont="1" applyBorder="1" applyAlignment="1">
      <alignment horizontal="center"/>
    </xf>
    <xf numFmtId="2" fontId="13" fillId="0" borderId="10" xfId="0" applyNumberFormat="1" applyFont="1" applyBorder="1" applyAlignment="1">
      <alignment horizontal="center"/>
    </xf>
    <xf numFmtId="164" fontId="6" fillId="3" borderId="10" xfId="0" applyNumberFormat="1" applyFont="1" applyFill="1" applyBorder="1" applyAlignment="1">
      <alignment horizontal="center"/>
    </xf>
    <xf numFmtId="164" fontId="0" fillId="0" borderId="10" xfId="0" applyNumberFormat="1" applyBorder="1"/>
    <xf numFmtId="164" fontId="12" fillId="0" borderId="18" xfId="0" applyNumberFormat="1" applyFont="1" applyBorder="1" applyAlignment="1">
      <alignment horizontal="center"/>
    </xf>
    <xf numFmtId="2" fontId="12" fillId="0" borderId="19" xfId="0" applyNumberFormat="1" applyFont="1" applyBorder="1" applyAlignment="1">
      <alignment horizontal="center"/>
    </xf>
    <xf numFmtId="164" fontId="12" fillId="2" borderId="10" xfId="0" applyNumberFormat="1" applyFont="1" applyFill="1" applyBorder="1" applyAlignment="1">
      <alignment horizontal="center"/>
    </xf>
    <xf numFmtId="164" fontId="12" fillId="0" borderId="20" xfId="0" applyNumberFormat="1" applyFont="1" applyBorder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64" fontId="10" fillId="3" borderId="10" xfId="0" applyNumberFormat="1" applyFont="1" applyFill="1" applyBorder="1" applyAlignment="1">
      <alignment horizontal="center"/>
    </xf>
    <xf numFmtId="0" fontId="12" fillId="0" borderId="22" xfId="0" applyFont="1" applyBorder="1" applyAlignment="1">
      <alignment horizontal="center"/>
    </xf>
    <xf numFmtId="2" fontId="10" fillId="0" borderId="23" xfId="0" applyNumberFormat="1" applyFont="1" applyBorder="1" applyAlignment="1">
      <alignment horizontal="center"/>
    </xf>
    <xf numFmtId="164" fontId="10" fillId="0" borderId="24" xfId="0" applyNumberFormat="1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2" fontId="10" fillId="0" borderId="9" xfId="0" applyNumberFormat="1" applyFont="1" applyBorder="1" applyAlignment="1">
      <alignment horizontal="center"/>
    </xf>
    <xf numFmtId="164" fontId="10" fillId="0" borderId="26" xfId="0" applyNumberFormat="1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164" fontId="12" fillId="0" borderId="26" xfId="0" applyNumberFormat="1" applyFont="1" applyBorder="1" applyAlignment="1">
      <alignment horizontal="center"/>
    </xf>
    <xf numFmtId="164" fontId="10" fillId="0" borderId="25" xfId="0" applyNumberFormat="1" applyFont="1" applyBorder="1" applyAlignment="1">
      <alignment horizontal="center"/>
    </xf>
    <xf numFmtId="0" fontId="0" fillId="4" borderId="0" xfId="0" applyFill="1"/>
    <xf numFmtId="0" fontId="16" fillId="4" borderId="0" xfId="0" applyFont="1" applyFill="1"/>
    <xf numFmtId="0" fontId="17" fillId="0" borderId="25" xfId="0" applyFont="1" applyBorder="1" applyAlignment="1">
      <alignment horizontal="center"/>
    </xf>
    <xf numFmtId="2" fontId="12" fillId="0" borderId="23" xfId="0" applyNumberFormat="1" applyFont="1" applyBorder="1" applyAlignment="1">
      <alignment horizontal="center"/>
    </xf>
    <xf numFmtId="164" fontId="12" fillId="0" borderId="24" xfId="0" applyNumberFormat="1" applyFon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2" fontId="20" fillId="0" borderId="10" xfId="0" applyNumberFormat="1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164" fontId="5" fillId="0" borderId="27" xfId="0" applyNumberFormat="1" applyFont="1" applyBorder="1" applyAlignment="1">
      <alignment horizontal="center"/>
    </xf>
    <xf numFmtId="2" fontId="10" fillId="0" borderId="27" xfId="0" applyNumberFormat="1" applyFont="1" applyBorder="1" applyAlignment="1">
      <alignment horizontal="center"/>
    </xf>
    <xf numFmtId="164" fontId="12" fillId="3" borderId="27" xfId="0" applyNumberFormat="1" applyFont="1" applyFill="1" applyBorder="1" applyAlignment="1">
      <alignment horizontal="center"/>
    </xf>
    <xf numFmtId="0" fontId="12" fillId="0" borderId="27" xfId="0" applyFont="1" applyBorder="1" applyAlignment="1">
      <alignment horizontal="center"/>
    </xf>
    <xf numFmtId="2" fontId="12" fillId="0" borderId="27" xfId="0" applyNumberFormat="1" applyFont="1" applyBorder="1" applyAlignment="1">
      <alignment horizontal="center"/>
    </xf>
    <xf numFmtId="164" fontId="12" fillId="0" borderId="27" xfId="0" applyNumberFormat="1" applyFont="1" applyBorder="1" applyAlignment="1">
      <alignment horizontal="center"/>
    </xf>
    <xf numFmtId="164" fontId="10" fillId="0" borderId="27" xfId="0" applyNumberFormat="1" applyFont="1" applyBorder="1" applyAlignment="1">
      <alignment horizontal="center"/>
    </xf>
    <xf numFmtId="0" fontId="17" fillId="0" borderId="27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9" fillId="0" borderId="27" xfId="0" applyFont="1" applyBorder="1" applyAlignment="1">
      <alignment horizontal="center"/>
    </xf>
    <xf numFmtId="0" fontId="0" fillId="0" borderId="27" xfId="0" applyBorder="1"/>
    <xf numFmtId="0" fontId="7" fillId="0" borderId="27" xfId="0" applyFont="1" applyBorder="1" applyAlignment="1">
      <alignment horizontal="center"/>
    </xf>
    <xf numFmtId="2" fontId="4" fillId="0" borderId="27" xfId="0" applyNumberFormat="1" applyFont="1" applyBorder="1" applyAlignment="1">
      <alignment horizontal="center"/>
    </xf>
    <xf numFmtId="164" fontId="4" fillId="0" borderId="27" xfId="0" applyNumberFormat="1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64" fontId="2" fillId="3" borderId="10" xfId="0" applyNumberFormat="1" applyFont="1" applyFill="1" applyBorder="1" applyAlignment="1">
      <alignment horizontal="center"/>
    </xf>
    <xf numFmtId="2" fontId="2" fillId="0" borderId="23" xfId="0" applyNumberFormat="1" applyFont="1" applyBorder="1" applyAlignment="1">
      <alignment horizontal="center"/>
    </xf>
    <xf numFmtId="164" fontId="2" fillId="0" borderId="24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164" fontId="2" fillId="0" borderId="26" xfId="0" applyNumberFormat="1" applyFont="1" applyBorder="1" applyAlignment="1">
      <alignment horizontal="center"/>
    </xf>
    <xf numFmtId="0" fontId="2" fillId="0" borderId="0" xfId="0" applyFont="1"/>
    <xf numFmtId="164" fontId="2" fillId="0" borderId="25" xfId="0" applyNumberFormat="1" applyFont="1" applyBorder="1" applyAlignment="1">
      <alignment horizontal="center"/>
    </xf>
    <xf numFmtId="0" fontId="22" fillId="0" borderId="25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" fillId="0" borderId="0" xfId="1" applyProtection="1">
      <protection locked="0"/>
    </xf>
    <xf numFmtId="0" fontId="12" fillId="0" borderId="0" xfId="1" applyFont="1" applyProtection="1">
      <protection locked="0"/>
    </xf>
    <xf numFmtId="0" fontId="2" fillId="0" borderId="0" xfId="1" applyProtection="1"/>
    <xf numFmtId="0" fontId="12" fillId="0" borderId="38" xfId="1" applyFont="1" applyBorder="1" applyAlignment="1" applyProtection="1">
      <alignment horizontal="center" wrapText="1"/>
      <protection locked="0"/>
    </xf>
    <xf numFmtId="0" fontId="12" fillId="0" borderId="39" xfId="1" applyFont="1" applyBorder="1" applyAlignment="1" applyProtection="1">
      <alignment horizontal="center" wrapText="1"/>
      <protection locked="0"/>
    </xf>
    <xf numFmtId="2" fontId="12" fillId="0" borderId="39" xfId="1" applyNumberFormat="1" applyFont="1" applyFill="1" applyBorder="1" applyAlignment="1" applyProtection="1">
      <alignment horizontal="center" wrapText="1"/>
      <protection locked="0"/>
    </xf>
    <xf numFmtId="0" fontId="12" fillId="0" borderId="40" xfId="1" applyFont="1" applyFill="1" applyBorder="1" applyAlignment="1" applyProtection="1">
      <alignment horizontal="center" wrapText="1"/>
      <protection locked="0"/>
    </xf>
    <xf numFmtId="165" fontId="12" fillId="0" borderId="20" xfId="1" applyNumberFormat="1" applyFont="1" applyFill="1" applyBorder="1" applyAlignment="1" applyProtection="1">
      <alignment horizontal="center" wrapText="1"/>
    </xf>
    <xf numFmtId="165" fontId="12" fillId="0" borderId="0" xfId="1" applyNumberFormat="1" applyFont="1" applyFill="1" applyBorder="1" applyAlignment="1" applyProtection="1">
      <alignment horizontal="center" wrapText="1"/>
    </xf>
    <xf numFmtId="0" fontId="2" fillId="0" borderId="0" xfId="1" applyFont="1" applyProtection="1"/>
    <xf numFmtId="164" fontId="2" fillId="0" borderId="9" xfId="1" applyNumberFormat="1" applyBorder="1" applyProtection="1"/>
    <xf numFmtId="164" fontId="2" fillId="0" borderId="27" xfId="1" applyNumberFormat="1" applyBorder="1" applyProtection="1"/>
    <xf numFmtId="0" fontId="12" fillId="0" borderId="26" xfId="1" applyFont="1" applyBorder="1" applyProtection="1"/>
    <xf numFmtId="0" fontId="6" fillId="0" borderId="8" xfId="1" applyFont="1" applyBorder="1" applyProtection="1">
      <protection locked="0"/>
    </xf>
    <xf numFmtId="4" fontId="26" fillId="0" borderId="32" xfId="1" applyNumberFormat="1" applyFont="1" applyBorder="1" applyProtection="1">
      <protection locked="0"/>
    </xf>
    <xf numFmtId="165" fontId="13" fillId="0" borderId="32" xfId="1" applyNumberFormat="1" applyFont="1" applyBorder="1" applyProtection="1">
      <protection locked="0"/>
    </xf>
    <xf numFmtId="165" fontId="26" fillId="0" borderId="32" xfId="1" applyNumberFormat="1" applyFont="1" applyBorder="1" applyProtection="1">
      <protection locked="0"/>
    </xf>
    <xf numFmtId="165" fontId="27" fillId="0" borderId="32" xfId="1" applyNumberFormat="1" applyFont="1" applyBorder="1" applyProtection="1">
      <protection locked="0"/>
    </xf>
    <xf numFmtId="165" fontId="6" fillId="0" borderId="32" xfId="1" applyNumberFormat="1" applyFont="1" applyBorder="1" applyProtection="1"/>
    <xf numFmtId="165" fontId="6" fillId="0" borderId="32" xfId="1" applyNumberFormat="1" applyFont="1" applyBorder="1" applyProtection="1">
      <protection locked="0"/>
    </xf>
    <xf numFmtId="2" fontId="26" fillId="0" borderId="32" xfId="1" applyNumberFormat="1" applyFont="1" applyBorder="1" applyProtection="1">
      <protection locked="0"/>
    </xf>
    <xf numFmtId="0" fontId="26" fillId="0" borderId="32" xfId="1" applyFont="1" applyBorder="1" applyProtection="1">
      <protection locked="0"/>
    </xf>
    <xf numFmtId="0" fontId="26" fillId="0" borderId="17" xfId="1" applyFont="1" applyBorder="1" applyProtection="1">
      <protection locked="0"/>
    </xf>
    <xf numFmtId="0" fontId="6" fillId="0" borderId="9" xfId="1" applyFont="1" applyBorder="1" applyProtection="1">
      <protection locked="0"/>
    </xf>
    <xf numFmtId="4" fontId="26" fillId="0" borderId="27" xfId="1" applyNumberFormat="1" applyFont="1" applyBorder="1" applyProtection="1">
      <protection locked="0"/>
    </xf>
    <xf numFmtId="165" fontId="13" fillId="0" borderId="27" xfId="1" applyNumberFormat="1" applyFont="1" applyBorder="1" applyProtection="1">
      <protection locked="0"/>
    </xf>
    <xf numFmtId="165" fontId="26" fillId="0" borderId="27" xfId="1" applyNumberFormat="1" applyFont="1" applyBorder="1" applyProtection="1">
      <protection locked="0"/>
    </xf>
    <xf numFmtId="165" fontId="27" fillId="0" borderId="27" xfId="1" applyNumberFormat="1" applyFont="1" applyBorder="1" applyProtection="1">
      <protection locked="0"/>
    </xf>
    <xf numFmtId="165" fontId="6" fillId="0" borderId="27" xfId="1" applyNumberFormat="1" applyFont="1" applyBorder="1" applyProtection="1"/>
    <xf numFmtId="165" fontId="26" fillId="0" borderId="27" xfId="1" applyNumberFormat="1" applyFont="1" applyBorder="1" applyProtection="1"/>
    <xf numFmtId="2" fontId="26" fillId="0" borderId="27" xfId="1" applyNumberFormat="1" applyFont="1" applyBorder="1" applyProtection="1">
      <protection locked="0"/>
    </xf>
    <xf numFmtId="0" fontId="6" fillId="0" borderId="26" xfId="1" applyFont="1" applyBorder="1" applyProtection="1">
      <protection locked="0"/>
    </xf>
    <xf numFmtId="0" fontId="26" fillId="0" borderId="26" xfId="1" applyFont="1" applyBorder="1" applyProtection="1">
      <protection locked="0"/>
    </xf>
    <xf numFmtId="0" fontId="2" fillId="0" borderId="0" xfId="1" applyFont="1" applyProtection="1">
      <protection locked="0"/>
    </xf>
    <xf numFmtId="0" fontId="2" fillId="0" borderId="26" xfId="1" applyBorder="1" applyProtection="1">
      <protection locked="0"/>
    </xf>
    <xf numFmtId="165" fontId="26" fillId="0" borderId="41" xfId="1" applyNumberFormat="1" applyFont="1" applyBorder="1" applyProtection="1">
      <protection locked="0"/>
    </xf>
    <xf numFmtId="165" fontId="27" fillId="0" borderId="41" xfId="1" applyNumberFormat="1" applyFont="1" applyBorder="1" applyProtection="1">
      <protection locked="0"/>
    </xf>
    <xf numFmtId="2" fontId="26" fillId="0" borderId="41" xfId="1" applyNumberFormat="1" applyFont="1" applyBorder="1" applyProtection="1">
      <protection locked="0"/>
    </xf>
    <xf numFmtId="164" fontId="2" fillId="0" borderId="1" xfId="1" applyNumberFormat="1" applyBorder="1" applyProtection="1"/>
    <xf numFmtId="164" fontId="2" fillId="0" borderId="42" xfId="1" applyNumberFormat="1" applyBorder="1" applyProtection="1"/>
    <xf numFmtId="0" fontId="6" fillId="0" borderId="1" xfId="1" applyFont="1" applyBorder="1" applyProtection="1">
      <protection locked="0"/>
    </xf>
    <xf numFmtId="4" fontId="26" fillId="0" borderId="42" xfId="1" applyNumberFormat="1" applyFont="1" applyBorder="1" applyProtection="1">
      <protection locked="0"/>
    </xf>
    <xf numFmtId="165" fontId="13" fillId="0" borderId="42" xfId="1" applyNumberFormat="1" applyFont="1" applyBorder="1" applyProtection="1">
      <protection locked="0"/>
    </xf>
    <xf numFmtId="165" fontId="26" fillId="0" borderId="42" xfId="1" applyNumberFormat="1" applyFont="1" applyBorder="1" applyProtection="1">
      <protection locked="0"/>
    </xf>
    <xf numFmtId="165" fontId="27" fillId="0" borderId="42" xfId="1" applyNumberFormat="1" applyFont="1" applyBorder="1" applyProtection="1">
      <protection locked="0"/>
    </xf>
    <xf numFmtId="165" fontId="6" fillId="0" borderId="42" xfId="1" applyNumberFormat="1" applyFont="1" applyBorder="1" applyProtection="1"/>
    <xf numFmtId="165" fontId="26" fillId="0" borderId="42" xfId="1" applyNumberFormat="1" applyFont="1" applyBorder="1" applyProtection="1"/>
    <xf numFmtId="2" fontId="26" fillId="0" borderId="42" xfId="1" applyNumberFormat="1" applyFont="1" applyBorder="1" applyProtection="1">
      <protection locked="0"/>
    </xf>
    <xf numFmtId="0" fontId="26" fillId="0" borderId="6" xfId="1" applyFont="1" applyBorder="1" applyProtection="1">
      <protection locked="0"/>
    </xf>
    <xf numFmtId="164" fontId="4" fillId="0" borderId="43" xfId="1" applyNumberFormat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2" fontId="28" fillId="0" borderId="23" xfId="1" applyNumberFormat="1" applyFont="1" applyBorder="1" applyAlignment="1" applyProtection="1">
      <alignment horizontal="center"/>
    </xf>
    <xf numFmtId="164" fontId="28" fillId="0" borderId="44" xfId="1" applyNumberFormat="1" applyFont="1" applyBorder="1" applyAlignment="1" applyProtection="1">
      <alignment horizontal="center"/>
    </xf>
    <xf numFmtId="0" fontId="7" fillId="0" borderId="7" xfId="1" applyFont="1" applyBorder="1" applyAlignment="1" applyProtection="1">
      <alignment horizontal="center"/>
      <protection locked="0"/>
    </xf>
    <xf numFmtId="2" fontId="28" fillId="0" borderId="9" xfId="1" applyNumberFormat="1" applyFont="1" applyBorder="1" applyAlignment="1" applyProtection="1">
      <alignment horizontal="center"/>
    </xf>
    <xf numFmtId="0" fontId="7" fillId="0" borderId="45" xfId="1" applyFont="1" applyBorder="1" applyAlignment="1" applyProtection="1">
      <alignment horizontal="center"/>
      <protection locked="0"/>
    </xf>
    <xf numFmtId="2" fontId="28" fillId="0" borderId="27" xfId="0" applyNumberFormat="1" applyFont="1" applyBorder="1" applyAlignment="1">
      <alignment horizontal="center"/>
    </xf>
    <xf numFmtId="164" fontId="29" fillId="0" borderId="27" xfId="0" applyNumberFormat="1" applyFont="1" applyBorder="1" applyAlignment="1">
      <alignment horizontal="center"/>
    </xf>
    <xf numFmtId="0" fontId="8" fillId="0" borderId="45" xfId="1" applyFont="1" applyBorder="1" applyAlignment="1" applyProtection="1">
      <alignment horizontal="center"/>
      <protection locked="0"/>
    </xf>
    <xf numFmtId="164" fontId="28" fillId="0" borderId="27" xfId="0" applyNumberFormat="1" applyFont="1" applyBorder="1" applyAlignment="1">
      <alignment horizontal="center"/>
    </xf>
    <xf numFmtId="0" fontId="9" fillId="0" borderId="45" xfId="1" applyFont="1" applyBorder="1" applyAlignment="1" applyProtection="1">
      <alignment horizontal="center"/>
      <protection locked="0"/>
    </xf>
    <xf numFmtId="0" fontId="9" fillId="0" borderId="2" xfId="1" applyFont="1" applyBorder="1" applyAlignment="1" applyProtection="1">
      <alignment horizontal="center"/>
      <protection locked="0"/>
    </xf>
    <xf numFmtId="2" fontId="7" fillId="0" borderId="8" xfId="1" applyNumberFormat="1" applyFont="1" applyBorder="1" applyAlignment="1" applyProtection="1">
      <alignment horizontal="center"/>
      <protection locked="0"/>
    </xf>
    <xf numFmtId="164" fontId="7" fillId="0" borderId="17" xfId="1" applyNumberFormat="1" applyFont="1" applyBorder="1" applyAlignment="1" applyProtection="1">
      <alignment horizontal="center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2" fillId="0" borderId="0" xfId="1" applyAlignment="1" applyProtection="1">
      <alignment horizontal="center"/>
      <protection locked="0"/>
    </xf>
    <xf numFmtId="2" fontId="7" fillId="0" borderId="1" xfId="1" applyNumberFormat="1" applyFont="1" applyBorder="1" applyAlignment="1" applyProtection="1">
      <alignment horizontal="center"/>
      <protection locked="0"/>
    </xf>
    <xf numFmtId="2" fontId="30" fillId="0" borderId="0" xfId="1" applyNumberFormat="1" applyFont="1" applyAlignment="1" applyProtection="1">
      <alignment horizontal="left"/>
      <protection locked="0"/>
    </xf>
    <xf numFmtId="164" fontId="3" fillId="0" borderId="0" xfId="1" applyNumberFormat="1" applyFont="1" applyAlignment="1" applyProtection="1">
      <alignment horizontal="center"/>
      <protection locked="0"/>
    </xf>
    <xf numFmtId="0" fontId="3" fillId="0" borderId="0" xfId="1" applyFont="1" applyAlignment="1" applyProtection="1">
      <alignment horizontal="center"/>
      <protection locked="0"/>
    </xf>
    <xf numFmtId="164" fontId="6" fillId="0" borderId="0" xfId="1" applyNumberFormat="1" applyFont="1" applyAlignment="1" applyProtection="1">
      <alignment horizontal="left"/>
    </xf>
    <xf numFmtId="2" fontId="6" fillId="0" borderId="0" xfId="1" applyNumberFormat="1" applyFont="1" applyAlignment="1" applyProtection="1">
      <alignment horizontal="left"/>
      <protection locked="0"/>
    </xf>
    <xf numFmtId="2" fontId="3" fillId="0" borderId="0" xfId="1" applyNumberFormat="1" applyFont="1" applyAlignment="1" applyProtection="1">
      <alignment horizontal="center"/>
      <protection locked="0"/>
    </xf>
    <xf numFmtId="2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31" fillId="0" borderId="0" xfId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31" fillId="0" borderId="0" xfId="1" applyFont="1" applyProtection="1"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6" fillId="0" borderId="0" xfId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0" fontId="11" fillId="0" borderId="0" xfId="0" applyFont="1" applyAlignment="1">
      <alignment horizontal="center"/>
    </xf>
    <xf numFmtId="0" fontId="1" fillId="0" borderId="28" xfId="0" applyFont="1" applyFill="1" applyBorder="1" applyAlignment="1">
      <alignment horizontal="center" vertical="center" textRotation="255"/>
    </xf>
    <xf numFmtId="0" fontId="12" fillId="0" borderId="28" xfId="0" applyFont="1" applyFill="1" applyBorder="1" applyAlignment="1">
      <alignment vertical="center" textRotation="255" wrapText="1"/>
    </xf>
    <xf numFmtId="0" fontId="24" fillId="0" borderId="0" xfId="1" applyFont="1" applyAlignment="1" applyProtection="1">
      <alignment horizontal="center"/>
      <protection locked="0"/>
    </xf>
    <xf numFmtId="0" fontId="25" fillId="0" borderId="29" xfId="1" applyFont="1" applyBorder="1" applyAlignment="1" applyProtection="1">
      <alignment horizontal="left"/>
      <protection locked="0"/>
    </xf>
    <xf numFmtId="0" fontId="2" fillId="0" borderId="30" xfId="1" applyBorder="1" applyAlignment="1" applyProtection="1">
      <alignment horizontal="left"/>
      <protection locked="0"/>
    </xf>
    <xf numFmtId="0" fontId="2" fillId="0" borderId="31" xfId="1" applyBorder="1" applyAlignment="1" applyProtection="1">
      <alignment horizontal="left"/>
      <protection locked="0"/>
    </xf>
    <xf numFmtId="0" fontId="5" fillId="0" borderId="8" xfId="1" applyFont="1" applyBorder="1" applyAlignment="1" applyProtection="1">
      <alignment horizontal="center" vertical="center"/>
      <protection locked="0"/>
    </xf>
    <xf numFmtId="0" fontId="5" fillId="0" borderId="9" xfId="1" applyFont="1" applyBorder="1" applyAlignment="1" applyProtection="1">
      <alignment horizontal="center" vertical="center"/>
      <protection locked="0"/>
    </xf>
    <xf numFmtId="164" fontId="5" fillId="0" borderId="32" xfId="1" applyNumberFormat="1" applyFont="1" applyBorder="1" applyAlignment="1" applyProtection="1">
      <alignment horizontal="center" vertical="center"/>
      <protection locked="0"/>
    </xf>
    <xf numFmtId="164" fontId="5" fillId="0" borderId="27" xfId="1" applyNumberFormat="1" applyFont="1" applyBorder="1" applyAlignment="1" applyProtection="1">
      <alignment horizontal="center" vertical="center"/>
      <protection locked="0"/>
    </xf>
    <xf numFmtId="0" fontId="5" fillId="0" borderId="17" xfId="1" applyFont="1" applyBorder="1" applyAlignment="1" applyProtection="1">
      <alignment horizontal="center" vertical="center"/>
      <protection locked="0"/>
    </xf>
    <xf numFmtId="0" fontId="5" fillId="0" borderId="26" xfId="1" applyFont="1" applyBorder="1" applyAlignment="1" applyProtection="1">
      <alignment horizontal="center" vertical="center"/>
      <protection locked="0"/>
    </xf>
    <xf numFmtId="0" fontId="12" fillId="0" borderId="28" xfId="1" applyFont="1" applyFill="1" applyBorder="1" applyAlignment="1" applyProtection="1">
      <alignment horizontal="center" vertical="center" textRotation="255"/>
      <protection locked="0"/>
    </xf>
    <xf numFmtId="0" fontId="12" fillId="0" borderId="33" xfId="1" applyFont="1" applyBorder="1" applyAlignment="1" applyProtection="1">
      <alignment horizontal="center"/>
      <protection locked="0"/>
    </xf>
    <xf numFmtId="0" fontId="2" fillId="0" borderId="0" xfId="1" applyBorder="1" applyAlignment="1" applyProtection="1">
      <alignment horizontal="center"/>
      <protection locked="0"/>
    </xf>
    <xf numFmtId="0" fontId="2" fillId="0" borderId="34" xfId="1" applyBorder="1" applyAlignment="1" applyProtection="1">
      <alignment horizontal="center"/>
      <protection locked="0"/>
    </xf>
    <xf numFmtId="0" fontId="12" fillId="0" borderId="35" xfId="1" applyFont="1" applyBorder="1" applyAlignment="1" applyProtection="1">
      <alignment horizontal="center"/>
      <protection locked="0"/>
    </xf>
    <xf numFmtId="0" fontId="2" fillId="0" borderId="36" xfId="1" applyBorder="1" applyAlignment="1" applyProtection="1">
      <alignment horizontal="center"/>
      <protection locked="0"/>
    </xf>
    <xf numFmtId="0" fontId="2" fillId="0" borderId="37" xfId="1" applyBorder="1" applyAlignment="1" applyProtection="1">
      <alignment horizontal="center"/>
      <protection locked="0"/>
    </xf>
    <xf numFmtId="0" fontId="2" fillId="0" borderId="0" xfId="1" applyAlignment="1" applyProtection="1">
      <alignment horizontal="center"/>
    </xf>
    <xf numFmtId="0" fontId="12" fillId="0" borderId="28" xfId="1" applyFont="1" applyFill="1" applyBorder="1" applyAlignment="1" applyProtection="1">
      <alignment vertical="center" textRotation="255" wrapText="1"/>
      <protection locked="0"/>
    </xf>
    <xf numFmtId="164" fontId="31" fillId="0" borderId="0" xfId="1" applyNumberFormat="1" applyFont="1" applyAlignment="1" applyProtection="1">
      <alignment horizontal="center"/>
      <protection locked="0"/>
    </xf>
    <xf numFmtId="1" fontId="31" fillId="0" borderId="0" xfId="1" applyNumberFormat="1" applyFont="1" applyAlignment="1" applyProtection="1">
      <alignment horizontal="center"/>
      <protection locked="0"/>
    </xf>
    <xf numFmtId="14" fontId="31" fillId="0" borderId="0" xfId="1" applyNumberFormat="1" applyFont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89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2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B. CASTRO
Dibujó:            D.A.S.
Revisó:    
 Fecha:  1995-07-07
 IDEAM - Area Operativa No. 04</a:t>
            </a:r>
          </a:p>
        </c:rich>
      </c:tx>
      <c:layout>
        <c:manualLayout>
          <c:xMode val="edge"/>
          <c:yMode val="edge"/>
          <c:x val="0.57106838936974769"/>
          <c:y val="0.1555997076183118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7939464598773504E-2"/>
          <c:y val="4.5589714827158519E-2"/>
          <c:w val="0.93608112453394587"/>
          <c:h val="0.920714023357179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1995-07-07'!$A$3:$A$42</c:f>
              <c:numCache>
                <c:formatCode>0.00</c:formatCode>
                <c:ptCount val="40"/>
                <c:pt idx="0">
                  <c:v>0</c:v>
                </c:pt>
                <c:pt idx="1">
                  <c:v>5</c:v>
                </c:pt>
                <c:pt idx="2">
                  <c:v>5.2</c:v>
                </c:pt>
                <c:pt idx="3">
                  <c:v>6</c:v>
                </c:pt>
                <c:pt idx="4">
                  <c:v>6.2</c:v>
                </c:pt>
                <c:pt idx="5">
                  <c:v>9</c:v>
                </c:pt>
                <c:pt idx="6">
                  <c:v>10.8</c:v>
                </c:pt>
                <c:pt idx="7">
                  <c:v>11.2</c:v>
                </c:pt>
                <c:pt idx="8">
                  <c:v>13.4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25</c:v>
                </c:pt>
                <c:pt idx="21">
                  <c:v>25.5</c:v>
                </c:pt>
                <c:pt idx="22">
                  <c:v>26.5</c:v>
                </c:pt>
                <c:pt idx="23">
                  <c:v>27</c:v>
                </c:pt>
              </c:numCache>
            </c:numRef>
          </c:xVal>
          <c:yVal>
            <c:numRef>
              <c:f>'Fecha 1995-07-07'!$B$3:$B$42</c:f>
              <c:numCache>
                <c:formatCode>0.000</c:formatCode>
                <c:ptCount val="40"/>
                <c:pt idx="0">
                  <c:v>793.06</c:v>
                </c:pt>
                <c:pt idx="1">
                  <c:v>790.06200000000001</c:v>
                </c:pt>
                <c:pt idx="2">
                  <c:v>789.66200000000003</c:v>
                </c:pt>
                <c:pt idx="3">
                  <c:v>789.50199999999995</c:v>
                </c:pt>
                <c:pt idx="4">
                  <c:v>788.05200000000002</c:v>
                </c:pt>
                <c:pt idx="5">
                  <c:v>787.69200000000001</c:v>
                </c:pt>
                <c:pt idx="6">
                  <c:v>787.44200000000001</c:v>
                </c:pt>
                <c:pt idx="7">
                  <c:v>787.13</c:v>
                </c:pt>
                <c:pt idx="8">
                  <c:v>786.41</c:v>
                </c:pt>
                <c:pt idx="9">
                  <c:v>786.19</c:v>
                </c:pt>
                <c:pt idx="10">
                  <c:v>786</c:v>
                </c:pt>
                <c:pt idx="11">
                  <c:v>786.07</c:v>
                </c:pt>
                <c:pt idx="12">
                  <c:v>786.02</c:v>
                </c:pt>
                <c:pt idx="13">
                  <c:v>785.78</c:v>
                </c:pt>
                <c:pt idx="14">
                  <c:v>785.87</c:v>
                </c:pt>
                <c:pt idx="15">
                  <c:v>785.66</c:v>
                </c:pt>
                <c:pt idx="16">
                  <c:v>785.58</c:v>
                </c:pt>
                <c:pt idx="17">
                  <c:v>785.13</c:v>
                </c:pt>
                <c:pt idx="18">
                  <c:v>784.79</c:v>
                </c:pt>
                <c:pt idx="19">
                  <c:v>784.93</c:v>
                </c:pt>
                <c:pt idx="20">
                  <c:v>787.13</c:v>
                </c:pt>
                <c:pt idx="21">
                  <c:v>789.12199999999996</c:v>
                </c:pt>
                <c:pt idx="22">
                  <c:v>789.30200000000002</c:v>
                </c:pt>
                <c:pt idx="23">
                  <c:v>790.36199999999997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CA-44FA-99AE-BBFEBA3B920E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1995-07-07'!$A$47:$A$48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'Fecha 1995-07-07'!$B$47:$B$48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CA-44FA-99AE-BBFEBA3B920E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1995-07-07'!$A$45:$A$46</c:f>
              <c:numCache>
                <c:formatCode>0.00</c:formatCode>
                <c:ptCount val="2"/>
                <c:pt idx="0">
                  <c:v>22.5</c:v>
                </c:pt>
                <c:pt idx="1">
                  <c:v>22.5</c:v>
                </c:pt>
              </c:numCache>
            </c:numRef>
          </c:xVal>
          <c:yVal>
            <c:numRef>
              <c:f>'Fecha 1995-07-07'!$B$45:$B$46</c:f>
              <c:numCache>
                <c:formatCode>0.000</c:formatCode>
                <c:ptCount val="2"/>
                <c:pt idx="0">
                  <c:v>786.399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CA-44FA-99AE-BBFEBA3B920E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1995-07-07'!$A$43:$A$44</c:f>
              <c:numCache>
                <c:formatCode>0.00</c:formatCode>
                <c:ptCount val="2"/>
                <c:pt idx="0">
                  <c:v>11.2</c:v>
                </c:pt>
                <c:pt idx="1">
                  <c:v>25</c:v>
                </c:pt>
              </c:numCache>
            </c:numRef>
          </c:xVal>
          <c:yVal>
            <c:numRef>
              <c:f>'Fecha 1995-07-07'!$B$43:$B$44</c:f>
              <c:numCache>
                <c:formatCode>0.000</c:formatCode>
                <c:ptCount val="2"/>
                <c:pt idx="0">
                  <c:v>787.13</c:v>
                </c:pt>
                <c:pt idx="1">
                  <c:v>787.13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CA-44FA-99AE-BBFEBA3B920E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1995-07-07'!$A$49:$A$50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1995-07-07'!$B$49:$B$50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ACA-44FA-99AE-BBFEBA3B9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31584"/>
        <c:axId val="334552296"/>
      </c:scatterChart>
      <c:valAx>
        <c:axId val="221731584"/>
        <c:scaling>
          <c:orientation val="minMax"/>
          <c:max val="2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8023566860702543"/>
              <c:y val="0.967294767044109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52296"/>
        <c:crossesAt val="89"/>
        <c:crossBetween val="midCat"/>
        <c:majorUnit val="10"/>
        <c:minorUnit val="2"/>
      </c:valAx>
      <c:valAx>
        <c:axId val="334552296"/>
        <c:scaling>
          <c:orientation val="minMax"/>
          <c:max val="792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67790099082015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173158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B. CASTRO
Dibujó:            D.A.S.
Revisó:    
 Fecha:  1997-03-08
 IDEAM - Area Operativa No. 04</a:t>
            </a:r>
          </a:p>
        </c:rich>
      </c:tx>
      <c:layout>
        <c:manualLayout>
          <c:xMode val="edge"/>
          <c:yMode val="edge"/>
          <c:x val="0.48948714043208852"/>
          <c:y val="0.18464351005484461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5.1303637553073399E-2"/>
          <c:y val="4.0219378427787937E-2"/>
          <c:w val="0.93608112453394587"/>
          <c:h val="0.9259597806215722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1997-03-08'!$A$3:$A$47</c:f>
              <c:numCache>
                <c:formatCode>0.00</c:formatCode>
                <c:ptCount val="4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2.4</c:v>
                </c:pt>
                <c:pt idx="4">
                  <c:v>3.2</c:v>
                </c:pt>
                <c:pt idx="5">
                  <c:v>3.5</c:v>
                </c:pt>
                <c:pt idx="6">
                  <c:v>6.5</c:v>
                </c:pt>
                <c:pt idx="7">
                  <c:v>8.6999999999999993</c:v>
                </c:pt>
                <c:pt idx="8">
                  <c:v>10.7</c:v>
                </c:pt>
                <c:pt idx="9">
                  <c:v>11.7</c:v>
                </c:pt>
                <c:pt idx="10">
                  <c:v>12.7</c:v>
                </c:pt>
                <c:pt idx="11">
                  <c:v>13.7</c:v>
                </c:pt>
                <c:pt idx="12">
                  <c:v>14.7</c:v>
                </c:pt>
                <c:pt idx="13">
                  <c:v>15.7</c:v>
                </c:pt>
                <c:pt idx="14">
                  <c:v>16.7</c:v>
                </c:pt>
                <c:pt idx="15">
                  <c:v>17.7</c:v>
                </c:pt>
                <c:pt idx="16">
                  <c:v>18.7</c:v>
                </c:pt>
                <c:pt idx="17">
                  <c:v>19.7</c:v>
                </c:pt>
                <c:pt idx="18">
                  <c:v>20.7</c:v>
                </c:pt>
                <c:pt idx="19">
                  <c:v>21.7</c:v>
                </c:pt>
                <c:pt idx="20">
                  <c:v>22.7</c:v>
                </c:pt>
                <c:pt idx="21">
                  <c:v>23.7</c:v>
                </c:pt>
                <c:pt idx="22">
                  <c:v>23.7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'Fecha 1997-03-08'!$B$3:$B$47</c:f>
              <c:numCache>
                <c:formatCode>0.000</c:formatCode>
                <c:ptCount val="45"/>
                <c:pt idx="0">
                  <c:v>789.49699999999996</c:v>
                </c:pt>
                <c:pt idx="1">
                  <c:v>789.55700000000002</c:v>
                </c:pt>
                <c:pt idx="2">
                  <c:v>788.72699999999998</c:v>
                </c:pt>
                <c:pt idx="3">
                  <c:v>788.03099999999995</c:v>
                </c:pt>
                <c:pt idx="4">
                  <c:v>788.76099999999997</c:v>
                </c:pt>
                <c:pt idx="5">
                  <c:v>787.82100000000003</c:v>
                </c:pt>
                <c:pt idx="6">
                  <c:v>787.25099999999998</c:v>
                </c:pt>
                <c:pt idx="7">
                  <c:v>786.83500000000004</c:v>
                </c:pt>
                <c:pt idx="8">
                  <c:v>786.73</c:v>
                </c:pt>
                <c:pt idx="9">
                  <c:v>786.64</c:v>
                </c:pt>
                <c:pt idx="10">
                  <c:v>786.55</c:v>
                </c:pt>
                <c:pt idx="11">
                  <c:v>786.41</c:v>
                </c:pt>
                <c:pt idx="12">
                  <c:v>786.34</c:v>
                </c:pt>
                <c:pt idx="13">
                  <c:v>786.15</c:v>
                </c:pt>
                <c:pt idx="14">
                  <c:v>786</c:v>
                </c:pt>
                <c:pt idx="15">
                  <c:v>786.05</c:v>
                </c:pt>
                <c:pt idx="16">
                  <c:v>785.79</c:v>
                </c:pt>
                <c:pt idx="17">
                  <c:v>785.83</c:v>
                </c:pt>
                <c:pt idx="18">
                  <c:v>785.47</c:v>
                </c:pt>
                <c:pt idx="19">
                  <c:v>785.63</c:v>
                </c:pt>
                <c:pt idx="20">
                  <c:v>785.65</c:v>
                </c:pt>
                <c:pt idx="21">
                  <c:v>786.28</c:v>
                </c:pt>
                <c:pt idx="22">
                  <c:v>786.83500000000004</c:v>
                </c:pt>
                <c:pt idx="23">
                  <c:v>788.71100000000001</c:v>
                </c:pt>
                <c:pt idx="24">
                  <c:v>790.71100000000001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10-4EFB-9D55-7A669215A3D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1997-03-08'!$A$52:$A$53</c:f>
              <c:numCache>
                <c:formatCode>0.00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'Fecha 1997-03-08'!$B$52:$B$53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10-4EFB-9D55-7A669215A3D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1997-03-08'!$A$50:$A$51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'Fecha 1997-03-08'!$B$50:$B$51</c:f>
              <c:numCache>
                <c:formatCode>0.000</c:formatCode>
                <c:ptCount val="2"/>
                <c:pt idx="0">
                  <c:v>785.75599999999997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10-4EFB-9D55-7A669215A3D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1997-03-08'!$A$48:$A$49</c:f>
              <c:numCache>
                <c:formatCode>0.00</c:formatCode>
                <c:ptCount val="2"/>
                <c:pt idx="0">
                  <c:v>8.6999999999999993</c:v>
                </c:pt>
                <c:pt idx="1">
                  <c:v>23.7</c:v>
                </c:pt>
              </c:numCache>
            </c:numRef>
          </c:xVal>
          <c:yVal>
            <c:numRef>
              <c:f>'Fecha 1997-03-08'!$B$48:$B$49</c:f>
              <c:numCache>
                <c:formatCode>0.000</c:formatCode>
                <c:ptCount val="2"/>
                <c:pt idx="0">
                  <c:v>786.83500000000004</c:v>
                </c:pt>
                <c:pt idx="1">
                  <c:v>786.83500000000004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C10-4EFB-9D55-7A669215A3D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1997-03-08'!$A$54:$A$55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1997-03-08'!$B$54:$B$55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C10-4EFB-9D55-7A669215A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4553472"/>
        <c:axId val="334552688"/>
      </c:scatterChart>
      <c:valAx>
        <c:axId val="334553472"/>
        <c:scaling>
          <c:orientation val="minMax"/>
          <c:max val="3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835998401797757"/>
              <c:y val="0.969835466179159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52688"/>
        <c:crossesAt val="89"/>
        <c:crossBetween val="midCat"/>
        <c:majorUnit val="10"/>
        <c:minorUnit val="2"/>
      </c:valAx>
      <c:valAx>
        <c:axId val="334552688"/>
        <c:scaling>
          <c:orientation val="minMax"/>
          <c:max val="792"/>
          <c:min val="7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68921389396709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55347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B. CASTRO
Dibujó:            D.A.S.
Revisó:    
 Fecha:  1998-02-03
 IDEAM - Area Operativa No. 04</a:t>
            </a:r>
          </a:p>
        </c:rich>
      </c:tx>
      <c:layout>
        <c:manualLayout>
          <c:xMode val="edge"/>
          <c:yMode val="edge"/>
          <c:x val="0.48948714043208852"/>
          <c:y val="0.18464351005484461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7939464598773504E-2"/>
          <c:y val="4.2961608775137113E-2"/>
          <c:w val="0.93608112453394587"/>
          <c:h val="0.92504570383912244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1998-02-03'!$A$3:$A$47</c:f>
              <c:numCache>
                <c:formatCode>0.00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0.8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3.2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16.7</c:v>
                </c:pt>
                <c:pt idx="17">
                  <c:v>17.399999999999999</c:v>
                </c:pt>
                <c:pt idx="18">
                  <c:v>18.100000000000001</c:v>
                </c:pt>
                <c:pt idx="19">
                  <c:v>18.8</c:v>
                </c:pt>
                <c:pt idx="20">
                  <c:v>19.5</c:v>
                </c:pt>
                <c:pt idx="21">
                  <c:v>20.2</c:v>
                </c:pt>
                <c:pt idx="22">
                  <c:v>20.9</c:v>
                </c:pt>
                <c:pt idx="23">
                  <c:v>21.6</c:v>
                </c:pt>
                <c:pt idx="24">
                  <c:v>22.3</c:v>
                </c:pt>
                <c:pt idx="25">
                  <c:v>22.7</c:v>
                </c:pt>
                <c:pt idx="26">
                  <c:v>22.7</c:v>
                </c:pt>
                <c:pt idx="27">
                  <c:v>23</c:v>
                </c:pt>
              </c:numCache>
            </c:numRef>
          </c:xVal>
          <c:yVal>
            <c:numRef>
              <c:f>'Fecha 1998-02-03'!$B$3:$B$47</c:f>
              <c:numCache>
                <c:formatCode>0.000</c:formatCode>
                <c:ptCount val="45"/>
                <c:pt idx="0">
                  <c:v>790.43</c:v>
                </c:pt>
                <c:pt idx="1">
                  <c:v>789.87</c:v>
                </c:pt>
                <c:pt idx="2">
                  <c:v>789.67</c:v>
                </c:pt>
                <c:pt idx="3">
                  <c:v>788.84</c:v>
                </c:pt>
                <c:pt idx="4">
                  <c:v>788.25400000000002</c:v>
                </c:pt>
                <c:pt idx="5">
                  <c:v>788.46699999999998</c:v>
                </c:pt>
                <c:pt idx="6">
                  <c:v>787.60699999999997</c:v>
                </c:pt>
                <c:pt idx="7">
                  <c:v>786.83</c:v>
                </c:pt>
                <c:pt idx="8">
                  <c:v>786.68</c:v>
                </c:pt>
                <c:pt idx="9">
                  <c:v>786.53</c:v>
                </c:pt>
                <c:pt idx="10">
                  <c:v>786.31</c:v>
                </c:pt>
                <c:pt idx="11">
                  <c:v>786.2</c:v>
                </c:pt>
                <c:pt idx="12">
                  <c:v>786.21</c:v>
                </c:pt>
                <c:pt idx="13">
                  <c:v>786.23</c:v>
                </c:pt>
                <c:pt idx="14">
                  <c:v>786.21</c:v>
                </c:pt>
                <c:pt idx="15">
                  <c:v>786.08</c:v>
                </c:pt>
                <c:pt idx="16">
                  <c:v>786.12</c:v>
                </c:pt>
                <c:pt idx="17">
                  <c:v>785.96</c:v>
                </c:pt>
                <c:pt idx="18">
                  <c:v>785.84</c:v>
                </c:pt>
                <c:pt idx="19">
                  <c:v>785.62</c:v>
                </c:pt>
                <c:pt idx="20">
                  <c:v>785.6</c:v>
                </c:pt>
                <c:pt idx="21">
                  <c:v>785.58</c:v>
                </c:pt>
                <c:pt idx="22">
                  <c:v>785.83</c:v>
                </c:pt>
                <c:pt idx="23">
                  <c:v>785.65</c:v>
                </c:pt>
                <c:pt idx="24">
                  <c:v>786.33</c:v>
                </c:pt>
                <c:pt idx="25">
                  <c:v>786.16</c:v>
                </c:pt>
                <c:pt idx="26">
                  <c:v>786.83</c:v>
                </c:pt>
                <c:pt idx="27">
                  <c:v>788.92700000000002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1BD-4DA5-AB5E-88279896649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1998-02-03'!$A$52:$A$53</c:f>
              <c:numCache>
                <c:formatCode>0.00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'Fecha 1998-02-03'!$B$52:$B$53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1BD-4DA5-AB5E-88279896649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1998-02-03'!$A$50:$A$51</c:f>
              <c:numCache>
                <c:formatCode>0.00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xVal>
          <c:yVal>
            <c:numRef>
              <c:f>'Fecha 1998-02-03'!$B$50:$B$51</c:f>
              <c:numCache>
                <c:formatCode>0.000</c:formatCode>
                <c:ptCount val="2"/>
                <c:pt idx="0">
                  <c:v>786.399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BD-4DA5-AB5E-88279896649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1998-02-03'!$A$48:$A$49</c:f>
              <c:numCache>
                <c:formatCode>0.00</c:formatCode>
                <c:ptCount val="2"/>
                <c:pt idx="0">
                  <c:v>8</c:v>
                </c:pt>
                <c:pt idx="1">
                  <c:v>22.7</c:v>
                </c:pt>
              </c:numCache>
            </c:numRef>
          </c:xVal>
          <c:yVal>
            <c:numRef>
              <c:f>'Fecha 1998-02-03'!$B$48:$B$49</c:f>
              <c:numCache>
                <c:formatCode>0.000</c:formatCode>
                <c:ptCount val="2"/>
                <c:pt idx="0">
                  <c:v>786.83</c:v>
                </c:pt>
                <c:pt idx="1">
                  <c:v>786.83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1BD-4DA5-AB5E-88279896649D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1998-02-03'!$A$54:$A$55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1998-02-03'!$B$54:$B$55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1BD-4DA5-AB5E-882798966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203920"/>
        <c:axId val="322204312"/>
      </c:scatterChart>
      <c:valAx>
        <c:axId val="322203920"/>
        <c:scaling>
          <c:orientation val="minMax"/>
          <c:max val="3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8023566860702543"/>
              <c:y val="0.969835466179159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204312"/>
        <c:crossesAt val="89"/>
        <c:crossBetween val="midCat"/>
        <c:majorUnit val="10"/>
        <c:minorUnit val="2"/>
      </c:valAx>
      <c:valAx>
        <c:axId val="322204312"/>
        <c:scaling>
          <c:orientation val="minMax"/>
          <c:max val="792"/>
          <c:min val="7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7166361974405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20392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B. CASTRO
Dibujó:            D.A.S.
Revisó:    
 Fecha:  1998-10-05
 IDEAM - Area Operativa No. 04</a:t>
            </a:r>
          </a:p>
        </c:rich>
      </c:tx>
      <c:layout>
        <c:manualLayout>
          <c:xMode val="edge"/>
          <c:yMode val="edge"/>
          <c:x val="0.6164847056018754"/>
          <c:y val="0.29038662535864879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7939464598773504E-2"/>
          <c:y val="4.5589714827158519E-2"/>
          <c:w val="0.93608112453394587"/>
          <c:h val="0.920714023357179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1998-10-05'!$A$3:$A$42</c:f>
              <c:numCache>
                <c:formatCode>0.00</c:formatCode>
                <c:ptCount val="40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7.5</c:v>
                </c:pt>
                <c:pt idx="6">
                  <c:v>7.5</c:v>
                </c:pt>
                <c:pt idx="7">
                  <c:v>12.5</c:v>
                </c:pt>
                <c:pt idx="8">
                  <c:v>13.5</c:v>
                </c:pt>
                <c:pt idx="9">
                  <c:v>14.5</c:v>
                </c:pt>
                <c:pt idx="10">
                  <c:v>15.5</c:v>
                </c:pt>
                <c:pt idx="11">
                  <c:v>16.5</c:v>
                </c:pt>
                <c:pt idx="12">
                  <c:v>17.5</c:v>
                </c:pt>
                <c:pt idx="13">
                  <c:v>18.5</c:v>
                </c:pt>
                <c:pt idx="14">
                  <c:v>19.5</c:v>
                </c:pt>
                <c:pt idx="15">
                  <c:v>20.5</c:v>
                </c:pt>
                <c:pt idx="16">
                  <c:v>21.5</c:v>
                </c:pt>
                <c:pt idx="17">
                  <c:v>22.5</c:v>
                </c:pt>
                <c:pt idx="18">
                  <c:v>23.5</c:v>
                </c:pt>
                <c:pt idx="19">
                  <c:v>24.5</c:v>
                </c:pt>
                <c:pt idx="20">
                  <c:v>25.5</c:v>
                </c:pt>
                <c:pt idx="21">
                  <c:v>26.5</c:v>
                </c:pt>
                <c:pt idx="22">
                  <c:v>27.5</c:v>
                </c:pt>
                <c:pt idx="23">
                  <c:v>27.7</c:v>
                </c:pt>
                <c:pt idx="24">
                  <c:v>27.7</c:v>
                </c:pt>
                <c:pt idx="25">
                  <c:v>28</c:v>
                </c:pt>
                <c:pt idx="26">
                  <c:v>29</c:v>
                </c:pt>
              </c:numCache>
            </c:numRef>
          </c:xVal>
          <c:yVal>
            <c:numRef>
              <c:f>'Fecha 1998-10-05'!$B$3:$B$42</c:f>
              <c:numCache>
                <c:formatCode>0.000</c:formatCode>
                <c:ptCount val="40"/>
                <c:pt idx="0">
                  <c:v>790.82</c:v>
                </c:pt>
                <c:pt idx="1">
                  <c:v>790.82</c:v>
                </c:pt>
                <c:pt idx="2">
                  <c:v>789.68</c:v>
                </c:pt>
                <c:pt idx="3">
                  <c:v>789.44</c:v>
                </c:pt>
                <c:pt idx="4">
                  <c:v>788.73</c:v>
                </c:pt>
                <c:pt idx="5">
                  <c:v>788.59</c:v>
                </c:pt>
                <c:pt idx="6">
                  <c:v>788.18</c:v>
                </c:pt>
                <c:pt idx="7">
                  <c:v>786.94</c:v>
                </c:pt>
                <c:pt idx="8">
                  <c:v>786.82</c:v>
                </c:pt>
                <c:pt idx="9">
                  <c:v>786.63</c:v>
                </c:pt>
                <c:pt idx="10">
                  <c:v>786.5</c:v>
                </c:pt>
                <c:pt idx="11">
                  <c:v>786.34</c:v>
                </c:pt>
                <c:pt idx="12">
                  <c:v>786.13</c:v>
                </c:pt>
                <c:pt idx="13">
                  <c:v>786.06</c:v>
                </c:pt>
                <c:pt idx="14">
                  <c:v>786.11</c:v>
                </c:pt>
                <c:pt idx="15">
                  <c:v>786.12</c:v>
                </c:pt>
                <c:pt idx="16">
                  <c:v>786.04</c:v>
                </c:pt>
                <c:pt idx="17">
                  <c:v>786.03</c:v>
                </c:pt>
                <c:pt idx="18">
                  <c:v>785.94</c:v>
                </c:pt>
                <c:pt idx="19">
                  <c:v>785.83</c:v>
                </c:pt>
                <c:pt idx="20">
                  <c:v>785.73</c:v>
                </c:pt>
                <c:pt idx="21">
                  <c:v>785.69</c:v>
                </c:pt>
                <c:pt idx="22">
                  <c:v>785.96</c:v>
                </c:pt>
                <c:pt idx="23">
                  <c:v>785.99</c:v>
                </c:pt>
                <c:pt idx="24">
                  <c:v>786.94</c:v>
                </c:pt>
                <c:pt idx="25">
                  <c:v>789.05</c:v>
                </c:pt>
                <c:pt idx="26">
                  <c:v>790.05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F4E-4747-8F5E-F239328CBAA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1998-10-05'!$A$47:$A$48</c:f>
              <c:numCache>
                <c:formatCode>0.00</c:formatCode>
                <c:ptCount val="2"/>
                <c:pt idx="0">
                  <c:v>27.5</c:v>
                </c:pt>
                <c:pt idx="1">
                  <c:v>27.5</c:v>
                </c:pt>
              </c:numCache>
            </c:numRef>
          </c:xVal>
          <c:yVal>
            <c:numRef>
              <c:f>'Fecha 1998-10-05'!$B$47:$B$48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F4E-4747-8F5E-F239328CBAA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1998-10-05'!$A$45:$A$46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1998-10-05'!$B$45:$B$46</c:f>
              <c:numCache>
                <c:formatCode>0.000</c:formatCode>
                <c:ptCount val="2"/>
                <c:pt idx="0">
                  <c:v>786.399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F4E-4747-8F5E-F239328CBAA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1998-10-05'!$A$43:$A$44</c:f>
              <c:numCache>
                <c:formatCode>0.00</c:formatCode>
                <c:ptCount val="2"/>
                <c:pt idx="0">
                  <c:v>12.5</c:v>
                </c:pt>
                <c:pt idx="1">
                  <c:v>27.7</c:v>
                </c:pt>
              </c:numCache>
            </c:numRef>
          </c:xVal>
          <c:yVal>
            <c:numRef>
              <c:f>'Fecha 1998-10-05'!$B$43:$B$44</c:f>
              <c:numCache>
                <c:formatCode>0.000</c:formatCode>
                <c:ptCount val="2"/>
                <c:pt idx="0">
                  <c:v>786.94</c:v>
                </c:pt>
                <c:pt idx="1">
                  <c:v>786.94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F4E-4747-8F5E-F239328CBAA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1998-10-05'!$A$49:$A$50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1998-10-05'!$B$49:$B$50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F4E-4747-8F5E-F239328C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78384"/>
        <c:axId val="322576816"/>
      </c:scatterChart>
      <c:valAx>
        <c:axId val="322578384"/>
        <c:scaling>
          <c:orientation val="minMax"/>
          <c:max val="3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8023566860702543"/>
              <c:y val="0.967294767044109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6816"/>
        <c:crossesAt val="89"/>
        <c:crossBetween val="midCat"/>
        <c:majorUnit val="10"/>
        <c:minorUnit val="2"/>
      </c:valAx>
      <c:valAx>
        <c:axId val="322576816"/>
        <c:scaling>
          <c:orientation val="minMax"/>
          <c:max val="792"/>
          <c:min val="7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67790099082015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838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YAMIL G.
Dibujó:            D.A.S.
Revisó:    
 Fecha:  1999-10-28
 IDEAM - Area Operativa No. 04</a:t>
            </a:r>
          </a:p>
        </c:rich>
      </c:tx>
      <c:layout>
        <c:manualLayout>
          <c:xMode val="edge"/>
          <c:yMode val="edge"/>
          <c:x val="0.41127015136564615"/>
          <c:y val="0.1288405401257449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7939464598773504E-2"/>
          <c:y val="4.5589714827158519E-2"/>
          <c:w val="0.93608112453394587"/>
          <c:h val="0.920714023357179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1999-10-28'!$A$3:$A$42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1.2</c:v>
                </c:pt>
                <c:pt idx="3">
                  <c:v>1.6</c:v>
                </c:pt>
                <c:pt idx="4">
                  <c:v>1.6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23.4</c:v>
                </c:pt>
                <c:pt idx="23">
                  <c:v>23.4</c:v>
                </c:pt>
                <c:pt idx="24">
                  <c:v>23.4</c:v>
                </c:pt>
                <c:pt idx="25">
                  <c:v>24.3</c:v>
                </c:pt>
                <c:pt idx="26">
                  <c:v>24.3</c:v>
                </c:pt>
                <c:pt idx="27">
                  <c:v>25</c:v>
                </c:pt>
                <c:pt idx="28">
                  <c:v>25.6</c:v>
                </c:pt>
              </c:numCache>
            </c:numRef>
          </c:xVal>
          <c:yVal>
            <c:numRef>
              <c:f>'Fecha 1999-10-28'!$B$3:$B$42</c:f>
              <c:numCache>
                <c:formatCode>0.000</c:formatCode>
                <c:ptCount val="40"/>
                <c:pt idx="0">
                  <c:v>790.26800000000003</c:v>
                </c:pt>
                <c:pt idx="1">
                  <c:v>789.07799999999997</c:v>
                </c:pt>
                <c:pt idx="2">
                  <c:v>789.10799999999995</c:v>
                </c:pt>
                <c:pt idx="3">
                  <c:v>788.41800000000001</c:v>
                </c:pt>
                <c:pt idx="4">
                  <c:v>787.96799999999996</c:v>
                </c:pt>
                <c:pt idx="5">
                  <c:v>786.98</c:v>
                </c:pt>
                <c:pt idx="6">
                  <c:v>786.79</c:v>
                </c:pt>
                <c:pt idx="7">
                  <c:v>786.67</c:v>
                </c:pt>
                <c:pt idx="8">
                  <c:v>786.86</c:v>
                </c:pt>
                <c:pt idx="9">
                  <c:v>786.46</c:v>
                </c:pt>
                <c:pt idx="10">
                  <c:v>786.38</c:v>
                </c:pt>
                <c:pt idx="11">
                  <c:v>786.32</c:v>
                </c:pt>
                <c:pt idx="12">
                  <c:v>786.17</c:v>
                </c:pt>
                <c:pt idx="13">
                  <c:v>786.2</c:v>
                </c:pt>
                <c:pt idx="14">
                  <c:v>786.26</c:v>
                </c:pt>
                <c:pt idx="15">
                  <c:v>786.14</c:v>
                </c:pt>
                <c:pt idx="16">
                  <c:v>786.04</c:v>
                </c:pt>
                <c:pt idx="17">
                  <c:v>785.87</c:v>
                </c:pt>
                <c:pt idx="18">
                  <c:v>785.77</c:v>
                </c:pt>
                <c:pt idx="19">
                  <c:v>785.68</c:v>
                </c:pt>
                <c:pt idx="20">
                  <c:v>785.77</c:v>
                </c:pt>
                <c:pt idx="21">
                  <c:v>786.38</c:v>
                </c:pt>
                <c:pt idx="22">
                  <c:v>786.58</c:v>
                </c:pt>
                <c:pt idx="23">
                  <c:v>786.98</c:v>
                </c:pt>
                <c:pt idx="24">
                  <c:v>787.62800000000004</c:v>
                </c:pt>
                <c:pt idx="25">
                  <c:v>787.77800000000002</c:v>
                </c:pt>
                <c:pt idx="26">
                  <c:v>788.56799999999998</c:v>
                </c:pt>
                <c:pt idx="27">
                  <c:v>788.63800000000003</c:v>
                </c:pt>
                <c:pt idx="28">
                  <c:v>789.43799999999999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753-4DC0-9F51-A3F9CE82C4D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1999-10-28'!$A$47:$A$48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'Fecha 1999-10-28'!$B$47:$B$48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753-4DC0-9F51-A3F9CE82C4D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1999-10-28'!$A$45:$A$46</c:f>
              <c:numCache>
                <c:formatCode>0.00</c:formatCode>
                <c:ptCount val="2"/>
                <c:pt idx="0">
                  <c:v>22.5</c:v>
                </c:pt>
                <c:pt idx="1">
                  <c:v>22.5</c:v>
                </c:pt>
              </c:numCache>
            </c:numRef>
          </c:xVal>
          <c:yVal>
            <c:numRef>
              <c:f>'Fecha 1999-10-28'!$B$45:$B$46</c:f>
              <c:numCache>
                <c:formatCode>0.000</c:formatCode>
                <c:ptCount val="2"/>
                <c:pt idx="0">
                  <c:v>786.399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753-4DC0-9F51-A3F9CE82C4D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1999-10-28'!$A$43:$A$44</c:f>
              <c:numCache>
                <c:formatCode>0.00</c:formatCode>
                <c:ptCount val="2"/>
                <c:pt idx="0">
                  <c:v>6</c:v>
                </c:pt>
                <c:pt idx="1">
                  <c:v>23.4</c:v>
                </c:pt>
              </c:numCache>
            </c:numRef>
          </c:xVal>
          <c:yVal>
            <c:numRef>
              <c:f>'Fecha 1999-10-28'!$B$43:$B$44</c:f>
              <c:numCache>
                <c:formatCode>0.000</c:formatCode>
                <c:ptCount val="2"/>
                <c:pt idx="0">
                  <c:v>786.98</c:v>
                </c:pt>
                <c:pt idx="1">
                  <c:v>786.98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753-4DC0-9F51-A3F9CE82C4D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1999-10-28'!$A$49:$A$50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1999-10-28'!$B$49:$B$50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753-4DC0-9F51-A3F9CE82C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77208"/>
        <c:axId val="322576424"/>
      </c:scatterChart>
      <c:valAx>
        <c:axId val="322577208"/>
        <c:scaling>
          <c:orientation val="minMax"/>
          <c:max val="3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8023566860702543"/>
              <c:y val="0.967294767044109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6424"/>
        <c:crossesAt val="89"/>
        <c:crossBetween val="midCat"/>
        <c:majorUnit val="10"/>
        <c:minorUnit val="2"/>
      </c:valAx>
      <c:valAx>
        <c:axId val="322576424"/>
        <c:scaling>
          <c:orientation val="minMax"/>
          <c:max val="792"/>
          <c:min val="7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67790099082015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720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
Dibujó:            D.A.S.
Revisó:    
 Fecha:  2000-12-18
 IDEAM - Area Operativa No. 04</a:t>
            </a:r>
          </a:p>
        </c:rich>
      </c:tx>
      <c:layout>
        <c:manualLayout>
          <c:xMode val="edge"/>
          <c:yMode val="edge"/>
          <c:x val="0.47603045414108769"/>
          <c:y val="0.29930634785617111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7939464598773504E-2"/>
          <c:y val="4.5589714827158519E-2"/>
          <c:w val="0.93608112453394587"/>
          <c:h val="0.9207140233571795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2000-12-18'!$A$3:$A$42</c:f>
              <c:numCache>
                <c:formatCode>0.00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1.1000000000000001</c:v>
                </c:pt>
                <c:pt idx="3">
                  <c:v>2</c:v>
                </c:pt>
                <c:pt idx="4">
                  <c:v>2.2999999999999998</c:v>
                </c:pt>
                <c:pt idx="5">
                  <c:v>6.1</c:v>
                </c:pt>
                <c:pt idx="6">
                  <c:v>8.6</c:v>
                </c:pt>
                <c:pt idx="7">
                  <c:v>9.4</c:v>
                </c:pt>
                <c:pt idx="8">
                  <c:v>10.199999999999999</c:v>
                </c:pt>
                <c:pt idx="9">
                  <c:v>11</c:v>
                </c:pt>
                <c:pt idx="10">
                  <c:v>11.8</c:v>
                </c:pt>
                <c:pt idx="11">
                  <c:v>12.6</c:v>
                </c:pt>
                <c:pt idx="12">
                  <c:v>13.4</c:v>
                </c:pt>
                <c:pt idx="13">
                  <c:v>14.2</c:v>
                </c:pt>
                <c:pt idx="14">
                  <c:v>15</c:v>
                </c:pt>
                <c:pt idx="15">
                  <c:v>15.8</c:v>
                </c:pt>
                <c:pt idx="16">
                  <c:v>16.600000000000001</c:v>
                </c:pt>
                <c:pt idx="17">
                  <c:v>17.399999999999999</c:v>
                </c:pt>
                <c:pt idx="18">
                  <c:v>18.2</c:v>
                </c:pt>
                <c:pt idx="19">
                  <c:v>19</c:v>
                </c:pt>
                <c:pt idx="20">
                  <c:v>19.8</c:v>
                </c:pt>
                <c:pt idx="21">
                  <c:v>20.6</c:v>
                </c:pt>
                <c:pt idx="22">
                  <c:v>21.4</c:v>
                </c:pt>
                <c:pt idx="23">
                  <c:v>22.2</c:v>
                </c:pt>
                <c:pt idx="24">
                  <c:v>22.9</c:v>
                </c:pt>
                <c:pt idx="25">
                  <c:v>22.9</c:v>
                </c:pt>
                <c:pt idx="26">
                  <c:v>23</c:v>
                </c:pt>
              </c:numCache>
            </c:numRef>
          </c:xVal>
          <c:yVal>
            <c:numRef>
              <c:f>'Fecha 2000-12-18'!$B$3:$B$42</c:f>
              <c:numCache>
                <c:formatCode>0.000</c:formatCode>
                <c:ptCount val="40"/>
                <c:pt idx="0">
                  <c:v>789.25800000000004</c:v>
                </c:pt>
                <c:pt idx="1">
                  <c:v>788.64499999999998</c:v>
                </c:pt>
                <c:pt idx="2">
                  <c:v>788.27599999999995</c:v>
                </c:pt>
                <c:pt idx="3">
                  <c:v>788.98599999999999</c:v>
                </c:pt>
                <c:pt idx="4">
                  <c:v>787.73599999999999</c:v>
                </c:pt>
                <c:pt idx="5">
                  <c:v>786.88</c:v>
                </c:pt>
                <c:pt idx="6">
                  <c:v>786.67</c:v>
                </c:pt>
                <c:pt idx="7">
                  <c:v>786.56</c:v>
                </c:pt>
                <c:pt idx="8">
                  <c:v>786.58</c:v>
                </c:pt>
                <c:pt idx="9">
                  <c:v>786.54</c:v>
                </c:pt>
                <c:pt idx="10">
                  <c:v>786.46</c:v>
                </c:pt>
                <c:pt idx="11">
                  <c:v>786.48</c:v>
                </c:pt>
                <c:pt idx="12">
                  <c:v>786.68</c:v>
                </c:pt>
                <c:pt idx="13">
                  <c:v>786.4</c:v>
                </c:pt>
                <c:pt idx="14">
                  <c:v>786.26</c:v>
                </c:pt>
                <c:pt idx="15">
                  <c:v>786.18</c:v>
                </c:pt>
                <c:pt idx="16">
                  <c:v>786.13</c:v>
                </c:pt>
                <c:pt idx="17">
                  <c:v>785.98</c:v>
                </c:pt>
                <c:pt idx="18">
                  <c:v>785.8</c:v>
                </c:pt>
                <c:pt idx="19">
                  <c:v>785.7</c:v>
                </c:pt>
                <c:pt idx="20">
                  <c:v>785.98</c:v>
                </c:pt>
                <c:pt idx="21">
                  <c:v>785.74</c:v>
                </c:pt>
                <c:pt idx="22">
                  <c:v>785.79</c:v>
                </c:pt>
                <c:pt idx="23">
                  <c:v>785.79</c:v>
                </c:pt>
                <c:pt idx="24">
                  <c:v>786.26</c:v>
                </c:pt>
                <c:pt idx="25">
                  <c:v>786.88</c:v>
                </c:pt>
                <c:pt idx="26">
                  <c:v>788.66499999999996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60-4ECD-AF0B-AC66D877A6BE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2000-12-18'!$A$47:$A$48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'Fecha 2000-12-18'!$B$47:$B$48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60-4ECD-AF0B-AC66D877A6BE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2000-12-18'!$A$45:$A$46</c:f>
              <c:numCache>
                <c:formatCode>0.00</c:formatCode>
                <c:ptCount val="2"/>
                <c:pt idx="0">
                  <c:v>22.5</c:v>
                </c:pt>
                <c:pt idx="1">
                  <c:v>22.5</c:v>
                </c:pt>
              </c:numCache>
            </c:numRef>
          </c:xVal>
          <c:yVal>
            <c:numRef>
              <c:f>'Fecha 2000-12-18'!$B$45:$B$46</c:f>
              <c:numCache>
                <c:formatCode>0.000</c:formatCode>
                <c:ptCount val="2"/>
                <c:pt idx="0">
                  <c:v>786.399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60-4ECD-AF0B-AC66D877A6BE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2000-12-18'!$A$43:$A$44</c:f>
              <c:numCache>
                <c:formatCode>0.00</c:formatCode>
                <c:ptCount val="2"/>
                <c:pt idx="0">
                  <c:v>6.1</c:v>
                </c:pt>
                <c:pt idx="1">
                  <c:v>22.9</c:v>
                </c:pt>
              </c:numCache>
            </c:numRef>
          </c:xVal>
          <c:yVal>
            <c:numRef>
              <c:f>'Fecha 2000-12-18'!$B$43:$B$44</c:f>
              <c:numCache>
                <c:formatCode>0.000</c:formatCode>
                <c:ptCount val="2"/>
                <c:pt idx="0">
                  <c:v>786.88</c:v>
                </c:pt>
                <c:pt idx="1">
                  <c:v>786.88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60-4ECD-AF0B-AC66D877A6BE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2000-12-18'!$A$49:$A$50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2000-12-18'!$B$49:$B$50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060-4ECD-AF0B-AC66D877A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79952"/>
        <c:axId val="322578776"/>
      </c:scatterChart>
      <c:valAx>
        <c:axId val="32257995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8023566860702543"/>
              <c:y val="0.967294767044109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8776"/>
        <c:crossesAt val="89"/>
        <c:crossBetween val="midCat"/>
        <c:majorUnit val="10"/>
        <c:minorUnit val="2"/>
      </c:valAx>
      <c:valAx>
        <c:axId val="322578776"/>
        <c:scaling>
          <c:orientation val="minMax"/>
          <c:max val="792"/>
          <c:min val="78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67790099082015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995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VERGARA
Dibujó:            PALACIOS
Revisó:    
 Fecha:  2003-09-11
 IDEAM - Area Operativa No. 04</a:t>
            </a:r>
          </a:p>
        </c:rich>
      </c:tx>
      <c:layout>
        <c:manualLayout>
          <c:xMode val="edge"/>
          <c:yMode val="edge"/>
          <c:x val="0.6333055634656265"/>
          <c:y val="2.102376599634369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439903805679592"/>
          <c:h val="0.9268738574040219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2003-09-11'!$A$3:$A$47</c:f>
              <c:numCache>
                <c:formatCode>0.00</c:formatCode>
                <c:ptCount val="45"/>
                <c:pt idx="0">
                  <c:v>0</c:v>
                </c:pt>
                <c:pt idx="1">
                  <c:v>3.9</c:v>
                </c:pt>
                <c:pt idx="2">
                  <c:v>4.9000000000000004</c:v>
                </c:pt>
                <c:pt idx="3">
                  <c:v>5.9</c:v>
                </c:pt>
                <c:pt idx="4">
                  <c:v>9.4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  <c:pt idx="18">
                  <c:v>24</c:v>
                </c:pt>
                <c:pt idx="19">
                  <c:v>25</c:v>
                </c:pt>
                <c:pt idx="20">
                  <c:v>25</c:v>
                </c:pt>
                <c:pt idx="21">
                  <c:v>25.5</c:v>
                </c:pt>
                <c:pt idx="22">
                  <c:v>26.5</c:v>
                </c:pt>
              </c:numCache>
            </c:numRef>
          </c:xVal>
          <c:yVal>
            <c:numRef>
              <c:f>'Fecha 2003-09-11'!$B$3:$B$47</c:f>
              <c:numCache>
                <c:formatCode>0.000</c:formatCode>
                <c:ptCount val="45"/>
                <c:pt idx="0">
                  <c:v>791.2</c:v>
                </c:pt>
                <c:pt idx="1">
                  <c:v>790.54</c:v>
                </c:pt>
                <c:pt idx="2">
                  <c:v>789.54</c:v>
                </c:pt>
                <c:pt idx="3">
                  <c:v>788.15</c:v>
                </c:pt>
                <c:pt idx="4">
                  <c:v>787.73</c:v>
                </c:pt>
                <c:pt idx="5">
                  <c:v>787.13</c:v>
                </c:pt>
                <c:pt idx="6">
                  <c:v>786.62</c:v>
                </c:pt>
                <c:pt idx="7">
                  <c:v>786.53</c:v>
                </c:pt>
                <c:pt idx="8">
                  <c:v>786.38</c:v>
                </c:pt>
                <c:pt idx="9">
                  <c:v>786.38</c:v>
                </c:pt>
                <c:pt idx="10">
                  <c:v>786.39</c:v>
                </c:pt>
                <c:pt idx="11">
                  <c:v>786.27</c:v>
                </c:pt>
                <c:pt idx="12">
                  <c:v>786.06</c:v>
                </c:pt>
                <c:pt idx="13">
                  <c:v>785.98</c:v>
                </c:pt>
                <c:pt idx="14">
                  <c:v>785.79</c:v>
                </c:pt>
                <c:pt idx="15">
                  <c:v>785.62</c:v>
                </c:pt>
                <c:pt idx="16">
                  <c:v>785.38</c:v>
                </c:pt>
                <c:pt idx="17">
                  <c:v>785.2</c:v>
                </c:pt>
                <c:pt idx="18">
                  <c:v>785.09</c:v>
                </c:pt>
                <c:pt idx="19">
                  <c:v>785.63</c:v>
                </c:pt>
                <c:pt idx="20">
                  <c:v>787.13</c:v>
                </c:pt>
                <c:pt idx="21">
                  <c:v>787.84</c:v>
                </c:pt>
                <c:pt idx="22">
                  <c:v>790.19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9C-44F3-A44A-8300E24F49F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2003-09-11'!$A$52:$A$53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2003-09-11'!$B$52:$B$53</c:f>
              <c:numCache>
                <c:formatCode>0.000</c:formatCode>
                <c:ptCount val="2"/>
                <c:pt idx="0">
                  <c:v>788.85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9C-44F3-A44A-8300E24F49F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2003-09-11'!$A$50:$A$51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'Fecha 2003-09-11'!$B$50:$B$51</c:f>
              <c:numCache>
                <c:formatCode>0.000</c:formatCode>
                <c:ptCount val="2"/>
                <c:pt idx="0">
                  <c:v>786.45500000000004</c:v>
                </c:pt>
                <c:pt idx="1">
                  <c:v>789.45500000000004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29C-44F3-A44A-8300E24F49F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2003-09-11'!$A$48:$A$49</c:f>
              <c:numCache>
                <c:formatCode>0.00</c:formatCode>
                <c:ptCount val="2"/>
                <c:pt idx="0">
                  <c:v>11</c:v>
                </c:pt>
                <c:pt idx="1">
                  <c:v>25</c:v>
                </c:pt>
              </c:numCache>
            </c:numRef>
          </c:xVal>
          <c:yVal>
            <c:numRef>
              <c:f>'Fecha 2003-09-11'!$B$48:$B$49</c:f>
              <c:numCache>
                <c:formatCode>0.000</c:formatCode>
                <c:ptCount val="2"/>
                <c:pt idx="0">
                  <c:v>787.13</c:v>
                </c:pt>
                <c:pt idx="1">
                  <c:v>787.13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29C-44F3-A44A-8300E24F49FD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2003-09-11'!$A$54:$A$55</c:f>
              <c:numCache>
                <c:formatCode>0.00</c:formatCode>
                <c:ptCount val="2"/>
                <c:pt idx="0">
                  <c:v>3.9</c:v>
                </c:pt>
                <c:pt idx="1">
                  <c:v>26.5</c:v>
                </c:pt>
              </c:numCache>
            </c:numRef>
          </c:xVal>
          <c:yVal>
            <c:numRef>
              <c:f>'Fecha 2003-09-11'!$B$54:$B$55</c:f>
              <c:numCache>
                <c:formatCode>0.000</c:formatCode>
                <c:ptCount val="2"/>
                <c:pt idx="0">
                  <c:v>790.54</c:v>
                </c:pt>
                <c:pt idx="1">
                  <c:v>790.19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29C-44F3-A44A-8300E24F4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79168"/>
        <c:axId val="331752632"/>
      </c:scatterChart>
      <c:valAx>
        <c:axId val="322579168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8921389396709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2632"/>
        <c:crossesAt val="89"/>
        <c:crossBetween val="midCat"/>
        <c:majorUnit val="5"/>
        <c:minorUnit val="2.5"/>
      </c:valAx>
      <c:valAx>
        <c:axId val="331752632"/>
        <c:scaling>
          <c:orientation val="minMax"/>
          <c:max val="792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49725776965265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257916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VERGARA
Dibujó:            PALACIO
Revisó:    
 Fecha:  2005-04-12
 IDEAM - Area Operativa No. 04</a:t>
            </a:r>
          </a:p>
        </c:rich>
      </c:tx>
      <c:layout>
        <c:manualLayout>
          <c:xMode val="edge"/>
          <c:yMode val="edge"/>
          <c:x val="0.6333055634656265"/>
          <c:y val="2.042711234911791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355636819975935E-2"/>
          <c:w val="0.93608112453394587"/>
          <c:h val="0.92479192489982742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2005-04-12'!$A$3:$A$46</c:f>
              <c:numCache>
                <c:formatCode>0.00</c:formatCode>
                <c:ptCount val="44"/>
                <c:pt idx="0">
                  <c:v>0</c:v>
                </c:pt>
                <c:pt idx="1">
                  <c:v>1.2</c:v>
                </c:pt>
                <c:pt idx="2">
                  <c:v>3.3</c:v>
                </c:pt>
                <c:pt idx="3">
                  <c:v>4.5</c:v>
                </c:pt>
                <c:pt idx="4">
                  <c:v>5.6</c:v>
                </c:pt>
                <c:pt idx="5">
                  <c:v>6.6</c:v>
                </c:pt>
                <c:pt idx="6">
                  <c:v>8.5</c:v>
                </c:pt>
                <c:pt idx="7">
                  <c:v>10</c:v>
                </c:pt>
                <c:pt idx="8">
                  <c:v>11.5</c:v>
                </c:pt>
                <c:pt idx="9">
                  <c:v>13</c:v>
                </c:pt>
                <c:pt idx="10">
                  <c:v>14.5</c:v>
                </c:pt>
                <c:pt idx="11">
                  <c:v>16</c:v>
                </c:pt>
                <c:pt idx="12">
                  <c:v>17.5</c:v>
                </c:pt>
                <c:pt idx="13">
                  <c:v>19</c:v>
                </c:pt>
                <c:pt idx="14">
                  <c:v>20.5</c:v>
                </c:pt>
                <c:pt idx="15">
                  <c:v>22</c:v>
                </c:pt>
                <c:pt idx="16">
                  <c:v>23.5</c:v>
                </c:pt>
                <c:pt idx="17">
                  <c:v>24.5</c:v>
                </c:pt>
                <c:pt idx="18">
                  <c:v>24.5</c:v>
                </c:pt>
                <c:pt idx="19">
                  <c:v>25.5</c:v>
                </c:pt>
                <c:pt idx="20">
                  <c:v>27.5</c:v>
                </c:pt>
                <c:pt idx="21">
                  <c:v>29.2</c:v>
                </c:pt>
              </c:numCache>
            </c:numRef>
          </c:xVal>
          <c:yVal>
            <c:numRef>
              <c:f>'Fecha 2005-04-12'!$B$3:$B$46</c:f>
              <c:numCache>
                <c:formatCode>0.000</c:formatCode>
                <c:ptCount val="44"/>
                <c:pt idx="0">
                  <c:v>791.2</c:v>
                </c:pt>
                <c:pt idx="1">
                  <c:v>793.58</c:v>
                </c:pt>
                <c:pt idx="2">
                  <c:v>791.85</c:v>
                </c:pt>
                <c:pt idx="3">
                  <c:v>790.05</c:v>
                </c:pt>
                <c:pt idx="4">
                  <c:v>789.13</c:v>
                </c:pt>
                <c:pt idx="5">
                  <c:v>787.75</c:v>
                </c:pt>
                <c:pt idx="6">
                  <c:v>787.52</c:v>
                </c:pt>
                <c:pt idx="7">
                  <c:v>787.43</c:v>
                </c:pt>
                <c:pt idx="8">
                  <c:v>787.16</c:v>
                </c:pt>
                <c:pt idx="9">
                  <c:v>786.87</c:v>
                </c:pt>
                <c:pt idx="10">
                  <c:v>786.66</c:v>
                </c:pt>
                <c:pt idx="11">
                  <c:v>786.31</c:v>
                </c:pt>
                <c:pt idx="12">
                  <c:v>785.77</c:v>
                </c:pt>
                <c:pt idx="13">
                  <c:v>785.52</c:v>
                </c:pt>
                <c:pt idx="14">
                  <c:v>785.53</c:v>
                </c:pt>
                <c:pt idx="15">
                  <c:v>784.89</c:v>
                </c:pt>
                <c:pt idx="16">
                  <c:v>784.61</c:v>
                </c:pt>
                <c:pt idx="17">
                  <c:v>784.73</c:v>
                </c:pt>
                <c:pt idx="18">
                  <c:v>787.43</c:v>
                </c:pt>
                <c:pt idx="19">
                  <c:v>787.64</c:v>
                </c:pt>
                <c:pt idx="20">
                  <c:v>792.29</c:v>
                </c:pt>
                <c:pt idx="21">
                  <c:v>793.94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76-4C11-8CC6-530874965BD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2005-04-12'!$A$51:$A$52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2005-04-12'!$B$51:$B$52</c:f>
              <c:numCache>
                <c:formatCode>0.000</c:formatCode>
                <c:ptCount val="2"/>
                <c:pt idx="0">
                  <c:v>788.85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C76-4C11-8CC6-530874965BD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2005-04-12'!$A$49:$A$50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'Fecha 2005-04-12'!$B$49:$B$50</c:f>
              <c:numCache>
                <c:formatCode>0.000</c:formatCode>
                <c:ptCount val="2"/>
                <c:pt idx="0">
                  <c:v>786.45500000000004</c:v>
                </c:pt>
                <c:pt idx="1">
                  <c:v>789.45500000000004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C76-4C11-8CC6-530874965BD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2005-04-12'!$A$47:$A$48</c:f>
              <c:numCache>
                <c:formatCode>0.00</c:formatCode>
                <c:ptCount val="2"/>
                <c:pt idx="0">
                  <c:v>10</c:v>
                </c:pt>
                <c:pt idx="1">
                  <c:v>24.5</c:v>
                </c:pt>
              </c:numCache>
            </c:numRef>
          </c:xVal>
          <c:yVal>
            <c:numRef>
              <c:f>'Fecha 2005-04-12'!$B$47:$B$48</c:f>
              <c:numCache>
                <c:formatCode>0.000</c:formatCode>
                <c:ptCount val="2"/>
                <c:pt idx="0">
                  <c:v>787.43</c:v>
                </c:pt>
                <c:pt idx="1">
                  <c:v>787.43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C76-4C11-8CC6-530874965BD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2005-04-12'!$A$53:$A$54</c:f>
              <c:numCache>
                <c:formatCode>0.00</c:formatCode>
                <c:ptCount val="2"/>
                <c:pt idx="0">
                  <c:v>1.2</c:v>
                </c:pt>
                <c:pt idx="1">
                  <c:v>29.2</c:v>
                </c:pt>
              </c:numCache>
            </c:numRef>
          </c:xVal>
          <c:yVal>
            <c:numRef>
              <c:f>'Fecha 2005-04-12'!$B$53:$B$54</c:f>
              <c:numCache>
                <c:formatCode>0.000</c:formatCode>
                <c:ptCount val="2"/>
                <c:pt idx="0">
                  <c:v>793.58</c:v>
                </c:pt>
                <c:pt idx="1">
                  <c:v>793.94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C76-4C11-8CC6-530874965B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53808"/>
        <c:axId val="331754200"/>
      </c:scatterChart>
      <c:valAx>
        <c:axId val="331753808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8431703697204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4200"/>
        <c:crossesAt val="89"/>
        <c:crossBetween val="midCat"/>
        <c:majorUnit val="5"/>
        <c:minorUnit val="2.5"/>
      </c:valAx>
      <c:valAx>
        <c:axId val="331754200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4939686160399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380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PALACIOS
Dibujó:            PALACIOS
Revisó:    
 Fecha:  2006-10-19
 IDEAM - Area Operativa No. 04</a:t>
            </a:r>
          </a:p>
        </c:rich>
      </c:tx>
      <c:layout>
        <c:manualLayout>
          <c:xMode val="edge"/>
          <c:yMode val="edge"/>
          <c:x val="0.6333055634656265"/>
          <c:y val="2.1023765996343691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608112453394587"/>
          <c:h val="0.9259597806215722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2006-10-19'!$A$3:$A$47</c:f>
              <c:numCache>
                <c:formatCode>0.00</c:formatCode>
                <c:ptCount val="45"/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10.199999999999999</c:v>
                </c:pt>
                <c:pt idx="9">
                  <c:v>10.199999999999999</c:v>
                </c:pt>
                <c:pt idx="10">
                  <c:v>13.7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31</c:v>
                </c:pt>
              </c:numCache>
            </c:numRef>
          </c:xVal>
          <c:yVal>
            <c:numRef>
              <c:f>'Fecha 2006-10-19'!$B$3:$B$47</c:f>
              <c:numCache>
                <c:formatCode>0.000</c:formatCode>
                <c:ptCount val="45"/>
                <c:pt idx="0">
                  <c:v>791.2</c:v>
                </c:pt>
                <c:pt idx="1">
                  <c:v>791.89</c:v>
                </c:pt>
                <c:pt idx="2">
                  <c:v>790.84</c:v>
                </c:pt>
                <c:pt idx="3">
                  <c:v>790.2</c:v>
                </c:pt>
                <c:pt idx="4">
                  <c:v>789.81</c:v>
                </c:pt>
                <c:pt idx="5">
                  <c:v>788.39</c:v>
                </c:pt>
                <c:pt idx="6">
                  <c:v>788.13</c:v>
                </c:pt>
                <c:pt idx="7">
                  <c:v>787.88</c:v>
                </c:pt>
                <c:pt idx="8">
                  <c:v>787.7</c:v>
                </c:pt>
                <c:pt idx="9">
                  <c:v>787.17</c:v>
                </c:pt>
                <c:pt idx="10">
                  <c:v>786.27</c:v>
                </c:pt>
                <c:pt idx="11">
                  <c:v>785.92</c:v>
                </c:pt>
                <c:pt idx="12">
                  <c:v>785.64</c:v>
                </c:pt>
                <c:pt idx="13">
                  <c:v>785.44</c:v>
                </c:pt>
                <c:pt idx="14">
                  <c:v>785.25</c:v>
                </c:pt>
                <c:pt idx="15">
                  <c:v>785.09</c:v>
                </c:pt>
                <c:pt idx="16">
                  <c:v>785.03</c:v>
                </c:pt>
                <c:pt idx="17">
                  <c:v>784.84</c:v>
                </c:pt>
                <c:pt idx="18">
                  <c:v>785.08</c:v>
                </c:pt>
                <c:pt idx="19">
                  <c:v>784.81</c:v>
                </c:pt>
                <c:pt idx="20">
                  <c:v>784.38</c:v>
                </c:pt>
                <c:pt idx="21">
                  <c:v>784.35</c:v>
                </c:pt>
                <c:pt idx="22">
                  <c:v>784.31</c:v>
                </c:pt>
                <c:pt idx="23">
                  <c:v>784.67</c:v>
                </c:pt>
                <c:pt idx="24">
                  <c:v>786.27</c:v>
                </c:pt>
                <c:pt idx="25">
                  <c:v>788.76</c:v>
                </c:pt>
                <c:pt idx="26">
                  <c:v>789.83</c:v>
                </c:pt>
                <c:pt idx="27">
                  <c:v>791.08</c:v>
                </c:pt>
                <c:pt idx="28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A67-46CC-825B-A4B94FFFA277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2006-10-19'!$A$52:$A$53</c:f>
              <c:numCache>
                <c:formatCode>0.00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'Fecha 2006-10-19'!$B$52:$B$53</c:f>
              <c:numCache>
                <c:formatCode>0.000</c:formatCode>
                <c:ptCount val="2"/>
                <c:pt idx="0">
                  <c:v>788.19</c:v>
                </c:pt>
                <c:pt idx="1">
                  <c:v>789.71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A67-46CC-825B-A4B94FFFA277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2006-10-19'!$A$50:$A$51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2006-10-19'!$B$50:$B$51</c:f>
              <c:numCache>
                <c:formatCode>0.000</c:formatCode>
                <c:ptCount val="2"/>
                <c:pt idx="0">
                  <c:v>785.75599999999997</c:v>
                </c:pt>
                <c:pt idx="1">
                  <c:v>788.75599999999997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67-46CC-825B-A4B94FFFA277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2006-10-19'!$A$48:$A$49</c:f>
              <c:numCache>
                <c:formatCode>0.00</c:formatCode>
                <c:ptCount val="2"/>
                <c:pt idx="0">
                  <c:v>13.7</c:v>
                </c:pt>
                <c:pt idx="1">
                  <c:v>27</c:v>
                </c:pt>
              </c:numCache>
            </c:numRef>
          </c:xVal>
          <c:yVal>
            <c:numRef>
              <c:f>'Fecha 2006-10-19'!$B$48:$B$49</c:f>
              <c:numCache>
                <c:formatCode>0.000</c:formatCode>
                <c:ptCount val="2"/>
                <c:pt idx="0">
                  <c:v>786.27</c:v>
                </c:pt>
                <c:pt idx="1">
                  <c:v>786.27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A67-46CC-825B-A4B94FFFA277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2006-10-19'!$A$54:$A$55</c:f>
              <c:numCache>
                <c:formatCode>0.00</c:formatCode>
                <c:ptCount val="2"/>
                <c:pt idx="0">
                  <c:v>0</c:v>
                </c:pt>
                <c:pt idx="1">
                  <c:v>31</c:v>
                </c:pt>
              </c:numCache>
            </c:numRef>
          </c:xVal>
          <c:yVal>
            <c:numRef>
              <c:f>'Fecha 2006-10-19'!$B$54:$B$55</c:f>
              <c:numCache>
                <c:formatCode>0.000</c:formatCode>
                <c:ptCount val="2"/>
                <c:pt idx="0">
                  <c:v>791.89</c:v>
                </c:pt>
                <c:pt idx="1">
                  <c:v>791.91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A67-46CC-825B-A4B94FFFA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53024"/>
        <c:axId val="331751064"/>
      </c:scatterChart>
      <c:valAx>
        <c:axId val="331753024"/>
        <c:scaling>
          <c:orientation val="minMax"/>
          <c:max val="31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8921389396709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1064"/>
        <c:crossesAt val="89"/>
        <c:crossBetween val="midCat"/>
        <c:majorUnit val="10"/>
        <c:minorUnit val="2"/>
      </c:valAx>
      <c:valAx>
        <c:axId val="331751064"/>
        <c:scaling>
          <c:orientation val="minMax"/>
          <c:max val="792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49725776965265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302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TAMAYO
Dibujó:            PALACIOS
Revisó:    
 Fecha:  2007-10-27
 IDEAM - Area Operativa No. 04</a:t>
            </a:r>
          </a:p>
        </c:rich>
      </c:tx>
      <c:layout>
        <c:manualLayout>
          <c:xMode val="edge"/>
          <c:yMode val="edge"/>
          <c:x val="0.6333055634656265"/>
          <c:y val="2.1043000914913082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1023765996343691E-2"/>
          <c:w val="0.93439903805679592"/>
          <c:h val="0.9268738574040219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2007-10-27'!$A$3:$A$29</c:f>
              <c:numCache>
                <c:formatCode>0.00</c:formatCode>
                <c:ptCount val="27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5.7</c:v>
                </c:pt>
                <c:pt idx="4">
                  <c:v>6</c:v>
                </c:pt>
                <c:pt idx="5">
                  <c:v>9</c:v>
                </c:pt>
                <c:pt idx="6">
                  <c:v>9.3000000000000007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27.4</c:v>
                </c:pt>
                <c:pt idx="22">
                  <c:v>29</c:v>
                </c:pt>
              </c:numCache>
            </c:numRef>
          </c:xVal>
          <c:yVal>
            <c:numRef>
              <c:f>'Fecha 2007-10-27'!$B$3:$B$29</c:f>
              <c:numCache>
                <c:formatCode>0.000</c:formatCode>
                <c:ptCount val="27"/>
                <c:pt idx="0">
                  <c:v>791.2</c:v>
                </c:pt>
                <c:pt idx="1">
                  <c:v>791.48</c:v>
                </c:pt>
                <c:pt idx="2">
                  <c:v>790.67</c:v>
                </c:pt>
                <c:pt idx="3">
                  <c:v>790.35</c:v>
                </c:pt>
                <c:pt idx="4">
                  <c:v>788.96</c:v>
                </c:pt>
                <c:pt idx="5">
                  <c:v>788.41</c:v>
                </c:pt>
                <c:pt idx="6">
                  <c:v>787.42</c:v>
                </c:pt>
                <c:pt idx="7">
                  <c:v>786.94</c:v>
                </c:pt>
                <c:pt idx="8">
                  <c:v>786.59</c:v>
                </c:pt>
                <c:pt idx="9">
                  <c:v>786.33</c:v>
                </c:pt>
                <c:pt idx="10">
                  <c:v>786.17</c:v>
                </c:pt>
                <c:pt idx="11">
                  <c:v>786.02</c:v>
                </c:pt>
                <c:pt idx="12">
                  <c:v>785.76</c:v>
                </c:pt>
                <c:pt idx="13">
                  <c:v>785.59</c:v>
                </c:pt>
                <c:pt idx="14">
                  <c:v>785.64</c:v>
                </c:pt>
                <c:pt idx="15">
                  <c:v>785.49</c:v>
                </c:pt>
                <c:pt idx="16">
                  <c:v>785.4</c:v>
                </c:pt>
                <c:pt idx="17">
                  <c:v>784.84</c:v>
                </c:pt>
                <c:pt idx="18">
                  <c:v>785.04</c:v>
                </c:pt>
                <c:pt idx="19">
                  <c:v>785.04</c:v>
                </c:pt>
                <c:pt idx="20">
                  <c:v>786.94</c:v>
                </c:pt>
                <c:pt idx="21">
                  <c:v>789.44</c:v>
                </c:pt>
                <c:pt idx="22">
                  <c:v>790.48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C8D-4551-84A0-F8AEED9BA407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2007-10-27'!$A$34:$A$35</c:f>
              <c:numCache>
                <c:formatCode>0.00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'Fecha 2007-10-27'!$B$34:$B$35</c:f>
              <c:numCache>
                <c:formatCode>0.000</c:formatCode>
                <c:ptCount val="2"/>
                <c:pt idx="0">
                  <c:v>788.85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C8D-4551-84A0-F8AEED9BA407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2007-10-27'!$A$32:$A$33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2007-10-27'!$B$32:$B$33</c:f>
              <c:numCache>
                <c:formatCode>0.000</c:formatCode>
                <c:ptCount val="2"/>
                <c:pt idx="0">
                  <c:v>786.45500000000004</c:v>
                </c:pt>
                <c:pt idx="1">
                  <c:v>789.45500000000004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8D-4551-84A0-F8AEED9BA407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2007-10-27'!$A$30:$A$31</c:f>
              <c:numCache>
                <c:formatCode>0.00</c:formatCode>
                <c:ptCount val="2"/>
                <c:pt idx="0">
                  <c:v>14</c:v>
                </c:pt>
                <c:pt idx="1">
                  <c:v>28</c:v>
                </c:pt>
              </c:numCache>
            </c:numRef>
          </c:xVal>
          <c:yVal>
            <c:numRef>
              <c:f>'Fecha 2007-10-27'!$B$30:$B$31</c:f>
              <c:numCache>
                <c:formatCode>0.000</c:formatCode>
                <c:ptCount val="2"/>
                <c:pt idx="0">
                  <c:v>786.94</c:v>
                </c:pt>
                <c:pt idx="1">
                  <c:v>786.94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C8D-4551-84A0-F8AEED9BA407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2007-10-27'!$A$36:$A$37</c:f>
              <c:numCache>
                <c:formatCode>0.00</c:formatCode>
                <c:ptCount val="2"/>
                <c:pt idx="0">
                  <c:v>0</c:v>
                </c:pt>
                <c:pt idx="1">
                  <c:v>29</c:v>
                </c:pt>
              </c:numCache>
            </c:numRef>
          </c:xVal>
          <c:yVal>
            <c:numRef>
              <c:f>'Fecha 2007-10-27'!$B$36:$B$37</c:f>
              <c:numCache>
                <c:formatCode>0.000</c:formatCode>
                <c:ptCount val="2"/>
                <c:pt idx="0">
                  <c:v>791.48</c:v>
                </c:pt>
                <c:pt idx="1">
                  <c:v>790.48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C8D-4551-84A0-F8AEED9BA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751456"/>
        <c:axId val="331751848"/>
      </c:scatterChart>
      <c:valAx>
        <c:axId val="331751456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8893435438593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1848"/>
        <c:crossesAt val="89"/>
        <c:crossBetween val="midCat"/>
        <c:majorUnit val="10"/>
        <c:minorUnit val="2"/>
      </c:valAx>
      <c:valAx>
        <c:axId val="331751848"/>
        <c:scaling>
          <c:orientation val="minMax"/>
          <c:max val="792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501374290702225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75145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 VERGARA
Dibujó:            PALACIOS
Revisó:    
 Fecha:  2007-10-27
 IDEAM - Area Operativa No. 04</a:t>
            </a:r>
          </a:p>
        </c:rich>
      </c:tx>
      <c:layout>
        <c:manualLayout>
          <c:xMode val="edge"/>
          <c:yMode val="edge"/>
          <c:x val="0.6333055634656265"/>
          <c:y val="2.284263959390862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9187817258883249E-2"/>
          <c:w val="0.93608112453394587"/>
          <c:h val="0.89720812182741116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2007-10-27'!$A$3:$A$29</c:f>
              <c:numCache>
                <c:formatCode>0.00</c:formatCode>
                <c:ptCount val="27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5.7</c:v>
                </c:pt>
                <c:pt idx="4">
                  <c:v>6</c:v>
                </c:pt>
                <c:pt idx="5">
                  <c:v>9</c:v>
                </c:pt>
                <c:pt idx="6">
                  <c:v>9.3000000000000007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28</c:v>
                </c:pt>
                <c:pt idx="21">
                  <c:v>27.4</c:v>
                </c:pt>
                <c:pt idx="22">
                  <c:v>29</c:v>
                </c:pt>
              </c:numCache>
            </c:numRef>
          </c:xVal>
          <c:yVal>
            <c:numRef>
              <c:f>'Fecha 2007-10-27'!$B$3:$B$29</c:f>
              <c:numCache>
                <c:formatCode>0.000</c:formatCode>
                <c:ptCount val="27"/>
                <c:pt idx="0">
                  <c:v>791.2</c:v>
                </c:pt>
                <c:pt idx="1">
                  <c:v>791.48</c:v>
                </c:pt>
                <c:pt idx="2">
                  <c:v>790.67</c:v>
                </c:pt>
                <c:pt idx="3">
                  <c:v>790.35</c:v>
                </c:pt>
                <c:pt idx="4">
                  <c:v>788.96</c:v>
                </c:pt>
                <c:pt idx="5">
                  <c:v>788.41</c:v>
                </c:pt>
                <c:pt idx="6">
                  <c:v>787.42</c:v>
                </c:pt>
                <c:pt idx="7">
                  <c:v>786.94</c:v>
                </c:pt>
                <c:pt idx="8">
                  <c:v>786.59</c:v>
                </c:pt>
                <c:pt idx="9">
                  <c:v>786.33</c:v>
                </c:pt>
                <c:pt idx="10">
                  <c:v>786.17</c:v>
                </c:pt>
                <c:pt idx="11">
                  <c:v>786.02</c:v>
                </c:pt>
                <c:pt idx="12">
                  <c:v>785.76</c:v>
                </c:pt>
                <c:pt idx="13">
                  <c:v>785.59</c:v>
                </c:pt>
                <c:pt idx="14">
                  <c:v>785.64</c:v>
                </c:pt>
                <c:pt idx="15">
                  <c:v>785.49</c:v>
                </c:pt>
                <c:pt idx="16">
                  <c:v>785.4</c:v>
                </c:pt>
                <c:pt idx="17">
                  <c:v>784.84</c:v>
                </c:pt>
                <c:pt idx="18">
                  <c:v>785.04</c:v>
                </c:pt>
                <c:pt idx="19">
                  <c:v>785.04</c:v>
                </c:pt>
                <c:pt idx="20">
                  <c:v>786.94</c:v>
                </c:pt>
                <c:pt idx="21">
                  <c:v>789.44</c:v>
                </c:pt>
                <c:pt idx="22">
                  <c:v>790.48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DA-420D-A69D-78DFBC7CA42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2007-10-27'!$A$34:$A$35</c:f>
              <c:numCache>
                <c:formatCode>0.00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xVal>
          <c:yVal>
            <c:numRef>
              <c:f>'Fecha 2007-10-27'!$B$34:$B$35</c:f>
              <c:numCache>
                <c:formatCode>0.000</c:formatCode>
                <c:ptCount val="2"/>
                <c:pt idx="0">
                  <c:v>788.85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2DA-420D-A69D-78DFBC7CA42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2007-10-27'!$A$32:$A$33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2007-10-27'!$B$32:$B$33</c:f>
              <c:numCache>
                <c:formatCode>0.000</c:formatCode>
                <c:ptCount val="2"/>
                <c:pt idx="0">
                  <c:v>786.45500000000004</c:v>
                </c:pt>
                <c:pt idx="1">
                  <c:v>789.45500000000004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2DA-420D-A69D-78DFBC7CA42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2007-10-27'!$A$30:$A$31</c:f>
              <c:numCache>
                <c:formatCode>0.00</c:formatCode>
                <c:ptCount val="2"/>
                <c:pt idx="0">
                  <c:v>14</c:v>
                </c:pt>
                <c:pt idx="1">
                  <c:v>28</c:v>
                </c:pt>
              </c:numCache>
            </c:numRef>
          </c:xVal>
          <c:yVal>
            <c:numRef>
              <c:f>'Fecha 2007-10-27'!$B$30:$B$31</c:f>
              <c:numCache>
                <c:formatCode>0.000</c:formatCode>
                <c:ptCount val="2"/>
                <c:pt idx="0">
                  <c:v>786.94</c:v>
                </c:pt>
                <c:pt idx="1">
                  <c:v>786.94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2DA-420D-A69D-78DFBC7CA423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2007-10-27'!$A$36:$A$37</c:f>
              <c:numCache>
                <c:formatCode>0.00</c:formatCode>
                <c:ptCount val="2"/>
                <c:pt idx="0">
                  <c:v>0</c:v>
                </c:pt>
                <c:pt idx="1">
                  <c:v>29</c:v>
                </c:pt>
              </c:numCache>
            </c:numRef>
          </c:xVal>
          <c:yVal>
            <c:numRef>
              <c:f>'Fecha 2007-10-27'!$B$36:$B$37</c:f>
              <c:numCache>
                <c:formatCode>0.000</c:formatCode>
                <c:ptCount val="2"/>
                <c:pt idx="0">
                  <c:v>791.48</c:v>
                </c:pt>
                <c:pt idx="1">
                  <c:v>790.48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2DA-420D-A69D-78DFBC7CA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236592"/>
        <c:axId val="336237768"/>
      </c:scatterChart>
      <c:valAx>
        <c:axId val="336236592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58121827411167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7768"/>
        <c:crossesAt val="89"/>
        <c:crossBetween val="midCat"/>
        <c:majorUnit val="10"/>
        <c:minorUnit val="2"/>
      </c:valAx>
      <c:valAx>
        <c:axId val="336237768"/>
        <c:scaling>
          <c:orientation val="minMax"/>
          <c:max val="792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26395939086294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659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 RAMIREZ
Dibujó:            D.A.S.
Revisó:    
 Fecha:  2009-03-20
 IDEAM - Area Operativa No. 04</a:t>
            </a:r>
          </a:p>
        </c:rich>
      </c:tx>
      <c:layout>
        <c:manualLayout>
          <c:xMode val="edge"/>
          <c:yMode val="edge"/>
          <c:x val="0.6333055634656265"/>
          <c:y val="2.24719101123595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2009-03-20'!$A$3:$A$35</c:f>
              <c:numCache>
                <c:formatCode>0.00</c:formatCode>
                <c:ptCount val="33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12</c:v>
                </c:pt>
                <c:pt idx="8">
                  <c:v>16.5</c:v>
                </c:pt>
                <c:pt idx="9">
                  <c:v>17.5</c:v>
                </c:pt>
                <c:pt idx="10">
                  <c:v>18.5</c:v>
                </c:pt>
                <c:pt idx="11">
                  <c:v>19.5</c:v>
                </c:pt>
                <c:pt idx="12">
                  <c:v>20.5</c:v>
                </c:pt>
                <c:pt idx="13">
                  <c:v>21.5</c:v>
                </c:pt>
                <c:pt idx="14">
                  <c:v>22.5</c:v>
                </c:pt>
                <c:pt idx="15">
                  <c:v>23.5</c:v>
                </c:pt>
                <c:pt idx="16">
                  <c:v>24.5</c:v>
                </c:pt>
                <c:pt idx="17">
                  <c:v>25.5</c:v>
                </c:pt>
                <c:pt idx="18">
                  <c:v>26.5</c:v>
                </c:pt>
                <c:pt idx="19">
                  <c:v>27</c:v>
                </c:pt>
                <c:pt idx="20">
                  <c:v>27</c:v>
                </c:pt>
                <c:pt idx="21">
                  <c:v>27</c:v>
                </c:pt>
                <c:pt idx="22">
                  <c:v>28.7</c:v>
                </c:pt>
              </c:numCache>
            </c:numRef>
          </c:xVal>
          <c:yVal>
            <c:numRef>
              <c:f>'Fecha 2009-03-20'!$B$3:$B$35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790.51</c:v>
                </c:pt>
                <c:pt idx="2">
                  <c:v>790.3</c:v>
                </c:pt>
                <c:pt idx="3">
                  <c:v>789.01</c:v>
                </c:pt>
                <c:pt idx="4">
                  <c:v>788.83</c:v>
                </c:pt>
                <c:pt idx="5">
                  <c:v>788.18</c:v>
                </c:pt>
                <c:pt idx="6">
                  <c:v>787.55</c:v>
                </c:pt>
                <c:pt idx="7">
                  <c:v>786.98</c:v>
                </c:pt>
                <c:pt idx="8">
                  <c:v>786.35</c:v>
                </c:pt>
                <c:pt idx="9">
                  <c:v>786.13</c:v>
                </c:pt>
                <c:pt idx="10">
                  <c:v>786.05</c:v>
                </c:pt>
                <c:pt idx="11">
                  <c:v>785.88</c:v>
                </c:pt>
                <c:pt idx="12">
                  <c:v>785.81</c:v>
                </c:pt>
                <c:pt idx="13">
                  <c:v>785.68</c:v>
                </c:pt>
                <c:pt idx="14">
                  <c:v>785.56</c:v>
                </c:pt>
                <c:pt idx="15">
                  <c:v>785.5</c:v>
                </c:pt>
                <c:pt idx="16">
                  <c:v>785.27</c:v>
                </c:pt>
                <c:pt idx="17">
                  <c:v>785.1</c:v>
                </c:pt>
                <c:pt idx="18">
                  <c:v>785</c:v>
                </c:pt>
                <c:pt idx="19">
                  <c:v>786.77</c:v>
                </c:pt>
                <c:pt idx="20">
                  <c:v>786.98</c:v>
                </c:pt>
                <c:pt idx="21">
                  <c:v>790.03</c:v>
                </c:pt>
                <c:pt idx="22">
                  <c:v>788.42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9F7-43B7-B7DA-2AFCF8885934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2009-03-20'!$A$40:$A$41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2009-03-20'!$B$40:$B$41</c:f>
              <c:numCache>
                <c:formatCode>0.000</c:formatCode>
                <c:ptCount val="2"/>
                <c:pt idx="0">
                  <c:v>788.85699999999997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9F7-43B7-B7DA-2AFCF8885934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2009-03-20'!$A$38:$A$39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'Fecha 2009-03-20'!$B$38:$B$39</c:f>
              <c:numCache>
                <c:formatCode>0.000</c:formatCode>
                <c:ptCount val="2"/>
                <c:pt idx="0">
                  <c:v>786.43799999999999</c:v>
                </c:pt>
                <c:pt idx="1">
                  <c:v>789.45500000000004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9F7-43B7-B7DA-2AFCF8885934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2009-03-20'!$A$36:$A$37</c:f>
              <c:numCache>
                <c:formatCode>0.00</c:formatCode>
                <c:ptCount val="2"/>
                <c:pt idx="0">
                  <c:v>12</c:v>
                </c:pt>
                <c:pt idx="1">
                  <c:v>27</c:v>
                </c:pt>
              </c:numCache>
            </c:numRef>
          </c:xVal>
          <c:yVal>
            <c:numRef>
              <c:f>'Fecha 2009-03-20'!$B$36:$B$37</c:f>
              <c:numCache>
                <c:formatCode>0.000</c:formatCode>
                <c:ptCount val="2"/>
                <c:pt idx="0">
                  <c:v>786.98</c:v>
                </c:pt>
                <c:pt idx="1">
                  <c:v>786.98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9F7-43B7-B7DA-2AFCF8885934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2009-03-20'!$A$42:$A$43</c:f>
              <c:numCache>
                <c:formatCode>0.00</c:formatCode>
                <c:ptCount val="2"/>
                <c:pt idx="0">
                  <c:v>1.2</c:v>
                </c:pt>
                <c:pt idx="1">
                  <c:v>29.2</c:v>
                </c:pt>
              </c:numCache>
            </c:numRef>
          </c:xVal>
          <c:yVal>
            <c:numRef>
              <c:f>'Fecha 2009-03-20'!$B$42:$B$43</c:f>
              <c:numCache>
                <c:formatCode>0.000</c:formatCode>
                <c:ptCount val="2"/>
                <c:pt idx="0">
                  <c:v>793.58</c:v>
                </c:pt>
                <c:pt idx="1">
                  <c:v>793.94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49F7-43B7-B7DA-2AFCF8885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237376"/>
        <c:axId val="336238160"/>
      </c:scatterChart>
      <c:valAx>
        <c:axId val="336237376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8160"/>
        <c:crossesAt val="89"/>
        <c:crossBetween val="midCat"/>
        <c:majorUnit val="5"/>
        <c:minorUnit val="2.5"/>
      </c:valAx>
      <c:valAx>
        <c:axId val="336238160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737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TAMAYO
Dibujó:            D.A.S.
Revisó:    
 Fecha:  2009-11-27
 IDEAM - Area Operativa No. 04</a:t>
            </a:r>
          </a:p>
        </c:rich>
      </c:tx>
      <c:layout>
        <c:manualLayout>
          <c:xMode val="edge"/>
          <c:yMode val="edge"/>
          <c:x val="0.64303764384372053"/>
          <c:y val="0.16599498658173345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2009-11-27'!$A$3:$A$35</c:f>
              <c:numCache>
                <c:formatCode>0.00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0.75</c:v>
                </c:pt>
                <c:pt idx="3">
                  <c:v>1.3</c:v>
                </c:pt>
                <c:pt idx="4">
                  <c:v>2</c:v>
                </c:pt>
                <c:pt idx="5">
                  <c:v>5.0999999999999996</c:v>
                </c:pt>
                <c:pt idx="6">
                  <c:v>6</c:v>
                </c:pt>
                <c:pt idx="7">
                  <c:v>6</c:v>
                </c:pt>
                <c:pt idx="8">
                  <c:v>7.3</c:v>
                </c:pt>
                <c:pt idx="9">
                  <c:v>9.6999999999999993</c:v>
                </c:pt>
                <c:pt idx="10">
                  <c:v>13.7</c:v>
                </c:pt>
                <c:pt idx="11">
                  <c:v>18</c:v>
                </c:pt>
                <c:pt idx="12">
                  <c:v>19</c:v>
                </c:pt>
                <c:pt idx="13">
                  <c:v>20</c:v>
                </c:pt>
                <c:pt idx="14">
                  <c:v>21</c:v>
                </c:pt>
                <c:pt idx="15">
                  <c:v>22</c:v>
                </c:pt>
                <c:pt idx="16">
                  <c:v>23</c:v>
                </c:pt>
                <c:pt idx="17">
                  <c:v>24</c:v>
                </c:pt>
                <c:pt idx="18">
                  <c:v>25</c:v>
                </c:pt>
                <c:pt idx="19">
                  <c:v>26</c:v>
                </c:pt>
                <c:pt idx="20">
                  <c:v>27.7</c:v>
                </c:pt>
                <c:pt idx="21">
                  <c:v>27.7</c:v>
                </c:pt>
                <c:pt idx="22">
                  <c:v>27.7</c:v>
                </c:pt>
                <c:pt idx="23">
                  <c:v>28.8</c:v>
                </c:pt>
                <c:pt idx="24">
                  <c:v>29.8</c:v>
                </c:pt>
                <c:pt idx="25">
                  <c:v>30.7</c:v>
                </c:pt>
                <c:pt idx="26">
                  <c:v>31.2</c:v>
                </c:pt>
                <c:pt idx="27">
                  <c:v>31.2</c:v>
                </c:pt>
                <c:pt idx="28">
                  <c:v>31.2</c:v>
                </c:pt>
              </c:numCache>
            </c:numRef>
          </c:xVal>
          <c:yVal>
            <c:numRef>
              <c:f>'Fecha 2009-11-27'!$B$3:$B$35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793.15</c:v>
                </c:pt>
                <c:pt idx="2">
                  <c:v>791.97</c:v>
                </c:pt>
                <c:pt idx="3">
                  <c:v>792.18</c:v>
                </c:pt>
                <c:pt idx="4">
                  <c:v>791.3</c:v>
                </c:pt>
                <c:pt idx="5">
                  <c:v>790.7</c:v>
                </c:pt>
                <c:pt idx="6">
                  <c:v>789.97</c:v>
                </c:pt>
                <c:pt idx="7">
                  <c:v>788.9</c:v>
                </c:pt>
                <c:pt idx="8">
                  <c:v>788.07</c:v>
                </c:pt>
                <c:pt idx="9">
                  <c:v>787.32</c:v>
                </c:pt>
                <c:pt idx="10">
                  <c:v>786.92</c:v>
                </c:pt>
                <c:pt idx="11">
                  <c:v>786.42</c:v>
                </c:pt>
                <c:pt idx="12">
                  <c:v>786.22</c:v>
                </c:pt>
                <c:pt idx="13">
                  <c:v>786.01</c:v>
                </c:pt>
                <c:pt idx="14">
                  <c:v>785.96</c:v>
                </c:pt>
                <c:pt idx="15">
                  <c:v>785.74</c:v>
                </c:pt>
                <c:pt idx="16">
                  <c:v>785.63</c:v>
                </c:pt>
                <c:pt idx="17">
                  <c:v>785.4</c:v>
                </c:pt>
                <c:pt idx="18">
                  <c:v>785.22</c:v>
                </c:pt>
                <c:pt idx="19">
                  <c:v>785</c:v>
                </c:pt>
                <c:pt idx="20">
                  <c:v>786.92</c:v>
                </c:pt>
                <c:pt idx="21">
                  <c:v>789</c:v>
                </c:pt>
                <c:pt idx="22">
                  <c:v>789.15</c:v>
                </c:pt>
                <c:pt idx="23">
                  <c:v>790.28</c:v>
                </c:pt>
                <c:pt idx="24">
                  <c:v>791.45</c:v>
                </c:pt>
                <c:pt idx="25">
                  <c:v>791.85</c:v>
                </c:pt>
                <c:pt idx="26">
                  <c:v>792.33</c:v>
                </c:pt>
                <c:pt idx="27">
                  <c:v>791.86</c:v>
                </c:pt>
                <c:pt idx="28">
                  <c:v>795.56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92-4B43-9064-B1E3ECE231D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2009-11-27'!$A$40:$A$41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2009-11-27'!$B$40:$B$41</c:f>
              <c:numCache>
                <c:formatCode>0.000</c:formatCode>
                <c:ptCount val="2"/>
                <c:pt idx="0">
                  <c:v>788.85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92-4B43-9064-B1E3ECE231D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2009-11-27'!$A$38:$A$39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2009-11-27'!$B$38:$B$39</c:f>
              <c:numCache>
                <c:formatCode>0.000</c:formatCode>
                <c:ptCount val="2"/>
                <c:pt idx="0">
                  <c:v>786.41399999999999</c:v>
                </c:pt>
                <c:pt idx="1">
                  <c:v>789.45500000000004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92-4B43-9064-B1E3ECE231D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2009-11-27'!$A$36:$A$37</c:f>
              <c:numCache>
                <c:formatCode>0.00</c:formatCode>
                <c:ptCount val="2"/>
                <c:pt idx="0">
                  <c:v>13.7</c:v>
                </c:pt>
                <c:pt idx="1">
                  <c:v>27.7</c:v>
                </c:pt>
              </c:numCache>
            </c:numRef>
          </c:xVal>
          <c:yVal>
            <c:numRef>
              <c:f>'Fecha 2009-11-27'!$B$36:$B$37</c:f>
              <c:numCache>
                <c:formatCode>0.000</c:formatCode>
                <c:ptCount val="2"/>
                <c:pt idx="0">
                  <c:v>786.92</c:v>
                </c:pt>
                <c:pt idx="1">
                  <c:v>786.92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892-4B43-9064-B1E3ECE231D1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2009-11-27'!$A$42:$A$43</c:f>
              <c:numCache>
                <c:formatCode>0.00</c:formatCode>
                <c:ptCount val="2"/>
                <c:pt idx="0">
                  <c:v>1.2</c:v>
                </c:pt>
                <c:pt idx="1">
                  <c:v>29.2</c:v>
                </c:pt>
              </c:numCache>
            </c:numRef>
          </c:xVal>
          <c:yVal>
            <c:numRef>
              <c:f>'Fecha 2009-11-27'!$B$42:$B$43</c:f>
              <c:numCache>
                <c:formatCode>0.000</c:formatCode>
                <c:ptCount val="2"/>
                <c:pt idx="0">
                  <c:v>793.58</c:v>
                </c:pt>
                <c:pt idx="1">
                  <c:v>793.94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892-4B43-9064-B1E3ECE23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6239728"/>
        <c:axId val="336238552"/>
      </c:scatterChart>
      <c:valAx>
        <c:axId val="336239728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8552"/>
        <c:crossesAt val="89"/>
        <c:crossBetween val="midCat"/>
        <c:majorUnit val="5"/>
        <c:minorUnit val="2.5"/>
      </c:valAx>
      <c:valAx>
        <c:axId val="336238552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623972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RAMIREZ
Dibujó:           PALACIOS
Revisó:    
 Fecha:  2010-03-21
 IDEAM - Area Operativa No. 04</a:t>
            </a:r>
          </a:p>
        </c:rich>
      </c:tx>
      <c:layout>
        <c:manualLayout>
          <c:xMode val="edge"/>
          <c:yMode val="edge"/>
          <c:x val="0.64219704244286546"/>
          <c:y val="0.16159780589224099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2010-03-21'!$A$3:$A$35</c:f>
              <c:numCache>
                <c:formatCode>0.00</c:formatCode>
                <c:ptCount val="33"/>
                <c:pt idx="0">
                  <c:v>0</c:v>
                </c:pt>
                <c:pt idx="1">
                  <c:v>3</c:v>
                </c:pt>
                <c:pt idx="2">
                  <c:v>3.6</c:v>
                </c:pt>
                <c:pt idx="3">
                  <c:v>6.6</c:v>
                </c:pt>
                <c:pt idx="4">
                  <c:v>6.6</c:v>
                </c:pt>
                <c:pt idx="5">
                  <c:v>9.6</c:v>
                </c:pt>
                <c:pt idx="6">
                  <c:v>13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  <c:pt idx="17">
                  <c:v>25</c:v>
                </c:pt>
                <c:pt idx="18">
                  <c:v>26</c:v>
                </c:pt>
                <c:pt idx="19">
                  <c:v>27</c:v>
                </c:pt>
                <c:pt idx="20">
                  <c:v>27</c:v>
                </c:pt>
                <c:pt idx="21">
                  <c:v>28.7</c:v>
                </c:pt>
              </c:numCache>
            </c:numRef>
          </c:xVal>
          <c:yVal>
            <c:numRef>
              <c:f>'Fecha 2010-03-21'!$B$3:$B$35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791.57</c:v>
                </c:pt>
                <c:pt idx="2">
                  <c:v>791.04</c:v>
                </c:pt>
                <c:pt idx="3">
                  <c:v>790.35</c:v>
                </c:pt>
                <c:pt idx="4">
                  <c:v>789.09</c:v>
                </c:pt>
                <c:pt idx="5">
                  <c:v>788.21</c:v>
                </c:pt>
                <c:pt idx="6">
                  <c:v>786.81</c:v>
                </c:pt>
                <c:pt idx="7">
                  <c:v>786.53</c:v>
                </c:pt>
                <c:pt idx="8">
                  <c:v>786.51</c:v>
                </c:pt>
                <c:pt idx="9">
                  <c:v>786.4</c:v>
                </c:pt>
                <c:pt idx="10">
                  <c:v>786.11</c:v>
                </c:pt>
                <c:pt idx="11">
                  <c:v>785.91</c:v>
                </c:pt>
                <c:pt idx="12">
                  <c:v>785.69</c:v>
                </c:pt>
                <c:pt idx="13">
                  <c:v>785.61</c:v>
                </c:pt>
                <c:pt idx="14">
                  <c:v>785.51</c:v>
                </c:pt>
                <c:pt idx="15">
                  <c:v>785.47</c:v>
                </c:pt>
                <c:pt idx="16">
                  <c:v>785.36</c:v>
                </c:pt>
                <c:pt idx="17">
                  <c:v>785.31</c:v>
                </c:pt>
                <c:pt idx="18">
                  <c:v>785.05</c:v>
                </c:pt>
                <c:pt idx="19">
                  <c:v>786.51</c:v>
                </c:pt>
                <c:pt idx="20">
                  <c:v>786.81</c:v>
                </c:pt>
                <c:pt idx="21">
                  <c:v>791.21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2DC-40F6-906C-58384E30FA0D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2010-03-21'!$A$40:$A$41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2010-03-21'!$B$40:$B$41</c:f>
              <c:numCache>
                <c:formatCode>0.000</c:formatCode>
                <c:ptCount val="2"/>
                <c:pt idx="0">
                  <c:v>788.82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2DC-40F6-906C-58384E30FA0D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2010-03-21'!$A$38:$A$39</c:f>
              <c:numCache>
                <c:formatCode>0.00</c:formatCode>
                <c:ptCount val="2"/>
                <c:pt idx="0">
                  <c:v>25.8</c:v>
                </c:pt>
                <c:pt idx="1">
                  <c:v>25.8</c:v>
                </c:pt>
              </c:numCache>
            </c:numRef>
          </c:xVal>
          <c:yVal>
            <c:numRef>
              <c:f>'Fecha 2010-03-21'!$B$38:$B$39</c:f>
              <c:numCache>
                <c:formatCode>0.000</c:formatCode>
                <c:ptCount val="2"/>
                <c:pt idx="0">
                  <c:v>786.39</c:v>
                </c:pt>
                <c:pt idx="1">
                  <c:v>789.39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2DC-40F6-906C-58384E30FA0D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2010-03-21'!$A$36:$A$37</c:f>
              <c:numCache>
                <c:formatCode>0.00</c:formatCode>
                <c:ptCount val="2"/>
                <c:pt idx="0">
                  <c:v>13</c:v>
                </c:pt>
                <c:pt idx="1">
                  <c:v>27</c:v>
                </c:pt>
              </c:numCache>
            </c:numRef>
          </c:xVal>
          <c:yVal>
            <c:numRef>
              <c:f>'Fecha 2010-03-21'!$B$36:$B$37</c:f>
              <c:numCache>
                <c:formatCode>0.000</c:formatCode>
                <c:ptCount val="2"/>
                <c:pt idx="0">
                  <c:v>786.81</c:v>
                </c:pt>
                <c:pt idx="1">
                  <c:v>786.81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2DC-40F6-906C-58384E30FA0D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2010-03-21'!$A$42:$A$43</c:f>
              <c:numCache>
                <c:formatCode>0.00</c:formatCode>
                <c:ptCount val="2"/>
                <c:pt idx="0">
                  <c:v>1.2</c:v>
                </c:pt>
                <c:pt idx="1">
                  <c:v>29.2</c:v>
                </c:pt>
              </c:numCache>
            </c:numRef>
          </c:xVal>
          <c:yVal>
            <c:numRef>
              <c:f>'Fecha 2010-03-21'!$B$42:$B$43</c:f>
              <c:numCache>
                <c:formatCode>0.000</c:formatCode>
                <c:ptCount val="2"/>
                <c:pt idx="0">
                  <c:v>793.58</c:v>
                </c:pt>
                <c:pt idx="1">
                  <c:v>793.94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2DC-40F6-906C-58384E30F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4744"/>
        <c:axId val="224076312"/>
      </c:scatterChart>
      <c:valAx>
        <c:axId val="224074744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6312"/>
        <c:crossesAt val="89"/>
        <c:crossBetween val="midCat"/>
        <c:majorUnit val="5"/>
        <c:minorUnit val="2.5"/>
      </c:valAx>
      <c:valAx>
        <c:axId val="224076312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474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VERGARA
Dibujó:           PALACIOS
Revisó:    
 Fecha:  2010-05-19
 IDEAM - Area Operativa No. 04</a:t>
            </a:r>
          </a:p>
        </c:rich>
      </c:tx>
      <c:layout>
        <c:manualLayout>
          <c:xMode val="edge"/>
          <c:yMode val="edge"/>
          <c:x val="0.64303764384372053"/>
          <c:y val="0.16599498658173345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2010-05-19'!$A$3:$A$35</c:f>
              <c:numCache>
                <c:formatCode>0.00</c:formatCode>
                <c:ptCount val="33"/>
                <c:pt idx="0">
                  <c:v>0</c:v>
                </c:pt>
                <c:pt idx="1">
                  <c:v>5</c:v>
                </c:pt>
                <c:pt idx="2">
                  <c:v>6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9</c:v>
                </c:pt>
                <c:pt idx="7">
                  <c:v>13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26.8</c:v>
                </c:pt>
                <c:pt idx="21">
                  <c:v>26.8</c:v>
                </c:pt>
                <c:pt idx="22">
                  <c:v>27</c:v>
                </c:pt>
                <c:pt idx="23">
                  <c:v>29</c:v>
                </c:pt>
              </c:numCache>
            </c:numRef>
          </c:xVal>
          <c:yVal>
            <c:numRef>
              <c:f>'Fecha 2010-05-19'!$B$3:$B$35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790.6</c:v>
                </c:pt>
                <c:pt idx="2">
                  <c:v>790.3</c:v>
                </c:pt>
                <c:pt idx="3">
                  <c:v>789</c:v>
                </c:pt>
                <c:pt idx="4">
                  <c:v>788.87</c:v>
                </c:pt>
                <c:pt idx="5">
                  <c:v>788.07</c:v>
                </c:pt>
                <c:pt idx="6">
                  <c:v>787.57</c:v>
                </c:pt>
                <c:pt idx="7">
                  <c:v>787.16</c:v>
                </c:pt>
                <c:pt idx="8">
                  <c:v>786.76</c:v>
                </c:pt>
                <c:pt idx="9">
                  <c:v>786.66</c:v>
                </c:pt>
                <c:pt idx="10">
                  <c:v>786.52</c:v>
                </c:pt>
                <c:pt idx="11">
                  <c:v>786.46</c:v>
                </c:pt>
                <c:pt idx="12">
                  <c:v>786.41</c:v>
                </c:pt>
                <c:pt idx="13">
                  <c:v>786.25</c:v>
                </c:pt>
                <c:pt idx="14">
                  <c:v>786.07</c:v>
                </c:pt>
                <c:pt idx="15">
                  <c:v>785.86</c:v>
                </c:pt>
                <c:pt idx="16">
                  <c:v>785.71</c:v>
                </c:pt>
                <c:pt idx="17">
                  <c:v>785.71</c:v>
                </c:pt>
                <c:pt idx="18">
                  <c:v>785.41</c:v>
                </c:pt>
                <c:pt idx="19">
                  <c:v>785.35</c:v>
                </c:pt>
                <c:pt idx="20">
                  <c:v>785.61</c:v>
                </c:pt>
                <c:pt idx="21">
                  <c:v>787.16</c:v>
                </c:pt>
                <c:pt idx="22">
                  <c:v>787.92</c:v>
                </c:pt>
                <c:pt idx="23">
                  <c:v>791.08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A7B-40EE-A7A9-8412DDE3E7F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2010-05-19'!$A$40:$A$41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'Fecha 2010-05-19'!$B$40:$B$41</c:f>
              <c:numCache>
                <c:formatCode>0.000</c:formatCode>
                <c:ptCount val="2"/>
                <c:pt idx="0">
                  <c:v>788.85299999999995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A7B-40EE-A7A9-8412DDE3E7F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2010-05-19'!$A$38:$A$39</c:f>
              <c:numCache>
                <c:formatCode>0.00</c:formatCode>
                <c:ptCount val="2"/>
                <c:pt idx="0">
                  <c:v>25.8</c:v>
                </c:pt>
                <c:pt idx="1">
                  <c:v>25.8</c:v>
                </c:pt>
              </c:numCache>
            </c:numRef>
          </c:xVal>
          <c:yVal>
            <c:numRef>
              <c:f>'Fecha 2010-05-19'!$B$38:$B$39</c:f>
              <c:numCache>
                <c:formatCode>0.000</c:formatCode>
                <c:ptCount val="2"/>
                <c:pt idx="0">
                  <c:v>786.43</c:v>
                </c:pt>
                <c:pt idx="1">
                  <c:v>788.43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A7B-40EE-A7A9-8412DDE3E7F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2010-05-19'!$A$36:$A$37</c:f>
              <c:numCache>
                <c:formatCode>0.00</c:formatCode>
                <c:ptCount val="2"/>
                <c:pt idx="0">
                  <c:v>13</c:v>
                </c:pt>
                <c:pt idx="1">
                  <c:v>26.8</c:v>
                </c:pt>
              </c:numCache>
            </c:numRef>
          </c:xVal>
          <c:yVal>
            <c:numRef>
              <c:f>'Fecha 2010-05-19'!$B$36:$B$37</c:f>
              <c:numCache>
                <c:formatCode>0.000</c:formatCode>
                <c:ptCount val="2"/>
                <c:pt idx="0">
                  <c:v>787.16</c:v>
                </c:pt>
                <c:pt idx="1">
                  <c:v>787.16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A7B-40EE-A7A9-8412DDE3E7F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2010-05-19'!$A$42:$A$43</c:f>
              <c:numCache>
                <c:formatCode>0.00</c:formatCode>
                <c:ptCount val="2"/>
                <c:pt idx="0">
                  <c:v>1.2</c:v>
                </c:pt>
                <c:pt idx="1">
                  <c:v>29.2</c:v>
                </c:pt>
              </c:numCache>
            </c:numRef>
          </c:xVal>
          <c:yVal>
            <c:numRef>
              <c:f>'Fecha 2010-05-19'!$B$42:$B$43</c:f>
              <c:numCache>
                <c:formatCode>0.000</c:formatCode>
                <c:ptCount val="2"/>
                <c:pt idx="0">
                  <c:v>793.58</c:v>
                </c:pt>
                <c:pt idx="1">
                  <c:v>793.94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A7B-40EE-A7A9-8412DDE3E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6704"/>
        <c:axId val="224077096"/>
      </c:scatterChart>
      <c:valAx>
        <c:axId val="224076704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7096"/>
        <c:crossesAt val="89"/>
        <c:crossBetween val="midCat"/>
        <c:majorUnit val="5"/>
        <c:minorUnit val="2.5"/>
      </c:valAx>
      <c:valAx>
        <c:axId val="224077096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670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RAMIREZ
Dibujó:           PALACIOS
Revisó:    
 Fecha:  2010-10-08
 IDEAM - Area Operativa No. 04</a:t>
            </a:r>
          </a:p>
        </c:rich>
      </c:tx>
      <c:layout>
        <c:manualLayout>
          <c:xMode val="edge"/>
          <c:yMode val="edge"/>
          <c:x val="0.64303764384372053"/>
          <c:y val="0.16599498658173345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2010-10-08'!$A$3:$A$35</c:f>
              <c:numCache>
                <c:formatCode>0.00</c:formatCode>
                <c:ptCount val="33"/>
                <c:pt idx="0">
                  <c:v>0</c:v>
                </c:pt>
                <c:pt idx="1">
                  <c:v>1.5</c:v>
                </c:pt>
                <c:pt idx="2">
                  <c:v>2.8</c:v>
                </c:pt>
                <c:pt idx="3">
                  <c:v>3.1</c:v>
                </c:pt>
                <c:pt idx="4">
                  <c:v>5.0999999999999996</c:v>
                </c:pt>
                <c:pt idx="5">
                  <c:v>6.6</c:v>
                </c:pt>
                <c:pt idx="6">
                  <c:v>6.6</c:v>
                </c:pt>
                <c:pt idx="7">
                  <c:v>8.6</c:v>
                </c:pt>
                <c:pt idx="8">
                  <c:v>8.6</c:v>
                </c:pt>
                <c:pt idx="9">
                  <c:v>11.1</c:v>
                </c:pt>
                <c:pt idx="10">
                  <c:v>13.1</c:v>
                </c:pt>
                <c:pt idx="11">
                  <c:v>14.6</c:v>
                </c:pt>
                <c:pt idx="12">
                  <c:v>16.100000000000001</c:v>
                </c:pt>
                <c:pt idx="13">
                  <c:v>17.100000000000001</c:v>
                </c:pt>
                <c:pt idx="14">
                  <c:v>18.100000000000001</c:v>
                </c:pt>
                <c:pt idx="15">
                  <c:v>19.100000000000001</c:v>
                </c:pt>
                <c:pt idx="16">
                  <c:v>20.100000000000001</c:v>
                </c:pt>
                <c:pt idx="17">
                  <c:v>21.1</c:v>
                </c:pt>
                <c:pt idx="18">
                  <c:v>22.1</c:v>
                </c:pt>
                <c:pt idx="19">
                  <c:v>23.1</c:v>
                </c:pt>
                <c:pt idx="20">
                  <c:v>24.1</c:v>
                </c:pt>
                <c:pt idx="21">
                  <c:v>25.1</c:v>
                </c:pt>
                <c:pt idx="22">
                  <c:v>26.1</c:v>
                </c:pt>
                <c:pt idx="23">
                  <c:v>27.1</c:v>
                </c:pt>
                <c:pt idx="24">
                  <c:v>27.1</c:v>
                </c:pt>
                <c:pt idx="25">
                  <c:v>27.1</c:v>
                </c:pt>
              </c:numCache>
            </c:numRef>
          </c:xVal>
          <c:yVal>
            <c:numRef>
              <c:f>'Fecha 2010-10-08'!$B$3:$B$35</c:f>
              <c:numCache>
                <c:formatCode>0.000</c:formatCode>
                <c:ptCount val="33"/>
                <c:pt idx="0">
                  <c:v>791.85</c:v>
                </c:pt>
                <c:pt idx="1">
                  <c:v>793.1</c:v>
                </c:pt>
                <c:pt idx="2">
                  <c:v>792.37</c:v>
                </c:pt>
                <c:pt idx="3">
                  <c:v>791.42</c:v>
                </c:pt>
                <c:pt idx="4">
                  <c:v>790.65</c:v>
                </c:pt>
                <c:pt idx="5">
                  <c:v>789.71</c:v>
                </c:pt>
                <c:pt idx="6">
                  <c:v>788.83</c:v>
                </c:pt>
                <c:pt idx="7">
                  <c:v>788.48</c:v>
                </c:pt>
                <c:pt idx="8">
                  <c:v>787.48</c:v>
                </c:pt>
                <c:pt idx="9">
                  <c:v>787.2</c:v>
                </c:pt>
                <c:pt idx="10">
                  <c:v>786.7</c:v>
                </c:pt>
                <c:pt idx="11">
                  <c:v>786.6</c:v>
                </c:pt>
                <c:pt idx="12">
                  <c:v>786.39</c:v>
                </c:pt>
                <c:pt idx="13">
                  <c:v>786.25</c:v>
                </c:pt>
                <c:pt idx="14">
                  <c:v>786.2</c:v>
                </c:pt>
                <c:pt idx="15">
                  <c:v>785.99</c:v>
                </c:pt>
                <c:pt idx="16">
                  <c:v>785.85</c:v>
                </c:pt>
                <c:pt idx="17">
                  <c:v>785.65</c:v>
                </c:pt>
                <c:pt idx="18">
                  <c:v>785.6</c:v>
                </c:pt>
                <c:pt idx="19">
                  <c:v>785.35</c:v>
                </c:pt>
                <c:pt idx="20">
                  <c:v>785.12</c:v>
                </c:pt>
                <c:pt idx="21">
                  <c:v>785.05</c:v>
                </c:pt>
                <c:pt idx="22">
                  <c:v>784.95</c:v>
                </c:pt>
                <c:pt idx="23">
                  <c:v>785.7</c:v>
                </c:pt>
                <c:pt idx="24">
                  <c:v>787.2</c:v>
                </c:pt>
                <c:pt idx="25">
                  <c:v>790.07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44-42E2-882F-C2CE8030A17F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2010-10-08'!$A$40:$A$41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2010-10-08'!$B$40:$B$41</c:f>
              <c:numCache>
                <c:formatCode>0.000</c:formatCode>
                <c:ptCount val="2"/>
                <c:pt idx="0">
                  <c:v>788.85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144-42E2-882F-C2CE8030A17F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2010-10-08'!$A$38:$A$39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2010-10-08'!$B$38:$B$39</c:f>
              <c:numCache>
                <c:formatCode>0.000</c:formatCode>
                <c:ptCount val="2"/>
                <c:pt idx="0">
                  <c:v>786.41600000000005</c:v>
                </c:pt>
                <c:pt idx="1">
                  <c:v>788.41600000000005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144-42E2-882F-C2CE8030A17F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2010-10-08'!$A$36:$A$37</c:f>
              <c:numCache>
                <c:formatCode>0.00</c:formatCode>
                <c:ptCount val="2"/>
                <c:pt idx="0">
                  <c:v>11.1</c:v>
                </c:pt>
                <c:pt idx="1">
                  <c:v>27.1</c:v>
                </c:pt>
              </c:numCache>
            </c:numRef>
          </c:xVal>
          <c:yVal>
            <c:numRef>
              <c:f>'Fecha 2010-10-08'!$B$36:$B$37</c:f>
              <c:numCache>
                <c:formatCode>0.000</c:formatCode>
                <c:ptCount val="2"/>
                <c:pt idx="0">
                  <c:v>787.2</c:v>
                </c:pt>
                <c:pt idx="1">
                  <c:v>787.2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144-42E2-882F-C2CE8030A17F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2010-10-08'!$A$42:$A$43</c:f>
              <c:numCache>
                <c:formatCode>0.00</c:formatCode>
                <c:ptCount val="2"/>
                <c:pt idx="0">
                  <c:v>1.5</c:v>
                </c:pt>
                <c:pt idx="1">
                  <c:v>27.1</c:v>
                </c:pt>
              </c:numCache>
            </c:numRef>
          </c:xVal>
          <c:yVal>
            <c:numRef>
              <c:f>'Fecha 2010-10-08'!$B$42:$B$43</c:f>
              <c:numCache>
                <c:formatCode>0.000</c:formatCode>
                <c:ptCount val="2"/>
                <c:pt idx="0">
                  <c:v>793.1</c:v>
                </c:pt>
                <c:pt idx="1">
                  <c:v>790.07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144-42E2-882F-C2CE8030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7488"/>
        <c:axId val="224077880"/>
      </c:scatterChart>
      <c:valAx>
        <c:axId val="224077488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7880"/>
        <c:crossesAt val="89"/>
        <c:crossBetween val="midCat"/>
        <c:majorUnit val="5"/>
        <c:minorUnit val="2.5"/>
      </c:valAx>
      <c:valAx>
        <c:axId val="224077880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748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VERGARA
Dibujó:      JIMENEZ SANZ
Revisó:    
 Fecha:  2011-03-11
 IDEAM - Area Operativa No. 04</a:t>
            </a:r>
          </a:p>
        </c:rich>
      </c:tx>
      <c:layout>
        <c:manualLayout>
          <c:xMode val="edge"/>
          <c:yMode val="edge"/>
          <c:x val="0.47240147546737482"/>
          <c:y val="0.26831082980467347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2011-03-11'!$A$3:$A$35</c:f>
              <c:numCache>
                <c:formatCode>0.00</c:formatCode>
                <c:ptCount val="33"/>
                <c:pt idx="1">
                  <c:v>3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13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20.7</c:v>
                </c:pt>
                <c:pt idx="14">
                  <c:v>21.4</c:v>
                </c:pt>
                <c:pt idx="15">
                  <c:v>22.1</c:v>
                </c:pt>
                <c:pt idx="16">
                  <c:v>22.8</c:v>
                </c:pt>
                <c:pt idx="17">
                  <c:v>23.5</c:v>
                </c:pt>
                <c:pt idx="18">
                  <c:v>24.2</c:v>
                </c:pt>
                <c:pt idx="19">
                  <c:v>24.9</c:v>
                </c:pt>
                <c:pt idx="20">
                  <c:v>25.6</c:v>
                </c:pt>
                <c:pt idx="21">
                  <c:v>26.3</c:v>
                </c:pt>
                <c:pt idx="22">
                  <c:v>27.7</c:v>
                </c:pt>
                <c:pt idx="23">
                  <c:v>29</c:v>
                </c:pt>
              </c:numCache>
            </c:numRef>
          </c:xVal>
          <c:yVal>
            <c:numRef>
              <c:f>'Fecha 2011-03-11'!$B$3:$B$35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791.97</c:v>
                </c:pt>
                <c:pt idx="2">
                  <c:v>791.15</c:v>
                </c:pt>
                <c:pt idx="3">
                  <c:v>790.25</c:v>
                </c:pt>
                <c:pt idx="4">
                  <c:v>789.1</c:v>
                </c:pt>
                <c:pt idx="5">
                  <c:v>788.93</c:v>
                </c:pt>
                <c:pt idx="6">
                  <c:v>787.62</c:v>
                </c:pt>
                <c:pt idx="7">
                  <c:v>786.65</c:v>
                </c:pt>
                <c:pt idx="8">
                  <c:v>786.26</c:v>
                </c:pt>
                <c:pt idx="9">
                  <c:v>786.15</c:v>
                </c:pt>
                <c:pt idx="10">
                  <c:v>786.07</c:v>
                </c:pt>
                <c:pt idx="11">
                  <c:v>785.95</c:v>
                </c:pt>
                <c:pt idx="12">
                  <c:v>785.88</c:v>
                </c:pt>
                <c:pt idx="13">
                  <c:v>785.69</c:v>
                </c:pt>
                <c:pt idx="14">
                  <c:v>785.67</c:v>
                </c:pt>
                <c:pt idx="15">
                  <c:v>785.55</c:v>
                </c:pt>
                <c:pt idx="16">
                  <c:v>785.49</c:v>
                </c:pt>
                <c:pt idx="17">
                  <c:v>785.25</c:v>
                </c:pt>
                <c:pt idx="18">
                  <c:v>785.21</c:v>
                </c:pt>
                <c:pt idx="19">
                  <c:v>785.19</c:v>
                </c:pt>
                <c:pt idx="20">
                  <c:v>785.15</c:v>
                </c:pt>
                <c:pt idx="21">
                  <c:v>785.65</c:v>
                </c:pt>
                <c:pt idx="22">
                  <c:v>786.65</c:v>
                </c:pt>
                <c:pt idx="23">
                  <c:v>791.07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CB-40BF-89A4-5D1E8B42E176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2011-03-11'!$A$40:$A$41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2011-03-11'!$B$40:$B$41</c:f>
              <c:numCache>
                <c:formatCode>0.000</c:formatCode>
                <c:ptCount val="2"/>
                <c:pt idx="0">
                  <c:v>788.80499999999995</c:v>
                </c:pt>
                <c:pt idx="1">
                  <c:v>790.30499999999995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1CB-40BF-89A4-5D1E8B42E176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2011-03-11'!$A$38:$A$39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2011-03-11'!$B$38:$B$39</c:f>
              <c:numCache>
                <c:formatCode>0.000</c:formatCode>
                <c:ptCount val="2"/>
                <c:pt idx="0">
                  <c:v>786.36500000000001</c:v>
                </c:pt>
                <c:pt idx="1">
                  <c:v>788.36500000000001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1CB-40BF-89A4-5D1E8B42E176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2011-03-11'!$A$36:$A$37</c:f>
              <c:numCache>
                <c:formatCode>0.00</c:formatCode>
                <c:ptCount val="2"/>
                <c:pt idx="0">
                  <c:v>13</c:v>
                </c:pt>
                <c:pt idx="1">
                  <c:v>27.7</c:v>
                </c:pt>
              </c:numCache>
            </c:numRef>
          </c:xVal>
          <c:yVal>
            <c:numRef>
              <c:f>'Fecha 2011-03-11'!$B$36:$B$37</c:f>
              <c:numCache>
                <c:formatCode>0.000</c:formatCode>
                <c:ptCount val="2"/>
                <c:pt idx="0">
                  <c:v>786.65</c:v>
                </c:pt>
                <c:pt idx="1">
                  <c:v>786.65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1CB-40BF-89A4-5D1E8B42E176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lg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2011-03-11'!$A$42:$A$43</c:f>
              <c:numCache>
                <c:formatCode>0.00</c:formatCode>
                <c:ptCount val="2"/>
                <c:pt idx="0">
                  <c:v>3</c:v>
                </c:pt>
                <c:pt idx="1">
                  <c:v>29</c:v>
                </c:pt>
              </c:numCache>
            </c:numRef>
          </c:xVal>
          <c:yVal>
            <c:numRef>
              <c:f>'Fecha 2011-03-11'!$B$42:$B$43</c:f>
              <c:numCache>
                <c:formatCode>0.000</c:formatCode>
                <c:ptCount val="2"/>
                <c:pt idx="0">
                  <c:v>791.97</c:v>
                </c:pt>
                <c:pt idx="1">
                  <c:v>791.07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1CB-40BF-89A4-5D1E8B42E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5920"/>
        <c:axId val="325054592"/>
      </c:scatterChart>
      <c:valAx>
        <c:axId val="224075920"/>
        <c:scaling>
          <c:orientation val="minMax"/>
          <c:max val="3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404835669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4592"/>
        <c:crossesAt val="89"/>
        <c:crossBetween val="midCat"/>
        <c:majorUnit val="5"/>
        <c:minorUnit val="2.5"/>
      </c:valAx>
      <c:valAx>
        <c:axId val="325054592"/>
        <c:scaling>
          <c:orientation val="minMax"/>
          <c:max val="793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1053863475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2407592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VERGARA
Dibujó:           D.A.S.
Revisó:    
 Fecha:  2011-09-03
 IDEAM - Area Operativa No. 04</a:t>
            </a:r>
          </a:p>
        </c:rich>
      </c:tx>
      <c:layout>
        <c:manualLayout>
          <c:xMode val="edge"/>
          <c:yMode val="edge"/>
          <c:x val="0.63295078022732443"/>
          <c:y val="6.156100150402548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581E-2"/>
          <c:y val="2.5842696629213482E-2"/>
          <c:w val="0.93608112453394587"/>
          <c:h val="0.90898876404494378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2011-09-03'!$A$3:$A$35</c:f>
              <c:numCache>
                <c:formatCode>0.00</c:formatCode>
                <c:ptCount val="33"/>
                <c:pt idx="0">
                  <c:v>0</c:v>
                </c:pt>
                <c:pt idx="1">
                  <c:v>2.5</c:v>
                </c:pt>
                <c:pt idx="2">
                  <c:v>4</c:v>
                </c:pt>
                <c:pt idx="3">
                  <c:v>5.9</c:v>
                </c:pt>
                <c:pt idx="4">
                  <c:v>5.9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18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23</c:v>
                </c:pt>
                <c:pt idx="13">
                  <c:v>23.5</c:v>
                </c:pt>
                <c:pt idx="14">
                  <c:v>24</c:v>
                </c:pt>
                <c:pt idx="15">
                  <c:v>24.5</c:v>
                </c:pt>
                <c:pt idx="16">
                  <c:v>25</c:v>
                </c:pt>
                <c:pt idx="17">
                  <c:v>25.5</c:v>
                </c:pt>
                <c:pt idx="18">
                  <c:v>26</c:v>
                </c:pt>
                <c:pt idx="19">
                  <c:v>26.5</c:v>
                </c:pt>
                <c:pt idx="20">
                  <c:v>27</c:v>
                </c:pt>
                <c:pt idx="21">
                  <c:v>27.5</c:v>
                </c:pt>
                <c:pt idx="22">
                  <c:v>27.5</c:v>
                </c:pt>
                <c:pt idx="23">
                  <c:v>27.5</c:v>
                </c:pt>
                <c:pt idx="24">
                  <c:v>28.5</c:v>
                </c:pt>
                <c:pt idx="25">
                  <c:v>30.2</c:v>
                </c:pt>
                <c:pt idx="26">
                  <c:v>30.2</c:v>
                </c:pt>
              </c:numCache>
            </c:numRef>
          </c:xVal>
          <c:yVal>
            <c:numRef>
              <c:f>'Fecha 2011-09-03'!$B$3:$B$35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791.87</c:v>
                </c:pt>
                <c:pt idx="2">
                  <c:v>791.07</c:v>
                </c:pt>
                <c:pt idx="3">
                  <c:v>790.17</c:v>
                </c:pt>
                <c:pt idx="4">
                  <c:v>789.01</c:v>
                </c:pt>
                <c:pt idx="5">
                  <c:v>788.83</c:v>
                </c:pt>
                <c:pt idx="6">
                  <c:v>787.59</c:v>
                </c:pt>
                <c:pt idx="7">
                  <c:v>786.73</c:v>
                </c:pt>
                <c:pt idx="8">
                  <c:v>786.15</c:v>
                </c:pt>
                <c:pt idx="9">
                  <c:v>785.93</c:v>
                </c:pt>
                <c:pt idx="10">
                  <c:v>785.43</c:v>
                </c:pt>
                <c:pt idx="11">
                  <c:v>785.33</c:v>
                </c:pt>
                <c:pt idx="12">
                  <c:v>785.28</c:v>
                </c:pt>
                <c:pt idx="13">
                  <c:v>785.31</c:v>
                </c:pt>
                <c:pt idx="14">
                  <c:v>785.16</c:v>
                </c:pt>
                <c:pt idx="15">
                  <c:v>785.07</c:v>
                </c:pt>
                <c:pt idx="16">
                  <c:v>785.05</c:v>
                </c:pt>
                <c:pt idx="17">
                  <c:v>784.98</c:v>
                </c:pt>
                <c:pt idx="18">
                  <c:v>784.86</c:v>
                </c:pt>
                <c:pt idx="19">
                  <c:v>784.8</c:v>
                </c:pt>
                <c:pt idx="20">
                  <c:v>784.96</c:v>
                </c:pt>
                <c:pt idx="21">
                  <c:v>786.73</c:v>
                </c:pt>
                <c:pt idx="22">
                  <c:v>788.38</c:v>
                </c:pt>
                <c:pt idx="23">
                  <c:v>788.82</c:v>
                </c:pt>
                <c:pt idx="24">
                  <c:v>789.51</c:v>
                </c:pt>
                <c:pt idx="25">
                  <c:v>791.31</c:v>
                </c:pt>
                <c:pt idx="26">
                  <c:v>791.21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7B9-4973-9646-4D95DC67F728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2011-09-03'!$A$40:$A$41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2011-09-03'!$B$40:$B$41</c:f>
              <c:numCache>
                <c:formatCode>0.000</c:formatCode>
                <c:ptCount val="2"/>
                <c:pt idx="0">
                  <c:v>788.80499999999995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7B9-4973-9646-4D95DC67F728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2011-09-03'!$A$38:$A$39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2011-09-03'!$B$38:$B$39</c:f>
              <c:numCache>
                <c:formatCode>0.000</c:formatCode>
                <c:ptCount val="2"/>
                <c:pt idx="0">
                  <c:v>786.36500000000001</c:v>
                </c:pt>
                <c:pt idx="1">
                  <c:v>788.41600000000005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B9-4973-9646-4D95DC67F728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2011-09-03'!$A$36:$A$37</c:f>
              <c:numCache>
                <c:formatCode>0.00</c:formatCode>
                <c:ptCount val="2"/>
                <c:pt idx="0">
                  <c:v>15</c:v>
                </c:pt>
                <c:pt idx="1">
                  <c:v>27.5</c:v>
                </c:pt>
              </c:numCache>
            </c:numRef>
          </c:xVal>
          <c:yVal>
            <c:numRef>
              <c:f>'Fecha 2011-09-03'!$B$36:$B$37</c:f>
              <c:numCache>
                <c:formatCode>0.000</c:formatCode>
                <c:ptCount val="2"/>
                <c:pt idx="0">
                  <c:v>786.73</c:v>
                </c:pt>
                <c:pt idx="1">
                  <c:v>786.73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B9-4973-9646-4D95DC67F728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2011-09-03'!$A$42:$A$43</c:f>
              <c:numCache>
                <c:formatCode>0.00</c:formatCode>
                <c:ptCount val="2"/>
                <c:pt idx="0">
                  <c:v>1.5</c:v>
                </c:pt>
                <c:pt idx="1">
                  <c:v>27.1</c:v>
                </c:pt>
              </c:numCache>
            </c:numRef>
          </c:xVal>
          <c:yVal>
            <c:numRef>
              <c:f>'Fecha 2011-09-03'!$B$42:$B$43</c:f>
              <c:numCache>
                <c:formatCode>0.000</c:formatCode>
                <c:ptCount val="2"/>
                <c:pt idx="0">
                  <c:v>793.1</c:v>
                </c:pt>
                <c:pt idx="1">
                  <c:v>790.07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7B9-4973-9646-4D95DC67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4984"/>
        <c:axId val="325056160"/>
      </c:scatterChart>
      <c:valAx>
        <c:axId val="325054984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6160"/>
        <c:crossesAt val="89"/>
        <c:crossBetween val="midCat"/>
        <c:majorUnit val="5"/>
        <c:minorUnit val="2.5"/>
      </c:valAx>
      <c:valAx>
        <c:axId val="325056160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4984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" r="0.75" t="1" header="0.511811024" footer="0.511811024"/>
    <c:pageSetup orientation="landscape" horizontalDpi="300" verticalDpi="3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VERGARA
Dibujó:          VERGARA
Revisó:    
 Fecha:  2011-12-02
 IDEAM - Area Operativa No. 04</a:t>
            </a:r>
          </a:p>
        </c:rich>
      </c:tx>
      <c:layout>
        <c:manualLayout>
          <c:xMode val="edge"/>
          <c:yMode val="edge"/>
          <c:x val="0.63295078022732443"/>
          <c:y val="6.156100150402548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2011-12-02'!$A$3:$A$27</c:f>
              <c:numCache>
                <c:formatCode>0.00</c:formatCode>
                <c:ptCount val="25"/>
                <c:pt idx="0">
                  <c:v>0</c:v>
                </c:pt>
                <c:pt idx="1">
                  <c:v>2.5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13</c:v>
                </c:pt>
                <c:pt idx="9">
                  <c:v>20</c:v>
                </c:pt>
                <c:pt idx="10">
                  <c:v>20.8</c:v>
                </c:pt>
                <c:pt idx="11">
                  <c:v>21.6</c:v>
                </c:pt>
                <c:pt idx="12">
                  <c:v>22.4</c:v>
                </c:pt>
                <c:pt idx="13">
                  <c:v>23.2</c:v>
                </c:pt>
                <c:pt idx="14">
                  <c:v>24</c:v>
                </c:pt>
                <c:pt idx="15">
                  <c:v>24.8</c:v>
                </c:pt>
                <c:pt idx="16">
                  <c:v>25.6</c:v>
                </c:pt>
                <c:pt idx="17">
                  <c:v>26.4</c:v>
                </c:pt>
                <c:pt idx="18">
                  <c:v>27</c:v>
                </c:pt>
                <c:pt idx="19">
                  <c:v>27</c:v>
                </c:pt>
                <c:pt idx="20">
                  <c:v>27.5</c:v>
                </c:pt>
                <c:pt idx="21">
                  <c:v>27.5</c:v>
                </c:pt>
                <c:pt idx="22">
                  <c:v>27.5</c:v>
                </c:pt>
                <c:pt idx="23">
                  <c:v>27.5</c:v>
                </c:pt>
                <c:pt idx="24">
                  <c:v>29.3</c:v>
                </c:pt>
              </c:numCache>
            </c:numRef>
          </c:xVal>
          <c:yVal>
            <c:numRef>
              <c:f>'Fecha 2011-12-02'!$B$3:$B$27</c:f>
              <c:numCache>
                <c:formatCode>0.000</c:formatCode>
                <c:ptCount val="25"/>
                <c:pt idx="0">
                  <c:v>791.2</c:v>
                </c:pt>
                <c:pt idx="1">
                  <c:v>791.8</c:v>
                </c:pt>
                <c:pt idx="2">
                  <c:v>791</c:v>
                </c:pt>
                <c:pt idx="3">
                  <c:v>790.17</c:v>
                </c:pt>
                <c:pt idx="4">
                  <c:v>789.01</c:v>
                </c:pt>
                <c:pt idx="5">
                  <c:v>788.83</c:v>
                </c:pt>
                <c:pt idx="6">
                  <c:v>788.9</c:v>
                </c:pt>
                <c:pt idx="7">
                  <c:v>787.59</c:v>
                </c:pt>
                <c:pt idx="8">
                  <c:v>786.73</c:v>
                </c:pt>
                <c:pt idx="9">
                  <c:v>785.56</c:v>
                </c:pt>
                <c:pt idx="10">
                  <c:v>785.73</c:v>
                </c:pt>
                <c:pt idx="11">
                  <c:v>785.53</c:v>
                </c:pt>
                <c:pt idx="12">
                  <c:v>785.53</c:v>
                </c:pt>
                <c:pt idx="13">
                  <c:v>785.39</c:v>
                </c:pt>
                <c:pt idx="14">
                  <c:v>785.38</c:v>
                </c:pt>
                <c:pt idx="15">
                  <c:v>785.31</c:v>
                </c:pt>
                <c:pt idx="16">
                  <c:v>785.21</c:v>
                </c:pt>
                <c:pt idx="17">
                  <c:v>785.83</c:v>
                </c:pt>
                <c:pt idx="18">
                  <c:v>786.33</c:v>
                </c:pt>
                <c:pt idx="19">
                  <c:v>786.73</c:v>
                </c:pt>
                <c:pt idx="20">
                  <c:v>789.38</c:v>
                </c:pt>
                <c:pt idx="21">
                  <c:v>788.88</c:v>
                </c:pt>
                <c:pt idx="22">
                  <c:v>789.32</c:v>
                </c:pt>
                <c:pt idx="23">
                  <c:v>788.5</c:v>
                </c:pt>
                <c:pt idx="24">
                  <c:v>791.3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BBA-41FE-B142-E3F4FA936C62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2011-12-02'!$A$40:$A$41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2011-12-02'!$B$40:$B$41</c:f>
              <c:numCache>
                <c:formatCode>0.000</c:formatCode>
                <c:ptCount val="2"/>
                <c:pt idx="0">
                  <c:v>788.80499999999995</c:v>
                </c:pt>
                <c:pt idx="1">
                  <c:v>790.37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BBA-41FE-B142-E3F4FA936C62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2011-12-02'!$A$38:$A$39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2011-12-02'!$B$38:$B$39</c:f>
              <c:numCache>
                <c:formatCode>0.000</c:formatCode>
                <c:ptCount val="2"/>
                <c:pt idx="0">
                  <c:v>786.36500000000001</c:v>
                </c:pt>
                <c:pt idx="1">
                  <c:v>788.41600000000005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BBA-41FE-B142-E3F4FA936C62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2011-12-02'!$A$36:$A$37</c:f>
              <c:numCache>
                <c:formatCode>0.00</c:formatCode>
                <c:ptCount val="2"/>
                <c:pt idx="0">
                  <c:v>13</c:v>
                </c:pt>
                <c:pt idx="1">
                  <c:v>27</c:v>
                </c:pt>
              </c:numCache>
            </c:numRef>
          </c:xVal>
          <c:yVal>
            <c:numRef>
              <c:f>'Fecha 2011-12-02'!$B$36:$B$37</c:f>
              <c:numCache>
                <c:formatCode>0.000</c:formatCode>
                <c:ptCount val="2"/>
                <c:pt idx="0">
                  <c:v>786.73400000000004</c:v>
                </c:pt>
                <c:pt idx="1">
                  <c:v>786.721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BBA-41FE-B142-E3F4FA936C62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2011-12-02'!$A$42:$A$43</c:f>
              <c:numCache>
                <c:formatCode>0.00</c:formatCode>
                <c:ptCount val="2"/>
                <c:pt idx="0">
                  <c:v>2.5</c:v>
                </c:pt>
                <c:pt idx="1">
                  <c:v>29.3</c:v>
                </c:pt>
              </c:numCache>
            </c:numRef>
          </c:xVal>
          <c:yVal>
            <c:numRef>
              <c:f>'Fecha 2011-12-02'!$B$42:$B$43</c:f>
              <c:numCache>
                <c:formatCode>0.000</c:formatCode>
                <c:ptCount val="2"/>
                <c:pt idx="0">
                  <c:v>791.8</c:v>
                </c:pt>
                <c:pt idx="1">
                  <c:v>791.3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BBA-41FE-B142-E3F4FA936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2632"/>
        <c:axId val="325054200"/>
      </c:scatterChart>
      <c:valAx>
        <c:axId val="325052632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4200"/>
        <c:crossesAt val="89"/>
        <c:crossBetween val="midCat"/>
        <c:majorUnit val="5"/>
        <c:minorUnit val="2.5"/>
      </c:valAx>
      <c:valAx>
        <c:axId val="325054200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263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    PERFIL TRANSVERSAL
ESTACION:    ROSARIO   
CORRIENTE:  CARAÑO
Código:           4403704
Levantó:       VERGARA
Dibujó:          J</a:t>
            </a:r>
            <a:r>
              <a:rPr lang="es-ES" baseline="0"/>
              <a:t> OCAMPO</a:t>
            </a:r>
            <a:r>
              <a:rPr lang="es-ES"/>
              <a:t>
Revisó:    
 Fecha:  2013-06-13
 IDEAM - Area Operativa No. 04</a:t>
            </a:r>
          </a:p>
        </c:rich>
      </c:tx>
      <c:layout>
        <c:manualLayout>
          <c:xMode val="edge"/>
          <c:yMode val="edge"/>
          <c:x val="0.63295078022732443"/>
          <c:y val="6.156100150402548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92E-2"/>
          <c:y val="2.5842696629213506E-2"/>
          <c:w val="0.93608112453394587"/>
          <c:h val="0.90898876404494333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2013-06-13'!$A$3:$A$35</c:f>
              <c:numCache>
                <c:formatCode>0.00</c:formatCode>
                <c:ptCount val="33"/>
                <c:pt idx="0">
                  <c:v>0</c:v>
                </c:pt>
                <c:pt idx="1">
                  <c:v>2.5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9</c:v>
                </c:pt>
                <c:pt idx="7">
                  <c:v>12.5</c:v>
                </c:pt>
                <c:pt idx="8">
                  <c:v>12.5</c:v>
                </c:pt>
                <c:pt idx="9">
                  <c:v>14</c:v>
                </c:pt>
                <c:pt idx="10">
                  <c:v>14.6</c:v>
                </c:pt>
                <c:pt idx="11">
                  <c:v>16.600000000000001</c:v>
                </c:pt>
                <c:pt idx="12">
                  <c:v>17.399999999999999</c:v>
                </c:pt>
                <c:pt idx="13">
                  <c:v>18</c:v>
                </c:pt>
                <c:pt idx="14">
                  <c:v>20</c:v>
                </c:pt>
                <c:pt idx="15">
                  <c:v>20.8</c:v>
                </c:pt>
                <c:pt idx="16">
                  <c:v>21.6</c:v>
                </c:pt>
                <c:pt idx="17">
                  <c:v>22.4</c:v>
                </c:pt>
                <c:pt idx="18">
                  <c:v>23.2</c:v>
                </c:pt>
                <c:pt idx="19">
                  <c:v>24</c:v>
                </c:pt>
                <c:pt idx="20">
                  <c:v>24.8</c:v>
                </c:pt>
                <c:pt idx="21">
                  <c:v>25.6</c:v>
                </c:pt>
                <c:pt idx="22">
                  <c:v>26.4</c:v>
                </c:pt>
                <c:pt idx="23">
                  <c:v>27</c:v>
                </c:pt>
                <c:pt idx="24">
                  <c:v>27</c:v>
                </c:pt>
                <c:pt idx="25">
                  <c:v>27.5</c:v>
                </c:pt>
                <c:pt idx="26">
                  <c:v>29.5</c:v>
                </c:pt>
                <c:pt idx="27">
                  <c:v>29.5</c:v>
                </c:pt>
              </c:numCache>
            </c:numRef>
          </c:xVal>
          <c:yVal>
            <c:numRef>
              <c:f>'Fecha 2013-06-13'!$B$3:$B$35</c:f>
              <c:numCache>
                <c:formatCode>0.000</c:formatCode>
                <c:ptCount val="33"/>
                <c:pt idx="0">
                  <c:v>791.2</c:v>
                </c:pt>
                <c:pt idx="1">
                  <c:v>791.8</c:v>
                </c:pt>
                <c:pt idx="2">
                  <c:v>791.02</c:v>
                </c:pt>
                <c:pt idx="3">
                  <c:v>790.21</c:v>
                </c:pt>
                <c:pt idx="4">
                  <c:v>789.02</c:v>
                </c:pt>
                <c:pt idx="5">
                  <c:v>788.83</c:v>
                </c:pt>
                <c:pt idx="6">
                  <c:v>787.59</c:v>
                </c:pt>
                <c:pt idx="7">
                  <c:v>786.65</c:v>
                </c:pt>
                <c:pt idx="8">
                  <c:v>786.65</c:v>
                </c:pt>
                <c:pt idx="9">
                  <c:v>786.32</c:v>
                </c:pt>
                <c:pt idx="10">
                  <c:v>786.2</c:v>
                </c:pt>
                <c:pt idx="11">
                  <c:v>786.22</c:v>
                </c:pt>
                <c:pt idx="12">
                  <c:v>786.01</c:v>
                </c:pt>
                <c:pt idx="13">
                  <c:v>785.84</c:v>
                </c:pt>
                <c:pt idx="14">
                  <c:v>785.4</c:v>
                </c:pt>
                <c:pt idx="15">
                  <c:v>785.57</c:v>
                </c:pt>
                <c:pt idx="16">
                  <c:v>785.37</c:v>
                </c:pt>
                <c:pt idx="17">
                  <c:v>785.37</c:v>
                </c:pt>
                <c:pt idx="18">
                  <c:v>785.23</c:v>
                </c:pt>
                <c:pt idx="19">
                  <c:v>785.22</c:v>
                </c:pt>
                <c:pt idx="20">
                  <c:v>785.15</c:v>
                </c:pt>
                <c:pt idx="21">
                  <c:v>785.05</c:v>
                </c:pt>
                <c:pt idx="22">
                  <c:v>785.67</c:v>
                </c:pt>
                <c:pt idx="23">
                  <c:v>786.25</c:v>
                </c:pt>
                <c:pt idx="24">
                  <c:v>786.65</c:v>
                </c:pt>
                <c:pt idx="25">
                  <c:v>788.81</c:v>
                </c:pt>
                <c:pt idx="26">
                  <c:v>791.53</c:v>
                </c:pt>
                <c:pt idx="27">
                  <c:v>791.2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E02-4C37-900D-B5722300B26E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2013-06-13'!$A$40:$A$41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2013-06-13'!$B$40:$B$41</c:f>
              <c:numCache>
                <c:formatCode>0.000</c:formatCode>
                <c:ptCount val="2"/>
                <c:pt idx="0">
                  <c:v>788.80700000000002</c:v>
                </c:pt>
                <c:pt idx="1">
                  <c:v>790.10699999999997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02-4C37-900D-B5722300B26E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2013-06-13'!$A$38:$A$39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2013-06-13'!$B$38:$B$39</c:f>
              <c:numCache>
                <c:formatCode>0.000</c:formatCode>
                <c:ptCount val="2"/>
                <c:pt idx="0">
                  <c:v>786.36300000000006</c:v>
                </c:pt>
                <c:pt idx="1">
                  <c:v>788.48299999999995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E02-4C37-900D-B5722300B26E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2013-06-13'!$A$36:$A$37</c:f>
              <c:numCache>
                <c:formatCode>0.00</c:formatCode>
                <c:ptCount val="2"/>
                <c:pt idx="0">
                  <c:v>12.5</c:v>
                </c:pt>
                <c:pt idx="1">
                  <c:v>27</c:v>
                </c:pt>
              </c:numCache>
            </c:numRef>
          </c:xVal>
          <c:yVal>
            <c:numRef>
              <c:f>'Fecha 2013-06-13'!$B$36:$B$37</c:f>
              <c:numCache>
                <c:formatCode>0.000</c:formatCode>
                <c:ptCount val="2"/>
                <c:pt idx="0">
                  <c:v>786.65</c:v>
                </c:pt>
                <c:pt idx="1">
                  <c:v>786.65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E02-4C37-900D-B5722300B26E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2013-06-13'!$A$42:$A$43</c:f>
              <c:numCache>
                <c:formatCode>0.00</c:formatCode>
                <c:ptCount val="2"/>
                <c:pt idx="0">
                  <c:v>2.5</c:v>
                </c:pt>
                <c:pt idx="1">
                  <c:v>29.5</c:v>
                </c:pt>
              </c:numCache>
            </c:numRef>
          </c:xVal>
          <c:yVal>
            <c:numRef>
              <c:f>'Fecha 2013-06-13'!$B$42:$B$43</c:f>
              <c:numCache>
                <c:formatCode>0.000</c:formatCode>
                <c:ptCount val="2"/>
                <c:pt idx="0">
                  <c:v>791.8</c:v>
                </c:pt>
                <c:pt idx="1">
                  <c:v>791.53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E02-4C37-900D-B5722300B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5055768"/>
        <c:axId val="325053808"/>
      </c:scatterChart>
      <c:valAx>
        <c:axId val="325055768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3808"/>
        <c:crossesAt val="89"/>
        <c:crossBetween val="midCat"/>
        <c:majorUnit val="5"/>
        <c:minorUnit val="2.5"/>
      </c:valAx>
      <c:valAx>
        <c:axId val="325053808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505576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44" r="0.75000000000000044" t="1" header="0.511811024" footer="0.511811024"/>
    <c:pageSetup orientation="landscape" horizontalDpi="300" verticalDpi="300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PALACIOS
Dibujó:          PALACIOS
Revisó:    
 Fecha:  2013-09-25
 IDEAM - Area Operativa No. 04</a:t>
            </a:r>
          </a:p>
        </c:rich>
      </c:tx>
      <c:layout>
        <c:manualLayout>
          <c:xMode val="edge"/>
          <c:yMode val="edge"/>
          <c:x val="0.63295078022732443"/>
          <c:y val="6.1561001504025485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2013-09-25'!$A$3:$A$27</c:f>
              <c:numCache>
                <c:formatCode>0.00</c:formatCode>
                <c:ptCount val="25"/>
                <c:pt idx="0">
                  <c:v>0</c:v>
                </c:pt>
                <c:pt idx="1">
                  <c:v>4.5</c:v>
                </c:pt>
                <c:pt idx="2">
                  <c:v>4.5</c:v>
                </c:pt>
                <c:pt idx="3">
                  <c:v>6.5</c:v>
                </c:pt>
                <c:pt idx="4">
                  <c:v>8.5</c:v>
                </c:pt>
                <c:pt idx="5">
                  <c:v>8.5</c:v>
                </c:pt>
                <c:pt idx="6">
                  <c:v>12.5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22.6</c:v>
                </c:pt>
                <c:pt idx="14">
                  <c:v>23.2</c:v>
                </c:pt>
                <c:pt idx="15">
                  <c:v>23.8</c:v>
                </c:pt>
                <c:pt idx="16">
                  <c:v>24.4</c:v>
                </c:pt>
                <c:pt idx="17">
                  <c:v>25</c:v>
                </c:pt>
                <c:pt idx="18">
                  <c:v>25.6</c:v>
                </c:pt>
                <c:pt idx="19">
                  <c:v>26.2</c:v>
                </c:pt>
                <c:pt idx="20">
                  <c:v>27</c:v>
                </c:pt>
                <c:pt idx="21">
                  <c:v>27</c:v>
                </c:pt>
                <c:pt idx="22">
                  <c:v>28</c:v>
                </c:pt>
                <c:pt idx="23">
                  <c:v>29</c:v>
                </c:pt>
              </c:numCache>
            </c:numRef>
          </c:xVal>
          <c:yVal>
            <c:numRef>
              <c:f>'Fecha 2013-09-25'!$B$3:$B$27</c:f>
              <c:numCache>
                <c:formatCode>0.000</c:formatCode>
                <c:ptCount val="25"/>
                <c:pt idx="0">
                  <c:v>791.2</c:v>
                </c:pt>
                <c:pt idx="1">
                  <c:v>790.41</c:v>
                </c:pt>
                <c:pt idx="2">
                  <c:v>789.03</c:v>
                </c:pt>
                <c:pt idx="3">
                  <c:v>788.18</c:v>
                </c:pt>
                <c:pt idx="4">
                  <c:v>788.41</c:v>
                </c:pt>
                <c:pt idx="5">
                  <c:v>787.52</c:v>
                </c:pt>
                <c:pt idx="6">
                  <c:v>786.93</c:v>
                </c:pt>
                <c:pt idx="7">
                  <c:v>786.3</c:v>
                </c:pt>
                <c:pt idx="8">
                  <c:v>786</c:v>
                </c:pt>
                <c:pt idx="9">
                  <c:v>786.03</c:v>
                </c:pt>
                <c:pt idx="10">
                  <c:v>785.64</c:v>
                </c:pt>
                <c:pt idx="11">
                  <c:v>785.43</c:v>
                </c:pt>
                <c:pt idx="12">
                  <c:v>785.43</c:v>
                </c:pt>
                <c:pt idx="13">
                  <c:v>785.4</c:v>
                </c:pt>
                <c:pt idx="14">
                  <c:v>785.17</c:v>
                </c:pt>
                <c:pt idx="15">
                  <c:v>785.31</c:v>
                </c:pt>
                <c:pt idx="16">
                  <c:v>785.13</c:v>
                </c:pt>
                <c:pt idx="17">
                  <c:v>784.98</c:v>
                </c:pt>
                <c:pt idx="18">
                  <c:v>784.83</c:v>
                </c:pt>
                <c:pt idx="19">
                  <c:v>784.82</c:v>
                </c:pt>
                <c:pt idx="20">
                  <c:v>786.88</c:v>
                </c:pt>
                <c:pt idx="21">
                  <c:v>786.93</c:v>
                </c:pt>
                <c:pt idx="22">
                  <c:v>790.6</c:v>
                </c:pt>
                <c:pt idx="23">
                  <c:v>791.69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69-4CDD-98A8-96668D46285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2013-09-25'!$A$40:$A$41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2013-09-25'!$B$40:$B$41</c:f>
              <c:numCache>
                <c:formatCode>0.000</c:formatCode>
                <c:ptCount val="2"/>
                <c:pt idx="0">
                  <c:v>788.85699999999997</c:v>
                </c:pt>
                <c:pt idx="1">
                  <c:v>790.35699999999997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569-4CDD-98A8-96668D46285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2013-09-25'!$A$38:$A$39</c:f>
              <c:numCache>
                <c:formatCode>0.00</c:formatCode>
                <c:ptCount val="2"/>
                <c:pt idx="0">
                  <c:v>26.8</c:v>
                </c:pt>
                <c:pt idx="1">
                  <c:v>26.8</c:v>
                </c:pt>
              </c:numCache>
            </c:numRef>
          </c:xVal>
          <c:yVal>
            <c:numRef>
              <c:f>'Fecha 2013-09-25'!$B$38:$B$39</c:f>
              <c:numCache>
                <c:formatCode>0.000</c:formatCode>
                <c:ptCount val="2"/>
                <c:pt idx="0">
                  <c:v>786.48299999999995</c:v>
                </c:pt>
                <c:pt idx="1">
                  <c:v>788.48299999999995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69-4CDD-98A8-96668D46285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2013-09-25'!$A$36:$A$37</c:f>
              <c:numCache>
                <c:formatCode>0.00</c:formatCode>
                <c:ptCount val="2"/>
                <c:pt idx="0">
                  <c:v>12.5</c:v>
                </c:pt>
                <c:pt idx="1">
                  <c:v>27</c:v>
                </c:pt>
              </c:numCache>
            </c:numRef>
          </c:xVal>
          <c:yVal>
            <c:numRef>
              <c:f>'Fecha 2013-09-25'!$B$36:$B$37</c:f>
              <c:numCache>
                <c:formatCode>0.000</c:formatCode>
                <c:ptCount val="2"/>
                <c:pt idx="0">
                  <c:v>786.93</c:v>
                </c:pt>
                <c:pt idx="1">
                  <c:v>786.93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569-4CDD-98A8-96668D46285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2013-09-25'!$A$42:$A$43</c:f>
              <c:numCache>
                <c:formatCode>0.00</c:formatCode>
                <c:ptCount val="2"/>
                <c:pt idx="0">
                  <c:v>4.5</c:v>
                </c:pt>
                <c:pt idx="1">
                  <c:v>29</c:v>
                </c:pt>
              </c:numCache>
            </c:numRef>
          </c:xVal>
          <c:yVal>
            <c:numRef>
              <c:f>'Fecha 2013-09-25'!$B$42:$B$43</c:f>
              <c:numCache>
                <c:formatCode>0.000</c:formatCode>
                <c:ptCount val="2"/>
                <c:pt idx="0">
                  <c:v>790.41</c:v>
                </c:pt>
                <c:pt idx="1">
                  <c:v>791.69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569-4CDD-98A8-96668D462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160960"/>
        <c:axId val="333161352"/>
      </c:scatterChart>
      <c:valAx>
        <c:axId val="333160960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483146067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161352"/>
        <c:crossesAt val="89"/>
        <c:crossBetween val="midCat"/>
        <c:majorUnit val="5"/>
        <c:minorUnit val="2.5"/>
      </c:valAx>
      <c:valAx>
        <c:axId val="333161352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561797752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160960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EDGAR</a:t>
            </a:r>
            <a:r>
              <a:rPr lang="es-CO" baseline="0"/>
              <a:t> TAMAYO</a:t>
            </a:r>
            <a:r>
              <a:rPr lang="es-CO"/>
              <a:t>
Dibujó:          J</a:t>
            </a:r>
            <a:r>
              <a:rPr lang="es-CO" baseline="0"/>
              <a:t> OCAMPO</a:t>
            </a:r>
            <a:r>
              <a:rPr lang="es-CO"/>
              <a:t>
Revisó:    
 Fecha:  2014-07-01
 IDEAM - Area Operativa No. 04</a:t>
            </a:r>
          </a:p>
        </c:rich>
      </c:tx>
      <c:layout>
        <c:manualLayout>
          <c:xMode val="edge"/>
          <c:yMode val="edge"/>
          <c:x val="0.72602619374008026"/>
          <c:y val="0.16269691171781098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2014-07-01'!$A$3:$A$25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1.7</c:v>
                </c:pt>
                <c:pt idx="3">
                  <c:v>1.7</c:v>
                </c:pt>
                <c:pt idx="4">
                  <c:v>3.7</c:v>
                </c:pt>
                <c:pt idx="5">
                  <c:v>4.7</c:v>
                </c:pt>
                <c:pt idx="6">
                  <c:v>5.7</c:v>
                </c:pt>
                <c:pt idx="7">
                  <c:v>7.7</c:v>
                </c:pt>
                <c:pt idx="8">
                  <c:v>11.7</c:v>
                </c:pt>
                <c:pt idx="9">
                  <c:v>13.2</c:v>
                </c:pt>
                <c:pt idx="10">
                  <c:v>14.7</c:v>
                </c:pt>
                <c:pt idx="11">
                  <c:v>16.2</c:v>
                </c:pt>
                <c:pt idx="12">
                  <c:v>17.7</c:v>
                </c:pt>
                <c:pt idx="13">
                  <c:v>18.7</c:v>
                </c:pt>
                <c:pt idx="14">
                  <c:v>19.7</c:v>
                </c:pt>
                <c:pt idx="15">
                  <c:v>20.7</c:v>
                </c:pt>
                <c:pt idx="16">
                  <c:v>21.7</c:v>
                </c:pt>
                <c:pt idx="17">
                  <c:v>22.7</c:v>
                </c:pt>
                <c:pt idx="18">
                  <c:v>22.7</c:v>
                </c:pt>
                <c:pt idx="19">
                  <c:v>22.7</c:v>
                </c:pt>
                <c:pt idx="20">
                  <c:v>23.7</c:v>
                </c:pt>
                <c:pt idx="21">
                  <c:v>24.7</c:v>
                </c:pt>
                <c:pt idx="22">
                  <c:v>25.7</c:v>
                </c:pt>
              </c:numCache>
            </c:numRef>
          </c:xVal>
          <c:yVal>
            <c:numRef>
              <c:f>'Fecha 2014-07-01'!$B$3:$B$25</c:f>
              <c:numCache>
                <c:formatCode>0.000</c:formatCode>
                <c:ptCount val="23"/>
                <c:pt idx="0">
                  <c:v>791.2</c:v>
                </c:pt>
                <c:pt idx="1">
                  <c:v>791.19799999999998</c:v>
                </c:pt>
                <c:pt idx="2">
                  <c:v>790.553</c:v>
                </c:pt>
                <c:pt idx="3">
                  <c:v>790.33</c:v>
                </c:pt>
                <c:pt idx="4">
                  <c:v>788.755</c:v>
                </c:pt>
                <c:pt idx="5">
                  <c:v>788.62300000000005</c:v>
                </c:pt>
                <c:pt idx="6">
                  <c:v>786.78800000000001</c:v>
                </c:pt>
                <c:pt idx="7">
                  <c:v>786.92</c:v>
                </c:pt>
                <c:pt idx="8">
                  <c:v>786.03</c:v>
                </c:pt>
                <c:pt idx="9">
                  <c:v>785.62</c:v>
                </c:pt>
                <c:pt idx="10">
                  <c:v>785.49</c:v>
                </c:pt>
                <c:pt idx="11">
                  <c:v>785.53</c:v>
                </c:pt>
                <c:pt idx="12">
                  <c:v>785.42</c:v>
                </c:pt>
                <c:pt idx="13">
                  <c:v>785.33</c:v>
                </c:pt>
                <c:pt idx="14">
                  <c:v>785.22</c:v>
                </c:pt>
                <c:pt idx="15">
                  <c:v>785.37</c:v>
                </c:pt>
                <c:pt idx="16">
                  <c:v>784.94</c:v>
                </c:pt>
                <c:pt idx="17">
                  <c:v>784.92</c:v>
                </c:pt>
                <c:pt idx="18">
                  <c:v>786.91800000000001</c:v>
                </c:pt>
                <c:pt idx="19">
                  <c:v>788.82</c:v>
                </c:pt>
                <c:pt idx="20">
                  <c:v>790.11</c:v>
                </c:pt>
                <c:pt idx="21">
                  <c:v>791.41</c:v>
                </c:pt>
                <c:pt idx="22">
                  <c:v>792.7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645-4692-A2A2-4D97E4E2D77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2014-07-01'!$A$38:$A$39</c:f>
              <c:numCache>
                <c:formatCode>0.00</c:formatCode>
                <c:ptCount val="2"/>
                <c:pt idx="0">
                  <c:v>21.5</c:v>
                </c:pt>
                <c:pt idx="1">
                  <c:v>21.5</c:v>
                </c:pt>
              </c:numCache>
            </c:numRef>
          </c:xVal>
          <c:yVal>
            <c:numRef>
              <c:f>'Fecha 2014-07-01'!$B$38:$B$39</c:f>
              <c:numCache>
                <c:formatCode>0.000</c:formatCode>
                <c:ptCount val="2"/>
                <c:pt idx="0">
                  <c:v>788.85699999999997</c:v>
                </c:pt>
                <c:pt idx="1">
                  <c:v>790.35699999999997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645-4692-A2A2-4D97E4E2D77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2014-07-01'!$A$36:$A$37</c:f>
              <c:numCache>
                <c:formatCode>0.00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xVal>
          <c:yVal>
            <c:numRef>
              <c:f>'Fecha 2014-07-01'!$B$36:$B$37</c:f>
              <c:numCache>
                <c:formatCode>0.000</c:formatCode>
                <c:ptCount val="2"/>
                <c:pt idx="0">
                  <c:v>786.48299999999995</c:v>
                </c:pt>
                <c:pt idx="1">
                  <c:v>788.48299999999995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645-4692-A2A2-4D97E4E2D77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2014-07-01'!$A$34:$A$35</c:f>
              <c:numCache>
                <c:formatCode>0.00</c:formatCode>
                <c:ptCount val="2"/>
                <c:pt idx="0">
                  <c:v>7.7</c:v>
                </c:pt>
                <c:pt idx="1">
                  <c:v>22.7</c:v>
                </c:pt>
              </c:numCache>
            </c:numRef>
          </c:xVal>
          <c:yVal>
            <c:numRef>
              <c:f>'Fecha 2014-07-01'!$B$34:$B$35</c:f>
              <c:numCache>
                <c:formatCode>0.000</c:formatCode>
                <c:ptCount val="2"/>
                <c:pt idx="0">
                  <c:v>786.93</c:v>
                </c:pt>
                <c:pt idx="1">
                  <c:v>786.91800000000001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645-4692-A2A2-4D97E4E2D77A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2014-07-01'!$A$40:$A$41</c:f>
              <c:numCache>
                <c:formatCode>0.00</c:formatCode>
                <c:ptCount val="2"/>
                <c:pt idx="0">
                  <c:v>0</c:v>
                </c:pt>
                <c:pt idx="1">
                  <c:v>25.7</c:v>
                </c:pt>
              </c:numCache>
            </c:numRef>
          </c:xVal>
          <c:yVal>
            <c:numRef>
              <c:f>'Fecha 2014-07-01'!$B$40:$B$41</c:f>
              <c:numCache>
                <c:formatCode>0.000</c:formatCode>
                <c:ptCount val="2"/>
                <c:pt idx="0">
                  <c:v>791.19799999999998</c:v>
                </c:pt>
                <c:pt idx="1">
                  <c:v>792.7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645-4692-A2A2-4D97E4E2D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158216"/>
        <c:axId val="333159000"/>
      </c:scatterChart>
      <c:valAx>
        <c:axId val="333158216"/>
        <c:scaling>
          <c:orientation val="minMax"/>
          <c:max val="4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57961096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159000"/>
        <c:crossesAt val="89"/>
        <c:crossBetween val="midCat"/>
        <c:majorUnit val="5"/>
        <c:minorUnit val="2.5"/>
      </c:valAx>
      <c:valAx>
        <c:axId val="333159000"/>
        <c:scaling>
          <c:orientation val="minMax"/>
          <c:max val="795"/>
          <c:min val="78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6169205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15821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JIMENEZ T
Dibujó:           D.A.S.
Revisó:    
 Fecha:  2014-11-15
 IDEAM - Area Operativa No. 04</a:t>
            </a:r>
          </a:p>
        </c:rich>
      </c:tx>
      <c:layout>
        <c:manualLayout>
          <c:xMode val="edge"/>
          <c:yMode val="edge"/>
          <c:x val="0.57108622565997591"/>
          <c:y val="4.556221944219589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2014-11-15'!$A$3:$A$33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</c:v>
                </c:pt>
                <c:pt idx="3">
                  <c:v>4.3</c:v>
                </c:pt>
                <c:pt idx="4">
                  <c:v>10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17</c:v>
                </c:pt>
                <c:pt idx="11">
                  <c:v>17.5</c:v>
                </c:pt>
                <c:pt idx="12">
                  <c:v>18</c:v>
                </c:pt>
                <c:pt idx="13">
                  <c:v>18.5</c:v>
                </c:pt>
                <c:pt idx="14">
                  <c:v>19</c:v>
                </c:pt>
                <c:pt idx="15">
                  <c:v>19.5</c:v>
                </c:pt>
                <c:pt idx="16">
                  <c:v>20</c:v>
                </c:pt>
                <c:pt idx="17">
                  <c:v>20.5</c:v>
                </c:pt>
                <c:pt idx="18">
                  <c:v>21</c:v>
                </c:pt>
                <c:pt idx="19">
                  <c:v>21.5</c:v>
                </c:pt>
                <c:pt idx="20">
                  <c:v>22</c:v>
                </c:pt>
                <c:pt idx="21">
                  <c:v>22.5</c:v>
                </c:pt>
                <c:pt idx="22">
                  <c:v>23</c:v>
                </c:pt>
                <c:pt idx="23">
                  <c:v>23.8</c:v>
                </c:pt>
                <c:pt idx="24">
                  <c:v>23.8</c:v>
                </c:pt>
                <c:pt idx="25">
                  <c:v>23.8</c:v>
                </c:pt>
                <c:pt idx="26">
                  <c:v>25</c:v>
                </c:pt>
                <c:pt idx="27">
                  <c:v>27</c:v>
                </c:pt>
                <c:pt idx="28">
                  <c:v>27</c:v>
                </c:pt>
              </c:numCache>
            </c:numRef>
          </c:xVal>
          <c:yVal>
            <c:numRef>
              <c:f>'Fecha 2014-11-15'!$B$3:$B$33</c:f>
              <c:numCache>
                <c:formatCode>0.000</c:formatCode>
                <c:ptCount val="31"/>
                <c:pt idx="0">
                  <c:v>791.2</c:v>
                </c:pt>
                <c:pt idx="1">
                  <c:v>792.5</c:v>
                </c:pt>
                <c:pt idx="2">
                  <c:v>790.46</c:v>
                </c:pt>
                <c:pt idx="3">
                  <c:v>786.66</c:v>
                </c:pt>
                <c:pt idx="4">
                  <c:v>786.04</c:v>
                </c:pt>
                <c:pt idx="5">
                  <c:v>785.54</c:v>
                </c:pt>
                <c:pt idx="6">
                  <c:v>785.39</c:v>
                </c:pt>
                <c:pt idx="7">
                  <c:v>785.32</c:v>
                </c:pt>
                <c:pt idx="8">
                  <c:v>785.37</c:v>
                </c:pt>
                <c:pt idx="9">
                  <c:v>785.34</c:v>
                </c:pt>
                <c:pt idx="10">
                  <c:v>785.19</c:v>
                </c:pt>
                <c:pt idx="11">
                  <c:v>785.19</c:v>
                </c:pt>
                <c:pt idx="12">
                  <c:v>785.09</c:v>
                </c:pt>
                <c:pt idx="13">
                  <c:v>784.94</c:v>
                </c:pt>
                <c:pt idx="14">
                  <c:v>784.94</c:v>
                </c:pt>
                <c:pt idx="15">
                  <c:v>784.74</c:v>
                </c:pt>
                <c:pt idx="16">
                  <c:v>784.74</c:v>
                </c:pt>
                <c:pt idx="17">
                  <c:v>784.49</c:v>
                </c:pt>
                <c:pt idx="18">
                  <c:v>784.47</c:v>
                </c:pt>
                <c:pt idx="19">
                  <c:v>784.34</c:v>
                </c:pt>
                <c:pt idx="20">
                  <c:v>784.29</c:v>
                </c:pt>
                <c:pt idx="21">
                  <c:v>784.04</c:v>
                </c:pt>
                <c:pt idx="22">
                  <c:v>783.94</c:v>
                </c:pt>
                <c:pt idx="23">
                  <c:v>784.29</c:v>
                </c:pt>
                <c:pt idx="24">
                  <c:v>786.04</c:v>
                </c:pt>
                <c:pt idx="25">
                  <c:v>788.83</c:v>
                </c:pt>
                <c:pt idx="26">
                  <c:v>790.27</c:v>
                </c:pt>
                <c:pt idx="27">
                  <c:v>792.3</c:v>
                </c:pt>
                <c:pt idx="28">
                  <c:v>791.2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4D9-4AB1-8380-F6D05FD290CB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2014-11-15'!$A$38:$A$39</c:f>
              <c:numCache>
                <c:formatCode>0.00</c:formatCode>
                <c:ptCount val="2"/>
                <c:pt idx="0">
                  <c:v>21.5</c:v>
                </c:pt>
                <c:pt idx="1">
                  <c:v>21.5</c:v>
                </c:pt>
              </c:numCache>
            </c:numRef>
          </c:xVal>
          <c:yVal>
            <c:numRef>
              <c:f>'Fecha 2014-11-15'!$B$38:$B$39</c:f>
              <c:numCache>
                <c:formatCode>0.000</c:formatCode>
                <c:ptCount val="2"/>
                <c:pt idx="0">
                  <c:v>788.85699999999997</c:v>
                </c:pt>
                <c:pt idx="1">
                  <c:v>790.35699999999997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D9-4AB1-8380-F6D05FD290CB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2014-11-15'!$A$36:$A$37</c:f>
              <c:numCache>
                <c:formatCode>0.00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xVal>
          <c:yVal>
            <c:numRef>
              <c:f>'Fecha 2014-11-15'!$B$36:$B$37</c:f>
              <c:numCache>
                <c:formatCode>0.000</c:formatCode>
                <c:ptCount val="2"/>
                <c:pt idx="0">
                  <c:v>785.79100000000005</c:v>
                </c:pt>
                <c:pt idx="1">
                  <c:v>788.48299999999995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4D9-4AB1-8380-F6D05FD290CB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2014-11-15'!$A$34:$A$35</c:f>
              <c:numCache>
                <c:formatCode>0.00</c:formatCode>
                <c:ptCount val="2"/>
                <c:pt idx="0">
                  <c:v>10</c:v>
                </c:pt>
                <c:pt idx="1">
                  <c:v>23.8</c:v>
                </c:pt>
              </c:numCache>
            </c:numRef>
          </c:xVal>
          <c:yVal>
            <c:numRef>
              <c:f>'Fecha 2014-11-15'!$B$34:$B$35</c:f>
              <c:numCache>
                <c:formatCode>0.000</c:formatCode>
                <c:ptCount val="2"/>
                <c:pt idx="0">
                  <c:v>786.04</c:v>
                </c:pt>
                <c:pt idx="1">
                  <c:v>786.04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4D9-4AB1-8380-F6D05FD290CB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2014-11-15'!$A$40:$A$41</c:f>
              <c:numCache>
                <c:formatCode>0.00</c:formatCode>
                <c:ptCount val="2"/>
                <c:pt idx="0">
                  <c:v>0</c:v>
                </c:pt>
                <c:pt idx="1">
                  <c:v>25.7</c:v>
                </c:pt>
              </c:numCache>
            </c:numRef>
          </c:xVal>
          <c:yVal>
            <c:numRef>
              <c:f>'Fecha 2014-11-15'!$B$40:$B$41</c:f>
              <c:numCache>
                <c:formatCode>0.000</c:formatCode>
                <c:ptCount val="2"/>
                <c:pt idx="0">
                  <c:v>791.19799999999998</c:v>
                </c:pt>
                <c:pt idx="1">
                  <c:v>792.7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4D9-4AB1-8380-F6D05FD2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159392"/>
        <c:axId val="333160176"/>
      </c:scatterChart>
      <c:valAx>
        <c:axId val="333159392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57961096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160176"/>
        <c:crossesAt val="89"/>
        <c:crossBetween val="midCat"/>
        <c:majorUnit val="5"/>
        <c:minorUnit val="2.5"/>
      </c:valAx>
      <c:valAx>
        <c:axId val="333160176"/>
        <c:scaling>
          <c:orientation val="minMax"/>
          <c:max val="795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6169205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15939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OCAMPO.
Dibujó:           D.A.S.
Revisó:    
 Fecha:  2015-05-06
 IDEAM - Area Operativa No. 04</a:t>
            </a:r>
          </a:p>
        </c:rich>
      </c:tx>
      <c:layout>
        <c:manualLayout>
          <c:xMode val="edge"/>
          <c:yMode val="edge"/>
          <c:x val="0.57108622565997591"/>
          <c:y val="4.556221944219589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2053478040464665E-2"/>
          <c:y val="1.8692172997198164E-2"/>
          <c:w val="0.93695149074155271"/>
          <c:h val="0.90773865117643593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2015-05-06'!$A$3:$A$33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5.4</c:v>
                </c:pt>
                <c:pt idx="4">
                  <c:v>10.4</c:v>
                </c:pt>
                <c:pt idx="5">
                  <c:v>11.4</c:v>
                </c:pt>
                <c:pt idx="6">
                  <c:v>12.4</c:v>
                </c:pt>
                <c:pt idx="7">
                  <c:v>13.4</c:v>
                </c:pt>
                <c:pt idx="8">
                  <c:v>14.4</c:v>
                </c:pt>
                <c:pt idx="9">
                  <c:v>15.4</c:v>
                </c:pt>
                <c:pt idx="10">
                  <c:v>16.399999999999999</c:v>
                </c:pt>
                <c:pt idx="11">
                  <c:v>17.399999999999999</c:v>
                </c:pt>
                <c:pt idx="12">
                  <c:v>18.399999999999999</c:v>
                </c:pt>
                <c:pt idx="13">
                  <c:v>19.399999999999999</c:v>
                </c:pt>
                <c:pt idx="14">
                  <c:v>20.399999999999999</c:v>
                </c:pt>
                <c:pt idx="15">
                  <c:v>20.399999999999999</c:v>
                </c:pt>
                <c:pt idx="16">
                  <c:v>20.399999999999999</c:v>
                </c:pt>
                <c:pt idx="17">
                  <c:v>21.9</c:v>
                </c:pt>
                <c:pt idx="18">
                  <c:v>24.4</c:v>
                </c:pt>
                <c:pt idx="19">
                  <c:v>24.4</c:v>
                </c:pt>
              </c:numCache>
            </c:numRef>
          </c:xVal>
          <c:yVal>
            <c:numRef>
              <c:f>'Fecha 2015-05-06'!$B$3:$B$33</c:f>
              <c:numCache>
                <c:formatCode>0.000</c:formatCode>
                <c:ptCount val="31"/>
                <c:pt idx="0">
                  <c:v>791.2</c:v>
                </c:pt>
                <c:pt idx="1">
                  <c:v>790.63</c:v>
                </c:pt>
                <c:pt idx="2">
                  <c:v>789.25</c:v>
                </c:pt>
                <c:pt idx="3">
                  <c:v>786.65</c:v>
                </c:pt>
                <c:pt idx="4">
                  <c:v>786.04</c:v>
                </c:pt>
                <c:pt idx="5">
                  <c:v>785.24</c:v>
                </c:pt>
                <c:pt idx="6">
                  <c:v>785.07</c:v>
                </c:pt>
                <c:pt idx="7">
                  <c:v>784.88</c:v>
                </c:pt>
                <c:pt idx="8">
                  <c:v>784.81</c:v>
                </c:pt>
                <c:pt idx="9">
                  <c:v>784.69</c:v>
                </c:pt>
                <c:pt idx="10">
                  <c:v>784.47</c:v>
                </c:pt>
                <c:pt idx="11">
                  <c:v>784.35</c:v>
                </c:pt>
                <c:pt idx="12">
                  <c:v>784.18</c:v>
                </c:pt>
                <c:pt idx="13">
                  <c:v>784.33</c:v>
                </c:pt>
                <c:pt idx="14">
                  <c:v>784.78</c:v>
                </c:pt>
                <c:pt idx="15">
                  <c:v>786.04</c:v>
                </c:pt>
                <c:pt idx="16">
                  <c:v>787.84</c:v>
                </c:pt>
                <c:pt idx="17">
                  <c:v>788.81</c:v>
                </c:pt>
                <c:pt idx="18">
                  <c:v>791.43</c:v>
                </c:pt>
                <c:pt idx="19">
                  <c:v>791.21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2E0-4FCF-9223-95E846065E2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2015-05-06'!$A$38:$A$39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'Fecha 2015-05-06'!$B$38:$B$39</c:f>
              <c:numCache>
                <c:formatCode>0.000</c:formatCode>
                <c:ptCount val="2"/>
                <c:pt idx="0">
                  <c:v>788.20100000000002</c:v>
                </c:pt>
                <c:pt idx="1">
                  <c:v>789.70100000000002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2E0-4FCF-9223-95E846065E2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2015-05-06'!$A$36:$A$37</c:f>
              <c:numCache>
                <c:formatCode>0.00</c:formatCode>
                <c:ptCount val="2"/>
                <c:pt idx="0">
                  <c:v>22.7</c:v>
                </c:pt>
                <c:pt idx="1">
                  <c:v>22.7</c:v>
                </c:pt>
              </c:numCache>
            </c:numRef>
          </c:xVal>
          <c:yVal>
            <c:numRef>
              <c:f>'Fecha 2015-05-06'!$B$36:$B$37</c:f>
              <c:numCache>
                <c:formatCode>0.000</c:formatCode>
                <c:ptCount val="2"/>
                <c:pt idx="0">
                  <c:v>785.81399999999996</c:v>
                </c:pt>
                <c:pt idx="1">
                  <c:v>788.81399999999996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2E0-4FCF-9223-95E846065E2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2015-05-06'!$A$34:$A$35</c:f>
              <c:numCache>
                <c:formatCode>0.00</c:formatCode>
                <c:ptCount val="2"/>
                <c:pt idx="0">
                  <c:v>10.4</c:v>
                </c:pt>
                <c:pt idx="1">
                  <c:v>20.399999999999999</c:v>
                </c:pt>
              </c:numCache>
            </c:numRef>
          </c:xVal>
          <c:yVal>
            <c:numRef>
              <c:f>'Fecha 2015-05-06'!$B$34:$B$35</c:f>
              <c:numCache>
                <c:formatCode>0.000</c:formatCode>
                <c:ptCount val="2"/>
                <c:pt idx="0">
                  <c:v>786.04</c:v>
                </c:pt>
                <c:pt idx="1">
                  <c:v>786.04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2E0-4FCF-9223-95E846065E21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2015-05-06'!$A$40:$A$41</c:f>
              <c:numCache>
                <c:formatCode>0.00</c:formatCode>
                <c:ptCount val="2"/>
                <c:pt idx="0">
                  <c:v>0</c:v>
                </c:pt>
                <c:pt idx="1">
                  <c:v>26.2</c:v>
                </c:pt>
              </c:numCache>
            </c:numRef>
          </c:xVal>
          <c:yVal>
            <c:numRef>
              <c:f>'Fecha 2015-05-06'!$B$40:$B$41</c:f>
              <c:numCache>
                <c:formatCode>0.000</c:formatCode>
                <c:ptCount val="2"/>
                <c:pt idx="0">
                  <c:v>794.05</c:v>
                </c:pt>
                <c:pt idx="1">
                  <c:v>791.25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2E0-4FCF-9223-95E84606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73432"/>
        <c:axId val="321173824"/>
      </c:scatterChart>
      <c:valAx>
        <c:axId val="321173432"/>
        <c:scaling>
          <c:orientation val="minMax"/>
          <c:max val="25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57961096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3824"/>
        <c:crossesAt val="89"/>
        <c:crossBetween val="midCat"/>
        <c:majorUnit val="5"/>
        <c:minorUnit val="2.5"/>
      </c:valAx>
      <c:valAx>
        <c:axId val="321173824"/>
        <c:scaling>
          <c:orientation val="minMax"/>
          <c:max val="795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6169205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343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
Levantó:       PALACIOS
Dibujó:           GUEVARA</a:t>
            </a:r>
            <a:r>
              <a:rPr lang="es-CO" baseline="0"/>
              <a:t> C.</a:t>
            </a:r>
            <a:r>
              <a:rPr lang="es-CO"/>
              <a:t>
Revisó:    
 Fecha:  2015-11-11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
 IDEAM - Area Operativa No. 04</a:t>
            </a:r>
          </a:p>
        </c:rich>
      </c:tx>
      <c:layout>
        <c:manualLayout>
          <c:xMode val="edge"/>
          <c:yMode val="edge"/>
          <c:x val="0.57108622565997591"/>
          <c:y val="4.556221944219589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2015-11-11'!$A$3:$A$33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10</c:v>
                </c:pt>
                <c:pt idx="5">
                  <c:v>12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18.5</c:v>
                </c:pt>
                <c:pt idx="12">
                  <c:v>19</c:v>
                </c:pt>
                <c:pt idx="13">
                  <c:v>19.5</c:v>
                </c:pt>
                <c:pt idx="14">
                  <c:v>20</c:v>
                </c:pt>
                <c:pt idx="15">
                  <c:v>20.5</c:v>
                </c:pt>
                <c:pt idx="16">
                  <c:v>21</c:v>
                </c:pt>
                <c:pt idx="17">
                  <c:v>21.5</c:v>
                </c:pt>
                <c:pt idx="18">
                  <c:v>22</c:v>
                </c:pt>
                <c:pt idx="19">
                  <c:v>22.5</c:v>
                </c:pt>
                <c:pt idx="20">
                  <c:v>23</c:v>
                </c:pt>
                <c:pt idx="21">
                  <c:v>23.7</c:v>
                </c:pt>
                <c:pt idx="22">
                  <c:v>23.7</c:v>
                </c:pt>
                <c:pt idx="23">
                  <c:v>23.7</c:v>
                </c:pt>
                <c:pt idx="24">
                  <c:v>26.2</c:v>
                </c:pt>
              </c:numCache>
            </c:numRef>
          </c:xVal>
          <c:yVal>
            <c:numRef>
              <c:f>'Fecha 2015-11-11'!$B$3:$B$33</c:f>
              <c:numCache>
                <c:formatCode>0.000</c:formatCode>
                <c:ptCount val="31"/>
                <c:pt idx="0">
                  <c:v>791.2</c:v>
                </c:pt>
                <c:pt idx="1">
                  <c:v>794.05</c:v>
                </c:pt>
                <c:pt idx="2">
                  <c:v>787.8</c:v>
                </c:pt>
                <c:pt idx="3">
                  <c:v>786.66</c:v>
                </c:pt>
                <c:pt idx="4">
                  <c:v>786.03</c:v>
                </c:pt>
                <c:pt idx="5">
                  <c:v>785.53</c:v>
                </c:pt>
                <c:pt idx="6">
                  <c:v>785.53</c:v>
                </c:pt>
                <c:pt idx="7">
                  <c:v>785.33</c:v>
                </c:pt>
                <c:pt idx="8">
                  <c:v>784.88</c:v>
                </c:pt>
                <c:pt idx="9">
                  <c:v>784.93</c:v>
                </c:pt>
                <c:pt idx="10">
                  <c:v>784.93</c:v>
                </c:pt>
                <c:pt idx="11">
                  <c:v>784.83</c:v>
                </c:pt>
                <c:pt idx="12">
                  <c:v>784.83</c:v>
                </c:pt>
                <c:pt idx="13">
                  <c:v>784.78</c:v>
                </c:pt>
                <c:pt idx="14">
                  <c:v>784.63</c:v>
                </c:pt>
                <c:pt idx="15">
                  <c:v>784.48</c:v>
                </c:pt>
                <c:pt idx="16">
                  <c:v>784.53</c:v>
                </c:pt>
                <c:pt idx="17">
                  <c:v>784.43</c:v>
                </c:pt>
                <c:pt idx="18">
                  <c:v>784.53</c:v>
                </c:pt>
                <c:pt idx="19">
                  <c:v>784.43</c:v>
                </c:pt>
                <c:pt idx="20">
                  <c:v>784.83</c:v>
                </c:pt>
                <c:pt idx="21">
                  <c:v>785.08</c:v>
                </c:pt>
                <c:pt idx="22">
                  <c:v>786.03</c:v>
                </c:pt>
                <c:pt idx="23">
                  <c:v>788.87</c:v>
                </c:pt>
                <c:pt idx="24">
                  <c:v>791.25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E49-414A-BE59-F0A0F7D84B91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2015-11-11'!$A$38:$A$39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'Fecha 2015-11-11'!$B$38:$B$39</c:f>
              <c:numCache>
                <c:formatCode>0.000</c:formatCode>
                <c:ptCount val="2"/>
                <c:pt idx="0">
                  <c:v>788.20100000000002</c:v>
                </c:pt>
                <c:pt idx="1">
                  <c:v>789.70100000000002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E49-414A-BE59-F0A0F7D84B91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2015-11-11'!$A$36:$A$37</c:f>
              <c:numCache>
                <c:formatCode>0.00</c:formatCode>
                <c:ptCount val="2"/>
                <c:pt idx="0">
                  <c:v>22.7</c:v>
                </c:pt>
                <c:pt idx="1">
                  <c:v>22.7</c:v>
                </c:pt>
              </c:numCache>
            </c:numRef>
          </c:xVal>
          <c:yVal>
            <c:numRef>
              <c:f>'Fecha 2015-11-11'!$B$36:$B$37</c:f>
              <c:numCache>
                <c:formatCode>0.000</c:formatCode>
                <c:ptCount val="2"/>
                <c:pt idx="0">
                  <c:v>785.81399999999996</c:v>
                </c:pt>
                <c:pt idx="1">
                  <c:v>788.81399999999996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E49-414A-BE59-F0A0F7D84B91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2015-11-11'!$A$34:$A$35</c:f>
              <c:numCache>
                <c:formatCode>0.00</c:formatCode>
                <c:ptCount val="2"/>
                <c:pt idx="0">
                  <c:v>10</c:v>
                </c:pt>
                <c:pt idx="1">
                  <c:v>23.7</c:v>
                </c:pt>
              </c:numCache>
            </c:numRef>
          </c:xVal>
          <c:yVal>
            <c:numRef>
              <c:f>'Fecha 2015-11-11'!$B$34:$B$35</c:f>
              <c:numCache>
                <c:formatCode>0.000</c:formatCode>
                <c:ptCount val="2"/>
                <c:pt idx="0">
                  <c:v>786.03</c:v>
                </c:pt>
                <c:pt idx="1">
                  <c:v>786.03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E49-414A-BE59-F0A0F7D84B91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2015-11-11'!$A$40:$A$41</c:f>
              <c:numCache>
                <c:formatCode>0.00</c:formatCode>
                <c:ptCount val="2"/>
                <c:pt idx="0">
                  <c:v>0</c:v>
                </c:pt>
                <c:pt idx="1">
                  <c:v>26.2</c:v>
                </c:pt>
              </c:numCache>
            </c:numRef>
          </c:xVal>
          <c:yVal>
            <c:numRef>
              <c:f>'Fecha 2015-11-11'!$B$40:$B$41</c:f>
              <c:numCache>
                <c:formatCode>0.000</c:formatCode>
                <c:ptCount val="2"/>
                <c:pt idx="0">
                  <c:v>794.05</c:v>
                </c:pt>
                <c:pt idx="1">
                  <c:v>791.25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E49-414A-BE59-F0A0F7D84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71472"/>
        <c:axId val="321171864"/>
      </c:scatterChart>
      <c:valAx>
        <c:axId val="321171472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57961096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1864"/>
        <c:crossesAt val="89"/>
        <c:crossBetween val="midCat"/>
        <c:majorUnit val="5"/>
        <c:minorUnit val="2.5"/>
      </c:valAx>
      <c:valAx>
        <c:axId val="321171864"/>
        <c:scaling>
          <c:orientation val="minMax"/>
          <c:max val="795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6169205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1472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44037040
Levantó:       GUEVARA
Dibujó:           TAMAYO
Revisó:    
 Fecha:  2016-05-18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
 IDEAM - Area Operativa No. 04</a:t>
            </a:r>
          </a:p>
        </c:rich>
      </c:tx>
      <c:layout>
        <c:manualLayout>
          <c:xMode val="edge"/>
          <c:yMode val="edge"/>
          <c:x val="0.57108622565997591"/>
          <c:y val="4.556221944219589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2016-05-18'!$A$3:$A$33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8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20.5</c:v>
                </c:pt>
                <c:pt idx="16">
                  <c:v>21</c:v>
                </c:pt>
                <c:pt idx="17">
                  <c:v>21.5</c:v>
                </c:pt>
                <c:pt idx="18">
                  <c:v>22.2</c:v>
                </c:pt>
                <c:pt idx="19">
                  <c:v>22.7</c:v>
                </c:pt>
                <c:pt idx="20">
                  <c:v>23.2</c:v>
                </c:pt>
                <c:pt idx="21">
                  <c:v>23.7</c:v>
                </c:pt>
                <c:pt idx="22">
                  <c:v>24.2</c:v>
                </c:pt>
                <c:pt idx="23">
                  <c:v>24.7</c:v>
                </c:pt>
                <c:pt idx="24">
                  <c:v>25.3</c:v>
                </c:pt>
                <c:pt idx="25">
                  <c:v>25.9</c:v>
                </c:pt>
                <c:pt idx="26">
                  <c:v>27.4</c:v>
                </c:pt>
                <c:pt idx="27">
                  <c:v>29.7</c:v>
                </c:pt>
                <c:pt idx="28">
                  <c:v>30.3</c:v>
                </c:pt>
                <c:pt idx="29">
                  <c:v>30.3</c:v>
                </c:pt>
              </c:numCache>
            </c:numRef>
          </c:xVal>
          <c:yVal>
            <c:numRef>
              <c:f>'Fecha 2016-05-18'!$B$3:$B$33</c:f>
              <c:numCache>
                <c:formatCode>0.000</c:formatCode>
                <c:ptCount val="31"/>
                <c:pt idx="0">
                  <c:v>791.2</c:v>
                </c:pt>
                <c:pt idx="1">
                  <c:v>793.23</c:v>
                </c:pt>
                <c:pt idx="2">
                  <c:v>789.63</c:v>
                </c:pt>
                <c:pt idx="3">
                  <c:v>789.69</c:v>
                </c:pt>
                <c:pt idx="4">
                  <c:v>787.58</c:v>
                </c:pt>
                <c:pt idx="5">
                  <c:v>786.79</c:v>
                </c:pt>
                <c:pt idx="6">
                  <c:v>786.24</c:v>
                </c:pt>
                <c:pt idx="7">
                  <c:v>785.54</c:v>
                </c:pt>
                <c:pt idx="8">
                  <c:v>785.49</c:v>
                </c:pt>
                <c:pt idx="9">
                  <c:v>785.38</c:v>
                </c:pt>
                <c:pt idx="10">
                  <c:v>785.2</c:v>
                </c:pt>
                <c:pt idx="11">
                  <c:v>784.97</c:v>
                </c:pt>
                <c:pt idx="12">
                  <c:v>785.01</c:v>
                </c:pt>
                <c:pt idx="13">
                  <c:v>784.8</c:v>
                </c:pt>
                <c:pt idx="14">
                  <c:v>784.86</c:v>
                </c:pt>
                <c:pt idx="15">
                  <c:v>784.74</c:v>
                </c:pt>
                <c:pt idx="16">
                  <c:v>784.66</c:v>
                </c:pt>
                <c:pt idx="17">
                  <c:v>784.48</c:v>
                </c:pt>
                <c:pt idx="18">
                  <c:v>784.19</c:v>
                </c:pt>
                <c:pt idx="19">
                  <c:v>784.13</c:v>
                </c:pt>
                <c:pt idx="20">
                  <c:v>784.14</c:v>
                </c:pt>
                <c:pt idx="21">
                  <c:v>784.42</c:v>
                </c:pt>
                <c:pt idx="22">
                  <c:v>784.66</c:v>
                </c:pt>
                <c:pt idx="23">
                  <c:v>784.56</c:v>
                </c:pt>
                <c:pt idx="24">
                  <c:v>786.24</c:v>
                </c:pt>
                <c:pt idx="25">
                  <c:v>788.78</c:v>
                </c:pt>
                <c:pt idx="26">
                  <c:v>790.25</c:v>
                </c:pt>
                <c:pt idx="27">
                  <c:v>792.82</c:v>
                </c:pt>
                <c:pt idx="28">
                  <c:v>793.34</c:v>
                </c:pt>
                <c:pt idx="29">
                  <c:v>791.16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FED-41E4-AFDF-EAF4E15155F2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2016-05-18'!$A$38:$A$39</c:f>
              <c:numCache>
                <c:formatCode>0.00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'Fecha 2016-05-18'!$B$38:$B$39</c:f>
              <c:numCache>
                <c:formatCode>0.000</c:formatCode>
                <c:ptCount val="2"/>
                <c:pt idx="0">
                  <c:v>788.22299999999996</c:v>
                </c:pt>
                <c:pt idx="1">
                  <c:v>789.72299999999996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FED-41E4-AFDF-EAF4E15155F2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2016-05-18'!$A$36:$A$37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'Fecha 2016-05-18'!$B$36:$B$37</c:f>
              <c:numCache>
                <c:formatCode>0.000</c:formatCode>
                <c:ptCount val="2"/>
                <c:pt idx="0">
                  <c:v>785.745</c:v>
                </c:pt>
                <c:pt idx="1">
                  <c:v>788.38499999999999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ED-41E4-AFDF-EAF4E15155F2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2016-05-18'!$A$34:$A$35</c:f>
              <c:numCache>
                <c:formatCode>0.00</c:formatCode>
                <c:ptCount val="2"/>
                <c:pt idx="0">
                  <c:v>11</c:v>
                </c:pt>
                <c:pt idx="1">
                  <c:v>25.3</c:v>
                </c:pt>
              </c:numCache>
            </c:numRef>
          </c:xVal>
          <c:yVal>
            <c:numRef>
              <c:f>'Fecha 2016-05-18'!$B$34:$B$35</c:f>
              <c:numCache>
                <c:formatCode>0.000</c:formatCode>
                <c:ptCount val="2"/>
                <c:pt idx="0">
                  <c:v>786.24</c:v>
                </c:pt>
                <c:pt idx="1">
                  <c:v>786.24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FED-41E4-AFDF-EAF4E15155F2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2016-05-18'!$A$40:$A$41</c:f>
              <c:numCache>
                <c:formatCode>0.00</c:formatCode>
                <c:ptCount val="2"/>
                <c:pt idx="0">
                  <c:v>0</c:v>
                </c:pt>
                <c:pt idx="1">
                  <c:v>28.3</c:v>
                </c:pt>
              </c:numCache>
            </c:numRef>
          </c:xVal>
          <c:yVal>
            <c:numRef>
              <c:f>'Fecha 2016-05-18'!$B$40:$B$41</c:f>
              <c:numCache>
                <c:formatCode>0.000</c:formatCode>
                <c:ptCount val="2"/>
                <c:pt idx="0">
                  <c:v>791</c:v>
                </c:pt>
                <c:pt idx="1">
                  <c:v>791.1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FED-41E4-AFDF-EAF4E1515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74608"/>
        <c:axId val="321171080"/>
      </c:scatterChart>
      <c:valAx>
        <c:axId val="321174608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57961096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1080"/>
        <c:crossesAt val="89"/>
        <c:crossBetween val="midCat"/>
        <c:majorUnit val="5"/>
        <c:minorUnit val="2.5"/>
      </c:valAx>
      <c:valAx>
        <c:axId val="321171080"/>
        <c:scaling>
          <c:orientation val="minMax"/>
          <c:max val="795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6169205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4608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    PERFIL TRANSVERSAL
ESTACION:    ROSARIO   
CORRIENTE:  CARAÑO
Código:           44037040
Levantó:       PALACIOS
Dibujó:          PALACIOS
Revisó:    
 Fecha:  2016-07-19</a:t>
            </a:r>
          </a:p>
          <a:p>
            <a:pPr algn="l"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O"/>
              <a:t>
 IDEAM - Area Operativa No. 04</a:t>
            </a:r>
          </a:p>
        </c:rich>
      </c:tx>
      <c:layout>
        <c:manualLayout>
          <c:xMode val="edge"/>
          <c:yMode val="edge"/>
          <c:x val="0.57108622565997591"/>
          <c:y val="4.5562219442195899E-2"/>
        </c:manualLayout>
      </c:layout>
      <c:overlay val="0"/>
      <c:spPr>
        <a:solidFill>
          <a:srgbClr val="FFFFFF"/>
        </a:solidFill>
        <a:ln w="25400">
          <a:solidFill>
            <a:srgbClr val="000000"/>
          </a:solidFill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4.541633488304863E-2"/>
          <c:y val="2.5842696629213496E-2"/>
          <c:w val="0.93608112453394587"/>
          <c:h val="0.90898876404494355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2016-07-19'!$A$3:$A$33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12.7</c:v>
                </c:pt>
                <c:pt idx="7">
                  <c:v>13.4</c:v>
                </c:pt>
                <c:pt idx="8">
                  <c:v>14.1</c:v>
                </c:pt>
                <c:pt idx="9">
                  <c:v>14.8</c:v>
                </c:pt>
                <c:pt idx="10">
                  <c:v>15.5</c:v>
                </c:pt>
                <c:pt idx="11">
                  <c:v>16.2</c:v>
                </c:pt>
                <c:pt idx="12">
                  <c:v>16.899999999999999</c:v>
                </c:pt>
                <c:pt idx="13">
                  <c:v>17.600000000000001</c:v>
                </c:pt>
                <c:pt idx="14">
                  <c:v>18.3</c:v>
                </c:pt>
                <c:pt idx="15">
                  <c:v>19</c:v>
                </c:pt>
                <c:pt idx="16">
                  <c:v>19.7</c:v>
                </c:pt>
                <c:pt idx="17">
                  <c:v>20.399999999999999</c:v>
                </c:pt>
                <c:pt idx="18">
                  <c:v>21.1</c:v>
                </c:pt>
                <c:pt idx="19">
                  <c:v>21.8</c:v>
                </c:pt>
                <c:pt idx="20">
                  <c:v>22.5</c:v>
                </c:pt>
                <c:pt idx="21">
                  <c:v>23.2</c:v>
                </c:pt>
                <c:pt idx="22">
                  <c:v>23.9</c:v>
                </c:pt>
                <c:pt idx="23">
                  <c:v>24.6</c:v>
                </c:pt>
                <c:pt idx="24">
                  <c:v>26</c:v>
                </c:pt>
                <c:pt idx="25">
                  <c:v>26</c:v>
                </c:pt>
                <c:pt idx="26">
                  <c:v>26</c:v>
                </c:pt>
                <c:pt idx="27">
                  <c:v>27</c:v>
                </c:pt>
                <c:pt idx="28">
                  <c:v>28.3</c:v>
                </c:pt>
              </c:numCache>
            </c:numRef>
          </c:xVal>
          <c:yVal>
            <c:numRef>
              <c:f>'Fecha 2016-07-19'!$B$3:$B$33</c:f>
              <c:numCache>
                <c:formatCode>0.000</c:formatCode>
                <c:ptCount val="31"/>
                <c:pt idx="0">
                  <c:v>791.2</c:v>
                </c:pt>
                <c:pt idx="1">
                  <c:v>791.1</c:v>
                </c:pt>
                <c:pt idx="2">
                  <c:v>787.87</c:v>
                </c:pt>
                <c:pt idx="3">
                  <c:v>786.8</c:v>
                </c:pt>
                <c:pt idx="4">
                  <c:v>786.49</c:v>
                </c:pt>
                <c:pt idx="5">
                  <c:v>786.08</c:v>
                </c:pt>
                <c:pt idx="6">
                  <c:v>786.01</c:v>
                </c:pt>
                <c:pt idx="7">
                  <c:v>785.92</c:v>
                </c:pt>
                <c:pt idx="8">
                  <c:v>785.7</c:v>
                </c:pt>
                <c:pt idx="9">
                  <c:v>785.55</c:v>
                </c:pt>
                <c:pt idx="10">
                  <c:v>785.3</c:v>
                </c:pt>
                <c:pt idx="11">
                  <c:v>785.15</c:v>
                </c:pt>
                <c:pt idx="12">
                  <c:v>784.83</c:v>
                </c:pt>
                <c:pt idx="13">
                  <c:v>784.7</c:v>
                </c:pt>
                <c:pt idx="14">
                  <c:v>785.06</c:v>
                </c:pt>
                <c:pt idx="15">
                  <c:v>785.05</c:v>
                </c:pt>
                <c:pt idx="16">
                  <c:v>784.68</c:v>
                </c:pt>
                <c:pt idx="17">
                  <c:v>784.6</c:v>
                </c:pt>
                <c:pt idx="18">
                  <c:v>784.57</c:v>
                </c:pt>
                <c:pt idx="19">
                  <c:v>784.2</c:v>
                </c:pt>
                <c:pt idx="20">
                  <c:v>784.23</c:v>
                </c:pt>
                <c:pt idx="21">
                  <c:v>784.44</c:v>
                </c:pt>
                <c:pt idx="22">
                  <c:v>784.41</c:v>
                </c:pt>
                <c:pt idx="23">
                  <c:v>784.6</c:v>
                </c:pt>
                <c:pt idx="24">
                  <c:v>784.7</c:v>
                </c:pt>
                <c:pt idx="25">
                  <c:v>786.49</c:v>
                </c:pt>
                <c:pt idx="26">
                  <c:v>788.84</c:v>
                </c:pt>
                <c:pt idx="27">
                  <c:v>789.46</c:v>
                </c:pt>
                <c:pt idx="28">
                  <c:v>791.1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7D-4A29-B2DD-AEE1644608B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'Fecha 2016-07-19'!$A$38:$A$39</c:f>
              <c:numCache>
                <c:formatCode>0.00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'Fecha 2016-07-19'!$B$38:$B$39</c:f>
              <c:numCache>
                <c:formatCode>0.000</c:formatCode>
                <c:ptCount val="2"/>
                <c:pt idx="0">
                  <c:v>788.22299999999996</c:v>
                </c:pt>
                <c:pt idx="1">
                  <c:v>789.72299999999996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87D-4A29-B2DD-AEE1644608B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'Fecha 2016-07-19'!$A$36:$A$37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'Fecha 2016-07-19'!$B$36:$B$37</c:f>
              <c:numCache>
                <c:formatCode>0.000</c:formatCode>
                <c:ptCount val="2"/>
                <c:pt idx="0">
                  <c:v>785.745</c:v>
                </c:pt>
                <c:pt idx="1">
                  <c:v>788.38499999999999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87D-4A29-B2DD-AEE1644608B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'Fecha 2016-07-19'!$A$34:$A$35</c:f>
              <c:numCache>
                <c:formatCode>0.00</c:formatCode>
                <c:ptCount val="2"/>
                <c:pt idx="0">
                  <c:v>10</c:v>
                </c:pt>
                <c:pt idx="1">
                  <c:v>26</c:v>
                </c:pt>
              </c:numCache>
            </c:numRef>
          </c:xVal>
          <c:yVal>
            <c:numRef>
              <c:f>'Fecha 2016-07-19'!$B$34:$B$35</c:f>
              <c:numCache>
                <c:formatCode>0.000</c:formatCode>
                <c:ptCount val="2"/>
                <c:pt idx="0">
                  <c:v>786.49</c:v>
                </c:pt>
                <c:pt idx="1">
                  <c:v>786.49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87D-4A29-B2DD-AEE1644608B5}"/>
            </c:ext>
          </c:extLst>
        </c:ser>
        <c:ser>
          <c:idx val="2"/>
          <c:order val="4"/>
          <c:tx>
            <c:v>Desbordamiento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'Fecha 2016-07-19'!$A$40:$A$41</c:f>
              <c:numCache>
                <c:formatCode>0.00</c:formatCode>
                <c:ptCount val="2"/>
                <c:pt idx="0">
                  <c:v>0</c:v>
                </c:pt>
                <c:pt idx="1">
                  <c:v>28.3</c:v>
                </c:pt>
              </c:numCache>
            </c:numRef>
          </c:xVal>
          <c:yVal>
            <c:numRef>
              <c:f>'Fecha 2016-07-19'!$B$40:$B$41</c:f>
              <c:numCache>
                <c:formatCode>0.000</c:formatCode>
                <c:ptCount val="2"/>
                <c:pt idx="0">
                  <c:v>791</c:v>
                </c:pt>
                <c:pt idx="1">
                  <c:v>791.1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87D-4A29-B2DD-AEE164460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76176"/>
        <c:axId val="321175000"/>
      </c:scatterChart>
      <c:valAx>
        <c:axId val="321176176"/>
        <c:scaling>
          <c:orientation val="minMax"/>
          <c:max val="30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771253992746282"/>
              <c:y val="0.9629213579610960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5000"/>
        <c:crossesAt val="89"/>
        <c:crossBetween val="midCat"/>
        <c:majorUnit val="5"/>
        <c:minorUnit val="2.5"/>
      </c:valAx>
      <c:valAx>
        <c:axId val="321175000"/>
        <c:scaling>
          <c:orientation val="minMax"/>
          <c:max val="795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2052144659377629E-3"/>
              <c:y val="0.4359550616920547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6176"/>
        <c:crossesAt val="0"/>
        <c:crossBetween val="midCat"/>
        <c:majorUnit val="1"/>
        <c:min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>
      <c:oddHeader>&amp;A</c:oddHeader>
      <c:oddFooter>Página &amp;P</c:oddFooter>
    </c:headerFooter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M.PALACIOS, Dibujó: J.RAMOS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30/01/2017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tx>
            <c:v>COTA</c:v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'PLANTILLA NAOI-NAOD'!$A$5:$A$35</c:f>
              <c:numCache>
                <c:formatCode>0.000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9</c:v>
                </c:pt>
                <c:pt idx="4">
                  <c:v>10.5</c:v>
                </c:pt>
                <c:pt idx="5">
                  <c:v>11.5</c:v>
                </c:pt>
                <c:pt idx="6">
                  <c:v>12.5</c:v>
                </c:pt>
                <c:pt idx="7">
                  <c:v>13</c:v>
                </c:pt>
                <c:pt idx="8">
                  <c:v>13.5</c:v>
                </c:pt>
                <c:pt idx="9">
                  <c:v>14</c:v>
                </c:pt>
                <c:pt idx="10">
                  <c:v>14.5</c:v>
                </c:pt>
                <c:pt idx="11">
                  <c:v>15</c:v>
                </c:pt>
                <c:pt idx="12">
                  <c:v>15.5</c:v>
                </c:pt>
                <c:pt idx="13">
                  <c:v>16</c:v>
                </c:pt>
                <c:pt idx="14">
                  <c:v>16.5</c:v>
                </c:pt>
                <c:pt idx="15">
                  <c:v>17</c:v>
                </c:pt>
                <c:pt idx="16">
                  <c:v>17.5</c:v>
                </c:pt>
                <c:pt idx="17">
                  <c:v>18</c:v>
                </c:pt>
                <c:pt idx="18">
                  <c:v>18.5</c:v>
                </c:pt>
                <c:pt idx="19">
                  <c:v>19</c:v>
                </c:pt>
                <c:pt idx="20">
                  <c:v>19.5</c:v>
                </c:pt>
                <c:pt idx="21">
                  <c:v>20</c:v>
                </c:pt>
                <c:pt idx="22">
                  <c:v>20.5</c:v>
                </c:pt>
                <c:pt idx="23">
                  <c:v>21</c:v>
                </c:pt>
                <c:pt idx="24">
                  <c:v>23</c:v>
                </c:pt>
                <c:pt idx="25">
                  <c:v>23</c:v>
                </c:pt>
                <c:pt idx="26">
                  <c:v>25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  <c:pt idx="30">
                  <c:v>32</c:v>
                </c:pt>
              </c:numCache>
            </c:numRef>
          </c:xVal>
          <c:yVal>
            <c:numRef>
              <c:f>'PLANTILLA NAOI-NAOD'!$B$5:$B$35</c:f>
              <c:numCache>
                <c:formatCode>0.000</c:formatCode>
                <c:ptCount val="31"/>
                <c:pt idx="0">
                  <c:v>98.69</c:v>
                </c:pt>
                <c:pt idx="1">
                  <c:v>97.131999999999991</c:v>
                </c:pt>
                <c:pt idx="2">
                  <c:v>96.361999999999995</c:v>
                </c:pt>
                <c:pt idx="3">
                  <c:v>95.071999999999989</c:v>
                </c:pt>
                <c:pt idx="4">
                  <c:v>94.821999999999989</c:v>
                </c:pt>
                <c:pt idx="5">
                  <c:v>94.521999999999991</c:v>
                </c:pt>
                <c:pt idx="6">
                  <c:v>94.471999999999994</c:v>
                </c:pt>
                <c:pt idx="7">
                  <c:v>94.461999999999989</c:v>
                </c:pt>
                <c:pt idx="8">
                  <c:v>94.441999999999993</c:v>
                </c:pt>
                <c:pt idx="9">
                  <c:v>94.431999999999988</c:v>
                </c:pt>
                <c:pt idx="10">
                  <c:v>94.321999999999989</c:v>
                </c:pt>
                <c:pt idx="11">
                  <c:v>94.261999999999986</c:v>
                </c:pt>
                <c:pt idx="12">
                  <c:v>94.35199999999999</c:v>
                </c:pt>
                <c:pt idx="13">
                  <c:v>94.331999999999994</c:v>
                </c:pt>
                <c:pt idx="14">
                  <c:v>94.261999999999986</c:v>
                </c:pt>
                <c:pt idx="15">
                  <c:v>94.321999999999989</c:v>
                </c:pt>
                <c:pt idx="16">
                  <c:v>94.281999999999982</c:v>
                </c:pt>
                <c:pt idx="17">
                  <c:v>94.321999999999989</c:v>
                </c:pt>
                <c:pt idx="18">
                  <c:v>94.341999999999985</c:v>
                </c:pt>
                <c:pt idx="19">
                  <c:v>94.431999999999988</c:v>
                </c:pt>
                <c:pt idx="20">
                  <c:v>94.451999999999984</c:v>
                </c:pt>
                <c:pt idx="21">
                  <c:v>94.521999999999991</c:v>
                </c:pt>
                <c:pt idx="22">
                  <c:v>94.521999999999991</c:v>
                </c:pt>
                <c:pt idx="23">
                  <c:v>94.471999999999994</c:v>
                </c:pt>
                <c:pt idx="24">
                  <c:v>94.771999999999991</c:v>
                </c:pt>
                <c:pt idx="25">
                  <c:v>94.801999999999992</c:v>
                </c:pt>
                <c:pt idx="26">
                  <c:v>96.512</c:v>
                </c:pt>
                <c:pt idx="27">
                  <c:v>98.012</c:v>
                </c:pt>
                <c:pt idx="28">
                  <c:v>98.122</c:v>
                </c:pt>
                <c:pt idx="29">
                  <c:v>98.221000000000004</c:v>
                </c:pt>
                <c:pt idx="30">
                  <c:v>98.694000000000003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48F-4CD1-AF4D-443BCB761A5A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'PLANTILLA NAOI-NAOD'!$A$57:$A$58</c:f>
              <c:numCache>
                <c:formatCode>0.00</c:formatCode>
                <c:ptCount val="2"/>
                <c:pt idx="0">
                  <c:v>23.5</c:v>
                </c:pt>
                <c:pt idx="1">
                  <c:v>23.5</c:v>
                </c:pt>
              </c:numCache>
            </c:numRef>
          </c:xVal>
          <c:yVal>
            <c:numRef>
              <c:f>'PLANTILLA NAOI-NAOD'!$B$57:$B$58</c:f>
              <c:numCache>
                <c:formatCode>0.000</c:formatCode>
                <c:ptCount val="2"/>
                <c:pt idx="0">
                  <c:v>96.317999999999998</c:v>
                </c:pt>
                <c:pt idx="1">
                  <c:v>97.817999999999998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48F-4CD1-AF4D-443BCB761A5A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'PLANTILLA NAOI-NAOD'!$A$55:$A$56</c:f>
              <c:numCache>
                <c:formatCode>0.00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'PLANTILLA NAOI-NAOD'!$B$55:$B$56</c:f>
              <c:numCache>
                <c:formatCode>0.000</c:formatCode>
                <c:ptCount val="2"/>
                <c:pt idx="0">
                  <c:v>93.302999999999997</c:v>
                </c:pt>
                <c:pt idx="1">
                  <c:v>97.302999999999997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8F-4CD1-AF4D-443BCB761A5A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'PLANTILLA NAOI-NAOD'!$A$53:$A$54</c:f>
              <c:numCache>
                <c:formatCode>0.00</c:formatCode>
                <c:ptCount val="2"/>
                <c:pt idx="0">
                  <c:v>10.5</c:v>
                </c:pt>
                <c:pt idx="1">
                  <c:v>23</c:v>
                </c:pt>
              </c:numCache>
            </c:numRef>
          </c:xVal>
          <c:yVal>
            <c:numRef>
              <c:f>'PLANTILLA NAOI-NAOD'!$B$53:$B$54</c:f>
              <c:numCache>
                <c:formatCode>0.000</c:formatCode>
                <c:ptCount val="2"/>
                <c:pt idx="0">
                  <c:v>94.821999999999989</c:v>
                </c:pt>
                <c:pt idx="1">
                  <c:v>94.801999999999992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48F-4CD1-AF4D-443BCB761A5A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'PLANTILLA NAOI-NAOD'!$A$59:$A$60</c:f>
              <c:numCache>
                <c:formatCode>0.00</c:formatCode>
                <c:ptCount val="2"/>
              </c:numCache>
            </c:numRef>
          </c:xVal>
          <c:yVal>
            <c:numRef>
              <c:f>'PLANTILLA NAOI-NAOD'!$B$59:$B$60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B48F-4CD1-AF4D-443BCB761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75392"/>
        <c:axId val="321169120"/>
      </c:scatterChart>
      <c:valAx>
        <c:axId val="321175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69120"/>
        <c:crosses val="autoZero"/>
        <c:crossBetween val="midCat"/>
      </c:valAx>
      <c:valAx>
        <c:axId val="321169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2117539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A. RAMIREZ.-, Dibujó: A. RAMIREZ.-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16/03/2017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'2017-3-16'!$A$5:$A$29</c:f>
              <c:numCache>
                <c:formatCode>0.000</c:formatCode>
                <c:ptCount val="25"/>
                <c:pt idx="0">
                  <c:v>0</c:v>
                </c:pt>
                <c:pt idx="1">
                  <c:v>3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13</c:v>
                </c:pt>
                <c:pt idx="8">
                  <c:v>20</c:v>
                </c:pt>
                <c:pt idx="9">
                  <c:v>21</c:v>
                </c:pt>
                <c:pt idx="10">
                  <c:v>21.5</c:v>
                </c:pt>
                <c:pt idx="11">
                  <c:v>22</c:v>
                </c:pt>
                <c:pt idx="12">
                  <c:v>22.5</c:v>
                </c:pt>
                <c:pt idx="13">
                  <c:v>23</c:v>
                </c:pt>
                <c:pt idx="14">
                  <c:v>23.5</c:v>
                </c:pt>
                <c:pt idx="15">
                  <c:v>24</c:v>
                </c:pt>
                <c:pt idx="16">
                  <c:v>24.5</c:v>
                </c:pt>
                <c:pt idx="17">
                  <c:v>25</c:v>
                </c:pt>
                <c:pt idx="18">
                  <c:v>25.5</c:v>
                </c:pt>
                <c:pt idx="19">
                  <c:v>26</c:v>
                </c:pt>
                <c:pt idx="20">
                  <c:v>26.8</c:v>
                </c:pt>
                <c:pt idx="21">
                  <c:v>26.8</c:v>
                </c:pt>
                <c:pt idx="22">
                  <c:v>26.8</c:v>
                </c:pt>
                <c:pt idx="23">
                  <c:v>27.5</c:v>
                </c:pt>
                <c:pt idx="24">
                  <c:v>27.5</c:v>
                </c:pt>
              </c:numCache>
            </c:numRef>
          </c:xVal>
          <c:yVal>
            <c:numRef>
              <c:f>'2017-3-16'!$B$5:$B$29</c:f>
              <c:numCache>
                <c:formatCode>0.000</c:formatCode>
                <c:ptCount val="25"/>
                <c:pt idx="0">
                  <c:v>791.86</c:v>
                </c:pt>
                <c:pt idx="1">
                  <c:v>791.60700000000008</c:v>
                </c:pt>
                <c:pt idx="2">
                  <c:v>790.33200000000011</c:v>
                </c:pt>
                <c:pt idx="3">
                  <c:v>788.88700000000006</c:v>
                </c:pt>
                <c:pt idx="4">
                  <c:v>788.58</c:v>
                </c:pt>
                <c:pt idx="5">
                  <c:v>788.34</c:v>
                </c:pt>
                <c:pt idx="6">
                  <c:v>787.38800000000003</c:v>
                </c:pt>
                <c:pt idx="7">
                  <c:v>786.74</c:v>
                </c:pt>
                <c:pt idx="8">
                  <c:v>785.58</c:v>
                </c:pt>
                <c:pt idx="9">
                  <c:v>785.43000000000006</c:v>
                </c:pt>
                <c:pt idx="10">
                  <c:v>785.34</c:v>
                </c:pt>
                <c:pt idx="11">
                  <c:v>785.31000000000006</c:v>
                </c:pt>
                <c:pt idx="12">
                  <c:v>785.28</c:v>
                </c:pt>
                <c:pt idx="13">
                  <c:v>785.29</c:v>
                </c:pt>
                <c:pt idx="14">
                  <c:v>785.13</c:v>
                </c:pt>
                <c:pt idx="15">
                  <c:v>785.34</c:v>
                </c:pt>
                <c:pt idx="16">
                  <c:v>785.25</c:v>
                </c:pt>
                <c:pt idx="17">
                  <c:v>784.89</c:v>
                </c:pt>
                <c:pt idx="18">
                  <c:v>784.74</c:v>
                </c:pt>
                <c:pt idx="19">
                  <c:v>784.92</c:v>
                </c:pt>
                <c:pt idx="20">
                  <c:v>785.99</c:v>
                </c:pt>
                <c:pt idx="21">
                  <c:v>786.74</c:v>
                </c:pt>
                <c:pt idx="22">
                  <c:v>788.7600000000001</c:v>
                </c:pt>
                <c:pt idx="23">
                  <c:v>791.26800000000014</c:v>
                </c:pt>
                <c:pt idx="24">
                  <c:v>791.86400000000015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16F-453A-AF2F-85264B8F4DD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'2017-3-16'!$A$57:$A$58</c:f>
              <c:numCache>
                <c:formatCode>0.00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'2017-3-16'!$B$57:$B$58</c:f>
              <c:numCache>
                <c:formatCode>0.000</c:formatCode>
                <c:ptCount val="2"/>
                <c:pt idx="0">
                  <c:v>788.85400000000004</c:v>
                </c:pt>
                <c:pt idx="1">
                  <c:v>790.35400000000004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16F-453A-AF2F-85264B8F4DD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'2017-3-16'!$A$55:$A$56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'2017-3-16'!$B$55:$B$56</c:f>
              <c:numCache>
                <c:formatCode>0.000</c:formatCode>
                <c:ptCount val="2"/>
                <c:pt idx="0">
                  <c:v>786.471</c:v>
                </c:pt>
                <c:pt idx="1">
                  <c:v>789.471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6F-453A-AF2F-85264B8F4DD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'2017-3-16'!$A$53:$A$54</c:f>
              <c:numCache>
                <c:formatCode>0.00</c:formatCode>
                <c:ptCount val="2"/>
                <c:pt idx="0">
                  <c:v>13</c:v>
                </c:pt>
                <c:pt idx="1">
                  <c:v>26.8</c:v>
                </c:pt>
              </c:numCache>
            </c:numRef>
          </c:xVal>
          <c:yVal>
            <c:numRef>
              <c:f>'2017-3-16'!$B$53:$B$54</c:f>
              <c:numCache>
                <c:formatCode>0.000</c:formatCode>
                <c:ptCount val="2"/>
                <c:pt idx="0">
                  <c:v>786.74</c:v>
                </c:pt>
                <c:pt idx="1">
                  <c:v>786.74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16F-453A-AF2F-85264B8F4DD5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'2017-3-16'!$A$59:$A$60</c:f>
              <c:numCache>
                <c:formatCode>0.00</c:formatCode>
                <c:ptCount val="2"/>
              </c:numCache>
            </c:numRef>
          </c:xVal>
          <c:yVal>
            <c:numRef>
              <c:f>'2017-3-16'!$B$59:$B$60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16F-453A-AF2F-85264B8F4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55072"/>
        <c:axId val="330852328"/>
      </c:scatterChart>
      <c:valAx>
        <c:axId val="330855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2328"/>
        <c:crosses val="autoZero"/>
        <c:crossBetween val="midCat"/>
      </c:valAx>
      <c:valAx>
        <c:axId val="330852328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507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PALACIOS, Dibujó: PALACIOS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07/09/2017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'2017-9-7'!$A$5:$A$29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21</c:v>
                </c:pt>
                <c:pt idx="11">
                  <c:v>22</c:v>
                </c:pt>
                <c:pt idx="12">
                  <c:v>22.5</c:v>
                </c:pt>
                <c:pt idx="13">
                  <c:v>23</c:v>
                </c:pt>
                <c:pt idx="14">
                  <c:v>23.5</c:v>
                </c:pt>
                <c:pt idx="15">
                  <c:v>24</c:v>
                </c:pt>
                <c:pt idx="16">
                  <c:v>24.5</c:v>
                </c:pt>
                <c:pt idx="17">
                  <c:v>25</c:v>
                </c:pt>
                <c:pt idx="18">
                  <c:v>25.5</c:v>
                </c:pt>
                <c:pt idx="19">
                  <c:v>26</c:v>
                </c:pt>
                <c:pt idx="20">
                  <c:v>27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28</c:v>
                </c:pt>
              </c:numCache>
            </c:numRef>
          </c:xVal>
          <c:yVal>
            <c:numRef>
              <c:f>'2017-9-7'!$B$5:$B$29</c:f>
              <c:numCache>
                <c:formatCode>0.000</c:formatCode>
                <c:ptCount val="25"/>
                <c:pt idx="0">
                  <c:v>791.86</c:v>
                </c:pt>
                <c:pt idx="1">
                  <c:v>793.98500000000001</c:v>
                </c:pt>
                <c:pt idx="2">
                  <c:v>790.72</c:v>
                </c:pt>
                <c:pt idx="3">
                  <c:v>789.50300000000004</c:v>
                </c:pt>
                <c:pt idx="4">
                  <c:v>788.51</c:v>
                </c:pt>
                <c:pt idx="5">
                  <c:v>787.51</c:v>
                </c:pt>
                <c:pt idx="6">
                  <c:v>786.87700000000007</c:v>
                </c:pt>
                <c:pt idx="7">
                  <c:v>786.19700000000012</c:v>
                </c:pt>
                <c:pt idx="8">
                  <c:v>785.89700000000005</c:v>
                </c:pt>
                <c:pt idx="9">
                  <c:v>785.92700000000002</c:v>
                </c:pt>
                <c:pt idx="10">
                  <c:v>785.32700000000011</c:v>
                </c:pt>
                <c:pt idx="11">
                  <c:v>785.31700000000012</c:v>
                </c:pt>
                <c:pt idx="12">
                  <c:v>785.29700000000003</c:v>
                </c:pt>
                <c:pt idx="13">
                  <c:v>785.06700000000012</c:v>
                </c:pt>
                <c:pt idx="14">
                  <c:v>785.20700000000011</c:v>
                </c:pt>
                <c:pt idx="15">
                  <c:v>785.02700000000004</c:v>
                </c:pt>
                <c:pt idx="16">
                  <c:v>785.0870000000001</c:v>
                </c:pt>
                <c:pt idx="17">
                  <c:v>784.87700000000007</c:v>
                </c:pt>
                <c:pt idx="18">
                  <c:v>784.72700000000009</c:v>
                </c:pt>
                <c:pt idx="19">
                  <c:v>784.7170000000001</c:v>
                </c:pt>
                <c:pt idx="20">
                  <c:v>786.67700000000002</c:v>
                </c:pt>
                <c:pt idx="21">
                  <c:v>786.87700000000007</c:v>
                </c:pt>
                <c:pt idx="22">
                  <c:v>789.43900000000008</c:v>
                </c:pt>
                <c:pt idx="23">
                  <c:v>790.84500000000003</c:v>
                </c:pt>
                <c:pt idx="24">
                  <c:v>791.12500000000011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A0-4CD9-A720-07C2340D7B1C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'2017-9-7'!$A$57:$A$58</c:f>
              <c:numCache>
                <c:formatCode>0.00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'2017-9-7'!$B$57:$B$58</c:f>
              <c:numCache>
                <c:formatCode>0.000</c:formatCode>
                <c:ptCount val="2"/>
                <c:pt idx="0">
                  <c:v>788.68</c:v>
                </c:pt>
                <c:pt idx="1">
                  <c:v>790.18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1A0-4CD9-A720-07C2340D7B1C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'2017-9-7'!$A$55:$A$56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'2017-9-7'!$B$55:$B$56</c:f>
              <c:numCache>
                <c:formatCode>0.000</c:formatCode>
                <c:ptCount val="2"/>
                <c:pt idx="0">
                  <c:v>786.46</c:v>
                </c:pt>
                <c:pt idx="1">
                  <c:v>789.46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1A0-4CD9-A720-07C2340D7B1C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'2017-9-7'!$A$53:$A$54</c:f>
              <c:numCache>
                <c:formatCode>0.00</c:formatCode>
                <c:ptCount val="2"/>
                <c:pt idx="0">
                  <c:v>10</c:v>
                </c:pt>
                <c:pt idx="1">
                  <c:v>27</c:v>
                </c:pt>
              </c:numCache>
            </c:numRef>
          </c:xVal>
          <c:yVal>
            <c:numRef>
              <c:f>'2017-9-7'!$B$53:$B$54</c:f>
              <c:numCache>
                <c:formatCode>0.000</c:formatCode>
                <c:ptCount val="2"/>
                <c:pt idx="0">
                  <c:v>786.87700000000007</c:v>
                </c:pt>
                <c:pt idx="1">
                  <c:v>786.87700000000007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1A0-4CD9-A720-07C2340D7B1C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'2017-9-7'!$A$59:$A$60</c:f>
              <c:numCache>
                <c:formatCode>0.00</c:formatCode>
                <c:ptCount val="2"/>
              </c:numCache>
            </c:numRef>
          </c:xVal>
          <c:yVal>
            <c:numRef>
              <c:f>'2017-9-7'!$B$59:$B$60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1A0-4CD9-A720-07C2340D7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51152"/>
        <c:axId val="330851544"/>
      </c:scatterChart>
      <c:valAx>
        <c:axId val="3308511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1544"/>
        <c:crosses val="autoZero"/>
        <c:crossBetween val="midCat"/>
      </c:valAx>
      <c:valAx>
        <c:axId val="330851544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115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GUEVARA, Dibujó: RAMOS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2/04/2018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0969452502647695"/>
          <c:y val="4.3291487149012035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'2018-04-02'!$A$5:$A$39</c:f>
              <c:numCache>
                <c:formatCode>0.000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11.7</c:v>
                </c:pt>
                <c:pt idx="6">
                  <c:v>13.7</c:v>
                </c:pt>
                <c:pt idx="7">
                  <c:v>14.62</c:v>
                </c:pt>
                <c:pt idx="8">
                  <c:v>15.6</c:v>
                </c:pt>
                <c:pt idx="9">
                  <c:v>16.03</c:v>
                </c:pt>
                <c:pt idx="10">
                  <c:v>17.010000000000002</c:v>
                </c:pt>
                <c:pt idx="11">
                  <c:v>17.650000000000002</c:v>
                </c:pt>
                <c:pt idx="12">
                  <c:v>18.450000000000003</c:v>
                </c:pt>
                <c:pt idx="13">
                  <c:v>19.090000000000003</c:v>
                </c:pt>
                <c:pt idx="14">
                  <c:v>19.820000000000004</c:v>
                </c:pt>
                <c:pt idx="15">
                  <c:v>20.530000000000005</c:v>
                </c:pt>
                <c:pt idx="16">
                  <c:v>21.080000000000005</c:v>
                </c:pt>
                <c:pt idx="17">
                  <c:v>21.920000000000005</c:v>
                </c:pt>
                <c:pt idx="18">
                  <c:v>22.780000000000005</c:v>
                </c:pt>
                <c:pt idx="19">
                  <c:v>23.480000000000004</c:v>
                </c:pt>
                <c:pt idx="20">
                  <c:v>24.180000000000003</c:v>
                </c:pt>
                <c:pt idx="21">
                  <c:v>24.950000000000003</c:v>
                </c:pt>
                <c:pt idx="22">
                  <c:v>25.380000000000003</c:v>
                </c:pt>
                <c:pt idx="23">
                  <c:v>25.900000000000002</c:v>
                </c:pt>
                <c:pt idx="24">
                  <c:v>26.410000000000004</c:v>
                </c:pt>
                <c:pt idx="25">
                  <c:v>27.180000000000003</c:v>
                </c:pt>
                <c:pt idx="26">
                  <c:v>27.680000000000003</c:v>
                </c:pt>
                <c:pt idx="27">
                  <c:v>27.680000000000003</c:v>
                </c:pt>
                <c:pt idx="28">
                  <c:v>29.680000000000003</c:v>
                </c:pt>
                <c:pt idx="29">
                  <c:v>30.680000000000003</c:v>
                </c:pt>
                <c:pt idx="30">
                  <c:v>31.980000000000004</c:v>
                </c:pt>
                <c:pt idx="31">
                  <c:v>34.180000000000007</c:v>
                </c:pt>
                <c:pt idx="32">
                  <c:v>34.180000000000007</c:v>
                </c:pt>
                <c:pt idx="33">
                  <c:v>34.180000000000007</c:v>
                </c:pt>
                <c:pt idx="34">
                  <c:v>34.180000000000007</c:v>
                </c:pt>
              </c:numCache>
            </c:numRef>
          </c:xVal>
          <c:yVal>
            <c:numRef>
              <c:f>'2018-04-02'!$B$5:$B$39</c:f>
              <c:numCache>
                <c:formatCode>0.000</c:formatCode>
                <c:ptCount val="35"/>
                <c:pt idx="0">
                  <c:v>791.86</c:v>
                </c:pt>
                <c:pt idx="1">
                  <c:v>792.11900000000003</c:v>
                </c:pt>
                <c:pt idx="2">
                  <c:v>790.755</c:v>
                </c:pt>
                <c:pt idx="3">
                  <c:v>789.57899999999995</c:v>
                </c:pt>
                <c:pt idx="4">
                  <c:v>789.49599999999998</c:v>
                </c:pt>
                <c:pt idx="5">
                  <c:v>787.01699999999994</c:v>
                </c:pt>
                <c:pt idx="6">
                  <c:v>786.76699999999994</c:v>
                </c:pt>
                <c:pt idx="7">
                  <c:v>786.58699999999999</c:v>
                </c:pt>
                <c:pt idx="8">
                  <c:v>786.50699999999995</c:v>
                </c:pt>
                <c:pt idx="9">
                  <c:v>786.50699999999995</c:v>
                </c:pt>
                <c:pt idx="10">
                  <c:v>786.40699999999993</c:v>
                </c:pt>
                <c:pt idx="11">
                  <c:v>786.39699999999993</c:v>
                </c:pt>
                <c:pt idx="12">
                  <c:v>786.27699999999993</c:v>
                </c:pt>
                <c:pt idx="13">
                  <c:v>786.10699999999997</c:v>
                </c:pt>
                <c:pt idx="14">
                  <c:v>785.97699999999998</c:v>
                </c:pt>
                <c:pt idx="15">
                  <c:v>785.9369999999999</c:v>
                </c:pt>
                <c:pt idx="16">
                  <c:v>785.91699999999992</c:v>
                </c:pt>
                <c:pt idx="17">
                  <c:v>785.88699999999994</c:v>
                </c:pt>
                <c:pt idx="18">
                  <c:v>785.70699999999999</c:v>
                </c:pt>
                <c:pt idx="19">
                  <c:v>785.72699999999998</c:v>
                </c:pt>
                <c:pt idx="20">
                  <c:v>785.52699999999993</c:v>
                </c:pt>
                <c:pt idx="21">
                  <c:v>785.65699999999993</c:v>
                </c:pt>
                <c:pt idx="22">
                  <c:v>785.25699999999995</c:v>
                </c:pt>
                <c:pt idx="23">
                  <c:v>785.25699999999995</c:v>
                </c:pt>
                <c:pt idx="24">
                  <c:v>785.31699999999989</c:v>
                </c:pt>
                <c:pt idx="25">
                  <c:v>785.17699999999991</c:v>
                </c:pt>
                <c:pt idx="26">
                  <c:v>785.17699999999991</c:v>
                </c:pt>
                <c:pt idx="27">
                  <c:v>787.02699999999993</c:v>
                </c:pt>
                <c:pt idx="28">
                  <c:v>787.23699999999997</c:v>
                </c:pt>
                <c:pt idx="29">
                  <c:v>788.06</c:v>
                </c:pt>
                <c:pt idx="30">
                  <c:v>788.30799999999999</c:v>
                </c:pt>
                <c:pt idx="31">
                  <c:v>789.76</c:v>
                </c:pt>
                <c:pt idx="32">
                  <c:v>789.85699999999997</c:v>
                </c:pt>
                <c:pt idx="33">
                  <c:v>791.21899999999994</c:v>
                </c:pt>
                <c:pt idx="34">
                  <c:v>791.8599999999999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D0-4556-AAE1-6F5A164F4825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'2018-04-02'!$A$57:$A$58</c:f>
              <c:numCache>
                <c:formatCode>0.00</c:formatCode>
                <c:ptCount val="2"/>
                <c:pt idx="0">
                  <c:v>25.5</c:v>
                </c:pt>
                <c:pt idx="1">
                  <c:v>25.5</c:v>
                </c:pt>
              </c:numCache>
            </c:numRef>
          </c:xVal>
          <c:yVal>
            <c:numRef>
              <c:f>'2018-04-02'!$B$57:$B$58</c:f>
              <c:numCache>
                <c:formatCode>0.000</c:formatCode>
                <c:ptCount val="2"/>
                <c:pt idx="0">
                  <c:v>788.85599999999999</c:v>
                </c:pt>
                <c:pt idx="1">
                  <c:v>790.35599999999999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D0-4556-AAE1-6F5A164F4825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'2018-04-02'!$A$55:$A$56</c:f>
              <c:numCache>
                <c:formatCode>0.00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xVal>
          <c:yVal>
            <c:numRef>
              <c:f>'2018-04-02'!$B$55:$B$56</c:f>
              <c:numCache>
                <c:formatCode>0.000</c:formatCode>
                <c:ptCount val="2"/>
                <c:pt idx="0">
                  <c:v>786.46799999999996</c:v>
                </c:pt>
                <c:pt idx="1">
                  <c:v>789.46799999999996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D0-4556-AAE1-6F5A164F4825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'2018-04-02'!$A$53:$A$54</c:f>
              <c:numCache>
                <c:formatCode>0.00</c:formatCode>
                <c:ptCount val="2"/>
                <c:pt idx="0">
                  <c:v>11.7</c:v>
                </c:pt>
                <c:pt idx="1">
                  <c:v>27.680000000000003</c:v>
                </c:pt>
              </c:numCache>
            </c:numRef>
          </c:xVal>
          <c:yVal>
            <c:numRef>
              <c:f>'2018-04-02'!$B$53:$B$54</c:f>
              <c:numCache>
                <c:formatCode>0.000</c:formatCode>
                <c:ptCount val="2"/>
                <c:pt idx="0">
                  <c:v>787.01699999999994</c:v>
                </c:pt>
                <c:pt idx="1">
                  <c:v>787.02699999999993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D0-4556-AAE1-6F5A164F4825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'2018-04-02'!$A$59:$A$60</c:f>
              <c:numCache>
                <c:formatCode>0.00</c:formatCode>
                <c:ptCount val="2"/>
              </c:numCache>
            </c:numRef>
          </c:xVal>
          <c:yVal>
            <c:numRef>
              <c:f>'2018-04-02'!$B$59:$B$60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FD0-4556-AAE1-6F5A164F4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57032"/>
        <c:axId val="330853504"/>
      </c:scatterChart>
      <c:valAx>
        <c:axId val="3308570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3504"/>
        <c:crosses val="autoZero"/>
        <c:crossBetween val="midCat"/>
      </c:valAx>
      <c:valAx>
        <c:axId val="330853504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7032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D. CORTES, Dibujó: D. CORTES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8/10/2018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5179978818437171"/>
          <c:y val="4.8500985866431139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'2018-10-8'!$A$5:$A$39</c:f>
              <c:numCache>
                <c:formatCode>0.000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7</c:v>
                </c:pt>
                <c:pt idx="6">
                  <c:v>8.3000000000000007</c:v>
                </c:pt>
                <c:pt idx="7">
                  <c:v>12.3</c:v>
                </c:pt>
                <c:pt idx="8">
                  <c:v>13.3</c:v>
                </c:pt>
                <c:pt idx="9">
                  <c:v>16.3</c:v>
                </c:pt>
                <c:pt idx="10">
                  <c:v>16.89</c:v>
                </c:pt>
                <c:pt idx="11">
                  <c:v>17.32</c:v>
                </c:pt>
                <c:pt idx="12">
                  <c:v>17.760000000000002</c:v>
                </c:pt>
                <c:pt idx="13">
                  <c:v>18.39</c:v>
                </c:pt>
                <c:pt idx="14">
                  <c:v>18.75</c:v>
                </c:pt>
                <c:pt idx="15">
                  <c:v>19.190000000000001</c:v>
                </c:pt>
                <c:pt idx="16">
                  <c:v>19.690000000000001</c:v>
                </c:pt>
                <c:pt idx="17">
                  <c:v>20.330000000000002</c:v>
                </c:pt>
                <c:pt idx="18">
                  <c:v>20.76</c:v>
                </c:pt>
                <c:pt idx="19">
                  <c:v>21.180000000000003</c:v>
                </c:pt>
                <c:pt idx="20">
                  <c:v>21.930000000000003</c:v>
                </c:pt>
                <c:pt idx="21">
                  <c:v>22.26</c:v>
                </c:pt>
                <c:pt idx="22">
                  <c:v>22.82</c:v>
                </c:pt>
                <c:pt idx="23">
                  <c:v>23.16</c:v>
                </c:pt>
                <c:pt idx="24">
                  <c:v>23.81</c:v>
                </c:pt>
                <c:pt idx="25">
                  <c:v>24.189999999999998</c:v>
                </c:pt>
                <c:pt idx="26">
                  <c:v>24.83</c:v>
                </c:pt>
                <c:pt idx="27">
                  <c:v>25.11</c:v>
                </c:pt>
                <c:pt idx="28">
                  <c:v>26.099999999999998</c:v>
                </c:pt>
                <c:pt idx="29">
                  <c:v>26.099999999999998</c:v>
                </c:pt>
                <c:pt idx="30">
                  <c:v>26.099999999999998</c:v>
                </c:pt>
                <c:pt idx="31">
                  <c:v>26.099999999999998</c:v>
                </c:pt>
                <c:pt idx="32">
                  <c:v>27.099999999999998</c:v>
                </c:pt>
                <c:pt idx="33">
                  <c:v>29.099999999999998</c:v>
                </c:pt>
                <c:pt idx="34">
                  <c:v>31.099999999999998</c:v>
                </c:pt>
              </c:numCache>
            </c:numRef>
          </c:xVal>
          <c:yVal>
            <c:numRef>
              <c:f>'2018-10-8'!$B$5:$B$39</c:f>
              <c:numCache>
                <c:formatCode>0.000</c:formatCode>
                <c:ptCount val="35"/>
                <c:pt idx="0">
                  <c:v>791.86</c:v>
                </c:pt>
                <c:pt idx="1">
                  <c:v>793.84900000000005</c:v>
                </c:pt>
                <c:pt idx="2">
                  <c:v>791.75300000000004</c:v>
                </c:pt>
                <c:pt idx="3">
                  <c:v>790.15700000000004</c:v>
                </c:pt>
                <c:pt idx="4">
                  <c:v>790.4430000000001</c:v>
                </c:pt>
                <c:pt idx="5">
                  <c:v>788.43300000000011</c:v>
                </c:pt>
                <c:pt idx="6">
                  <c:v>787.74700000000007</c:v>
                </c:pt>
                <c:pt idx="7">
                  <c:v>787.51200000000006</c:v>
                </c:pt>
                <c:pt idx="8">
                  <c:v>786.71900000000005</c:v>
                </c:pt>
                <c:pt idx="9">
                  <c:v>785.99900000000002</c:v>
                </c:pt>
                <c:pt idx="10">
                  <c:v>785.93900000000008</c:v>
                </c:pt>
                <c:pt idx="11">
                  <c:v>785.83900000000006</c:v>
                </c:pt>
                <c:pt idx="12">
                  <c:v>785.70900000000006</c:v>
                </c:pt>
                <c:pt idx="13">
                  <c:v>785.50900000000001</c:v>
                </c:pt>
                <c:pt idx="14">
                  <c:v>785.5390000000001</c:v>
                </c:pt>
                <c:pt idx="15">
                  <c:v>785.63900000000001</c:v>
                </c:pt>
                <c:pt idx="16">
                  <c:v>785.81900000000007</c:v>
                </c:pt>
                <c:pt idx="17">
                  <c:v>785.71900000000005</c:v>
                </c:pt>
                <c:pt idx="18">
                  <c:v>785.43900000000008</c:v>
                </c:pt>
                <c:pt idx="19">
                  <c:v>785.20900000000006</c:v>
                </c:pt>
                <c:pt idx="20">
                  <c:v>785.12900000000002</c:v>
                </c:pt>
                <c:pt idx="21">
                  <c:v>784.93900000000008</c:v>
                </c:pt>
                <c:pt idx="22">
                  <c:v>784.72900000000004</c:v>
                </c:pt>
                <c:pt idx="23">
                  <c:v>784.6690000000001</c:v>
                </c:pt>
                <c:pt idx="24">
                  <c:v>784.15900000000011</c:v>
                </c:pt>
                <c:pt idx="25">
                  <c:v>784.279</c:v>
                </c:pt>
                <c:pt idx="26">
                  <c:v>784.55900000000008</c:v>
                </c:pt>
                <c:pt idx="27">
                  <c:v>784.86900000000003</c:v>
                </c:pt>
                <c:pt idx="28">
                  <c:v>784.9190000000001</c:v>
                </c:pt>
                <c:pt idx="29">
                  <c:v>786.71900000000005</c:v>
                </c:pt>
                <c:pt idx="30">
                  <c:v>789.48100000000011</c:v>
                </c:pt>
                <c:pt idx="31">
                  <c:v>789.50000000000011</c:v>
                </c:pt>
                <c:pt idx="32">
                  <c:v>789.76200000000017</c:v>
                </c:pt>
                <c:pt idx="33">
                  <c:v>791.70100000000014</c:v>
                </c:pt>
                <c:pt idx="34">
                  <c:v>793.63000000000011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9D-421A-B7FF-84060054801F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'2018-10-8'!$A$57:$A$58</c:f>
              <c:numCache>
                <c:formatCode>0.00</c:formatCode>
                <c:ptCount val="2"/>
                <c:pt idx="0">
                  <c:v>25.8</c:v>
                </c:pt>
                <c:pt idx="1">
                  <c:v>25.8</c:v>
                </c:pt>
              </c:numCache>
            </c:numRef>
          </c:xVal>
          <c:yVal>
            <c:numRef>
              <c:f>'2018-10-8'!$B$57:$B$58</c:f>
              <c:numCache>
                <c:formatCode>0.000</c:formatCode>
                <c:ptCount val="2"/>
                <c:pt idx="0">
                  <c:v>788.85599999999999</c:v>
                </c:pt>
                <c:pt idx="1">
                  <c:v>790.35599999999999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9D-421A-B7FF-84060054801F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'2018-10-8'!$A$55:$A$56</c:f>
              <c:numCache>
                <c:formatCode>0.00</c:formatCode>
                <c:ptCount val="2"/>
                <c:pt idx="0">
                  <c:v>25.4</c:v>
                </c:pt>
                <c:pt idx="1">
                  <c:v>25.4</c:v>
                </c:pt>
              </c:numCache>
            </c:numRef>
          </c:xVal>
          <c:yVal>
            <c:numRef>
              <c:f>'2018-10-8'!$B$55:$B$56</c:f>
              <c:numCache>
                <c:formatCode>0.000</c:formatCode>
                <c:ptCount val="2"/>
                <c:pt idx="0">
                  <c:v>786.476</c:v>
                </c:pt>
                <c:pt idx="1">
                  <c:v>789.476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E9D-421A-B7FF-84060054801F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'2018-10-8'!$A$53:$A$54</c:f>
              <c:numCache>
                <c:formatCode>0.00</c:formatCode>
                <c:ptCount val="2"/>
                <c:pt idx="0">
                  <c:v>13.3</c:v>
                </c:pt>
                <c:pt idx="1">
                  <c:v>26.099999999999998</c:v>
                </c:pt>
              </c:numCache>
            </c:numRef>
          </c:xVal>
          <c:yVal>
            <c:numRef>
              <c:f>'2018-10-8'!$B$53:$B$54</c:f>
              <c:numCache>
                <c:formatCode>0.000</c:formatCode>
                <c:ptCount val="2"/>
                <c:pt idx="0">
                  <c:v>786.71900000000005</c:v>
                </c:pt>
                <c:pt idx="1">
                  <c:v>786.71900000000005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E9D-421A-B7FF-84060054801F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'2018-10-8'!$A$59:$A$60</c:f>
              <c:numCache>
                <c:formatCode>0.00</c:formatCode>
                <c:ptCount val="2"/>
              </c:numCache>
            </c:numRef>
          </c:xVal>
          <c:yVal>
            <c:numRef>
              <c:f>'2018-10-8'!$B$59:$B$60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E9D-421A-B7FF-84060054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53896"/>
        <c:axId val="330856248"/>
      </c:scatterChart>
      <c:valAx>
        <c:axId val="3308538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6248"/>
        <c:crosses val="autoZero"/>
        <c:crossBetween val="midCat"/>
      </c:valAx>
      <c:valAx>
        <c:axId val="330856248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3896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J.OCAMPO, Dibujó: J.OCAMPO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11/03/2019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5179978818437171"/>
          <c:y val="4.8500985866431139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'2019-03-11'!$A$5:$A$39</c:f>
              <c:numCache>
                <c:formatCode>0.000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8</c:v>
                </c:pt>
                <c:pt idx="5">
                  <c:v>10</c:v>
                </c:pt>
                <c:pt idx="6">
                  <c:v>13</c:v>
                </c:pt>
                <c:pt idx="7">
                  <c:v>16</c:v>
                </c:pt>
                <c:pt idx="8">
                  <c:v>19</c:v>
                </c:pt>
                <c:pt idx="9">
                  <c:v>20.5</c:v>
                </c:pt>
                <c:pt idx="10">
                  <c:v>21.5</c:v>
                </c:pt>
                <c:pt idx="11">
                  <c:v>22</c:v>
                </c:pt>
                <c:pt idx="12">
                  <c:v>22.3</c:v>
                </c:pt>
                <c:pt idx="13">
                  <c:v>22.6</c:v>
                </c:pt>
                <c:pt idx="14">
                  <c:v>22.900000000000002</c:v>
                </c:pt>
                <c:pt idx="15">
                  <c:v>23.200000000000003</c:v>
                </c:pt>
                <c:pt idx="16">
                  <c:v>23.500000000000004</c:v>
                </c:pt>
                <c:pt idx="17">
                  <c:v>23.800000000000004</c:v>
                </c:pt>
                <c:pt idx="18">
                  <c:v>24.100000000000005</c:v>
                </c:pt>
                <c:pt idx="19">
                  <c:v>24.400000000000006</c:v>
                </c:pt>
                <c:pt idx="20">
                  <c:v>24.700000000000006</c:v>
                </c:pt>
                <c:pt idx="21">
                  <c:v>25.000000000000007</c:v>
                </c:pt>
                <c:pt idx="22">
                  <c:v>25.300000000000008</c:v>
                </c:pt>
                <c:pt idx="23">
                  <c:v>25.600000000000009</c:v>
                </c:pt>
                <c:pt idx="24">
                  <c:v>25.900000000000009</c:v>
                </c:pt>
                <c:pt idx="25">
                  <c:v>26.800000000000008</c:v>
                </c:pt>
                <c:pt idx="26">
                  <c:v>26.800000000000008</c:v>
                </c:pt>
                <c:pt idx="27">
                  <c:v>26.800000000000008</c:v>
                </c:pt>
                <c:pt idx="28">
                  <c:v>29.000000000000007</c:v>
                </c:pt>
                <c:pt idx="29">
                  <c:v>31.000000000000007</c:v>
                </c:pt>
                <c:pt idx="30">
                  <c:v>31.000000000000007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'2019-03-11'!$B$5:$B$36</c:f>
              <c:numCache>
                <c:formatCode>0.000</c:formatCode>
                <c:ptCount val="32"/>
                <c:pt idx="0">
                  <c:v>791.86</c:v>
                </c:pt>
                <c:pt idx="1">
                  <c:v>793.66000000000008</c:v>
                </c:pt>
                <c:pt idx="2">
                  <c:v>791.93700000000001</c:v>
                </c:pt>
                <c:pt idx="3">
                  <c:v>789.37600000000009</c:v>
                </c:pt>
                <c:pt idx="4">
                  <c:v>788.09199999999998</c:v>
                </c:pt>
                <c:pt idx="5">
                  <c:v>787.71500000000003</c:v>
                </c:pt>
                <c:pt idx="6">
                  <c:v>786.81400000000008</c:v>
                </c:pt>
                <c:pt idx="7">
                  <c:v>786.09400000000005</c:v>
                </c:pt>
                <c:pt idx="8">
                  <c:v>785.52400000000011</c:v>
                </c:pt>
                <c:pt idx="9">
                  <c:v>785.46400000000006</c:v>
                </c:pt>
                <c:pt idx="10">
                  <c:v>785.31400000000008</c:v>
                </c:pt>
                <c:pt idx="11">
                  <c:v>785.2940000000001</c:v>
                </c:pt>
                <c:pt idx="12">
                  <c:v>785.22400000000005</c:v>
                </c:pt>
                <c:pt idx="13">
                  <c:v>785.1640000000001</c:v>
                </c:pt>
                <c:pt idx="14">
                  <c:v>785.13400000000013</c:v>
                </c:pt>
                <c:pt idx="15">
                  <c:v>784.77400000000011</c:v>
                </c:pt>
                <c:pt idx="16">
                  <c:v>784.61400000000003</c:v>
                </c:pt>
                <c:pt idx="17">
                  <c:v>784.70400000000006</c:v>
                </c:pt>
                <c:pt idx="18">
                  <c:v>784.73400000000004</c:v>
                </c:pt>
                <c:pt idx="19">
                  <c:v>784.71400000000006</c:v>
                </c:pt>
                <c:pt idx="20">
                  <c:v>784.62400000000002</c:v>
                </c:pt>
                <c:pt idx="21">
                  <c:v>784.65400000000011</c:v>
                </c:pt>
                <c:pt idx="22">
                  <c:v>784.68400000000008</c:v>
                </c:pt>
                <c:pt idx="23">
                  <c:v>784.63400000000013</c:v>
                </c:pt>
                <c:pt idx="24">
                  <c:v>784.69400000000007</c:v>
                </c:pt>
                <c:pt idx="25">
                  <c:v>785.01400000000012</c:v>
                </c:pt>
                <c:pt idx="26">
                  <c:v>786.81400000000008</c:v>
                </c:pt>
                <c:pt idx="27">
                  <c:v>788.58900000000006</c:v>
                </c:pt>
                <c:pt idx="28">
                  <c:v>790.60900000000004</c:v>
                </c:pt>
                <c:pt idx="29">
                  <c:v>793.10700000000008</c:v>
                </c:pt>
                <c:pt idx="30">
                  <c:v>791.85400000000004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AB-46A7-B4E5-4DCAA9F1057C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'2019-03-11'!$A$57:$A$58</c:f>
              <c:numCache>
                <c:formatCode>0.00</c:formatCode>
                <c:ptCount val="2"/>
                <c:pt idx="0">
                  <c:v>25.8</c:v>
                </c:pt>
                <c:pt idx="1">
                  <c:v>25.8</c:v>
                </c:pt>
              </c:numCache>
            </c:numRef>
          </c:xVal>
          <c:yVal>
            <c:numRef>
              <c:f>'2019-03-11'!$B$57:$B$58</c:f>
              <c:numCache>
                <c:formatCode>0.000</c:formatCode>
                <c:ptCount val="2"/>
                <c:pt idx="0">
                  <c:v>788.83600000000001</c:v>
                </c:pt>
                <c:pt idx="1">
                  <c:v>790.33600000000001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AB-46A7-B4E5-4DCAA9F1057C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'2019-03-11'!$A$55:$A$56</c:f>
              <c:numCache>
                <c:formatCode>0.00</c:formatCode>
                <c:ptCount val="2"/>
                <c:pt idx="0">
                  <c:v>25.4</c:v>
                </c:pt>
                <c:pt idx="1">
                  <c:v>25.4</c:v>
                </c:pt>
              </c:numCache>
            </c:numRef>
          </c:xVal>
          <c:yVal>
            <c:numRef>
              <c:f>'2019-03-11'!$B$55:$B$56</c:f>
              <c:numCache>
                <c:formatCode>0.000</c:formatCode>
                <c:ptCount val="2"/>
                <c:pt idx="0">
                  <c:v>786.47199999999998</c:v>
                </c:pt>
                <c:pt idx="1">
                  <c:v>789.47199999999998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DAB-46A7-B4E5-4DCAA9F1057C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'2019-03-11'!$A$53:$A$54</c:f>
              <c:numCache>
                <c:formatCode>0.00</c:formatCode>
                <c:ptCount val="2"/>
                <c:pt idx="0">
                  <c:v>13</c:v>
                </c:pt>
                <c:pt idx="1">
                  <c:v>26.800000000000008</c:v>
                </c:pt>
              </c:numCache>
            </c:numRef>
          </c:xVal>
          <c:yVal>
            <c:numRef>
              <c:f>'2019-03-11'!$B$53:$B$54</c:f>
              <c:numCache>
                <c:formatCode>0.000</c:formatCode>
                <c:ptCount val="2"/>
                <c:pt idx="0">
                  <c:v>786.81400000000008</c:v>
                </c:pt>
                <c:pt idx="1">
                  <c:v>786.81400000000008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DAB-46A7-B4E5-4DCAA9F1057C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'2019-03-11'!$A$59:$A$60</c:f>
              <c:numCache>
                <c:formatCode>0.00</c:formatCode>
                <c:ptCount val="2"/>
              </c:numCache>
            </c:numRef>
          </c:xVal>
          <c:yVal>
            <c:numRef>
              <c:f>'2019-03-11'!$B$59:$B$60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DAB-46A7-B4E5-4DCAA9F10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857816"/>
        <c:axId val="330850368"/>
      </c:scatterChart>
      <c:valAx>
        <c:axId val="33085781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0368"/>
        <c:crosses val="autoZero"/>
        <c:crossBetween val="midCat"/>
      </c:valAx>
      <c:valAx>
        <c:axId val="330850368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0857816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D. CORTES, Dibujó: D. CORTES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21/05/2019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5179978818437171"/>
          <c:y val="4.8500985866431139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'2019-5-21'!$A$5:$A$40</c:f>
              <c:numCache>
                <c:formatCode>0.000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3.5</c:v>
                </c:pt>
                <c:pt idx="4">
                  <c:v>3.5</c:v>
                </c:pt>
                <c:pt idx="5">
                  <c:v>6.5</c:v>
                </c:pt>
                <c:pt idx="6">
                  <c:v>7.5</c:v>
                </c:pt>
                <c:pt idx="7">
                  <c:v>9.5</c:v>
                </c:pt>
                <c:pt idx="8">
                  <c:v>12.4</c:v>
                </c:pt>
                <c:pt idx="9">
                  <c:v>15.25</c:v>
                </c:pt>
                <c:pt idx="10">
                  <c:v>16.12</c:v>
                </c:pt>
                <c:pt idx="11">
                  <c:v>16.650000000000002</c:v>
                </c:pt>
                <c:pt idx="12">
                  <c:v>17.100000000000001</c:v>
                </c:pt>
                <c:pt idx="13">
                  <c:v>17.810000000000002</c:v>
                </c:pt>
                <c:pt idx="14">
                  <c:v>18.360000000000003</c:v>
                </c:pt>
                <c:pt idx="15">
                  <c:v>18.860000000000003</c:v>
                </c:pt>
                <c:pt idx="16">
                  <c:v>19.160000000000004</c:v>
                </c:pt>
                <c:pt idx="17">
                  <c:v>19.910000000000004</c:v>
                </c:pt>
                <c:pt idx="18">
                  <c:v>20.660000000000004</c:v>
                </c:pt>
                <c:pt idx="19">
                  <c:v>21.480000000000004</c:v>
                </c:pt>
                <c:pt idx="20">
                  <c:v>22.170000000000005</c:v>
                </c:pt>
                <c:pt idx="21">
                  <c:v>22.510000000000005</c:v>
                </c:pt>
                <c:pt idx="22">
                  <c:v>23.120000000000005</c:v>
                </c:pt>
                <c:pt idx="23">
                  <c:v>23.750000000000004</c:v>
                </c:pt>
                <c:pt idx="24">
                  <c:v>24.160000000000004</c:v>
                </c:pt>
                <c:pt idx="25">
                  <c:v>24.760000000000005</c:v>
                </c:pt>
                <c:pt idx="26">
                  <c:v>25.280000000000005</c:v>
                </c:pt>
                <c:pt idx="27">
                  <c:v>26.060000000000006</c:v>
                </c:pt>
                <c:pt idx="28">
                  <c:v>26.610000000000007</c:v>
                </c:pt>
                <c:pt idx="29">
                  <c:v>26.720000000000006</c:v>
                </c:pt>
                <c:pt idx="30">
                  <c:v>26.940000000000005</c:v>
                </c:pt>
                <c:pt idx="31">
                  <c:v>26.940000000000005</c:v>
                </c:pt>
                <c:pt idx="32">
                  <c:v>27.940000000000005</c:v>
                </c:pt>
                <c:pt idx="33">
                  <c:v>27.940000000000005</c:v>
                </c:pt>
                <c:pt idx="34">
                  <c:v>29.440000000000005</c:v>
                </c:pt>
                <c:pt idx="35">
                  <c:v>32.440000000000005</c:v>
                </c:pt>
              </c:numCache>
            </c:numRef>
          </c:xVal>
          <c:yVal>
            <c:numRef>
              <c:f>'2019-5-21'!$B$5:$B$40</c:f>
              <c:numCache>
                <c:formatCode>0.000</c:formatCode>
                <c:ptCount val="36"/>
                <c:pt idx="0">
                  <c:v>791.86</c:v>
                </c:pt>
                <c:pt idx="1">
                  <c:v>794.76499999999999</c:v>
                </c:pt>
                <c:pt idx="2">
                  <c:v>792.255</c:v>
                </c:pt>
                <c:pt idx="3">
                  <c:v>791.03100000000006</c:v>
                </c:pt>
                <c:pt idx="4">
                  <c:v>790.16800000000001</c:v>
                </c:pt>
                <c:pt idx="5">
                  <c:v>790.34199999999998</c:v>
                </c:pt>
                <c:pt idx="6">
                  <c:v>788.42</c:v>
                </c:pt>
                <c:pt idx="7">
                  <c:v>787.70100000000002</c:v>
                </c:pt>
                <c:pt idx="8">
                  <c:v>786.95600000000002</c:v>
                </c:pt>
                <c:pt idx="9">
                  <c:v>786.26599999999996</c:v>
                </c:pt>
                <c:pt idx="10">
                  <c:v>786.19600000000003</c:v>
                </c:pt>
                <c:pt idx="11">
                  <c:v>786.13599999999997</c:v>
                </c:pt>
                <c:pt idx="12">
                  <c:v>785.99599999999998</c:v>
                </c:pt>
                <c:pt idx="13">
                  <c:v>785.89600000000007</c:v>
                </c:pt>
                <c:pt idx="14">
                  <c:v>785.87599999999998</c:v>
                </c:pt>
                <c:pt idx="15">
                  <c:v>785.70600000000002</c:v>
                </c:pt>
                <c:pt idx="16">
                  <c:v>785.61599999999999</c:v>
                </c:pt>
                <c:pt idx="17">
                  <c:v>785.55600000000004</c:v>
                </c:pt>
                <c:pt idx="18">
                  <c:v>785.50599999999997</c:v>
                </c:pt>
                <c:pt idx="19">
                  <c:v>785.28600000000006</c:v>
                </c:pt>
                <c:pt idx="20">
                  <c:v>785.21600000000001</c:v>
                </c:pt>
                <c:pt idx="21">
                  <c:v>785.18600000000004</c:v>
                </c:pt>
                <c:pt idx="22">
                  <c:v>784.96600000000001</c:v>
                </c:pt>
                <c:pt idx="23">
                  <c:v>784.81600000000003</c:v>
                </c:pt>
                <c:pt idx="24">
                  <c:v>784.73599999999999</c:v>
                </c:pt>
                <c:pt idx="25">
                  <c:v>784.82600000000002</c:v>
                </c:pt>
                <c:pt idx="26">
                  <c:v>784.71600000000001</c:v>
                </c:pt>
                <c:pt idx="27">
                  <c:v>784.56600000000003</c:v>
                </c:pt>
                <c:pt idx="28">
                  <c:v>784.50599999999997</c:v>
                </c:pt>
                <c:pt idx="29">
                  <c:v>784.55600000000004</c:v>
                </c:pt>
                <c:pt idx="30">
                  <c:v>784.60599999999999</c:v>
                </c:pt>
                <c:pt idx="31">
                  <c:v>786.95600000000002</c:v>
                </c:pt>
                <c:pt idx="32">
                  <c:v>789.91599999999994</c:v>
                </c:pt>
                <c:pt idx="33">
                  <c:v>790.38400000000001</c:v>
                </c:pt>
                <c:pt idx="34">
                  <c:v>791.89099999999996</c:v>
                </c:pt>
                <c:pt idx="35">
                  <c:v>794.02200000000005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E9D-421A-B7FF-84060054801F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'2019-5-21'!$A$57:$A$58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'2019-5-21'!$B$57:$B$58</c:f>
              <c:numCache>
                <c:formatCode>0.000</c:formatCode>
                <c:ptCount val="2"/>
                <c:pt idx="0">
                  <c:v>788.86</c:v>
                </c:pt>
                <c:pt idx="1">
                  <c:v>790.36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E9D-421A-B7FF-84060054801F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'2019-5-21'!$A$55:$A$56</c:f>
              <c:numCache>
                <c:formatCode>0.00</c:formatCode>
                <c:ptCount val="2"/>
                <c:pt idx="0">
                  <c:v>26.5</c:v>
                </c:pt>
                <c:pt idx="1">
                  <c:v>26.5</c:v>
                </c:pt>
              </c:numCache>
            </c:numRef>
          </c:xVal>
          <c:yVal>
            <c:numRef>
              <c:f>'2019-5-21'!$B$55:$B$56</c:f>
              <c:numCache>
                <c:formatCode>0.000</c:formatCode>
                <c:ptCount val="2"/>
                <c:pt idx="0">
                  <c:v>786.48</c:v>
                </c:pt>
                <c:pt idx="1">
                  <c:v>789.48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E9D-421A-B7FF-84060054801F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'2019-5-21'!$A$53:$A$54</c:f>
              <c:numCache>
                <c:formatCode>0.00</c:formatCode>
                <c:ptCount val="2"/>
                <c:pt idx="0">
                  <c:v>12.4</c:v>
                </c:pt>
                <c:pt idx="1">
                  <c:v>26.940000000000005</c:v>
                </c:pt>
              </c:numCache>
            </c:numRef>
          </c:xVal>
          <c:yVal>
            <c:numRef>
              <c:f>'2019-5-21'!$B$53:$B$54</c:f>
              <c:numCache>
                <c:formatCode>0.000</c:formatCode>
                <c:ptCount val="2"/>
                <c:pt idx="0">
                  <c:v>786.95600000000002</c:v>
                </c:pt>
                <c:pt idx="1">
                  <c:v>786.95600000000002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E9D-421A-B7FF-84060054801F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'2019-5-21'!$A$59:$A$60</c:f>
              <c:numCache>
                <c:formatCode>0.00</c:formatCode>
                <c:ptCount val="2"/>
              </c:numCache>
            </c:numRef>
          </c:xVal>
          <c:yVal>
            <c:numRef>
              <c:f>'2019-5-21'!$B$59:$B$60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E9D-421A-B7FF-840600548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68688"/>
        <c:axId val="605667904"/>
      </c:scatterChart>
      <c:valAx>
        <c:axId val="6056686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67904"/>
        <c:crosses val="autoZero"/>
        <c:crossBetween val="midCat"/>
      </c:valAx>
      <c:valAx>
        <c:axId val="605667904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68688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GUEVARA , Dibujó: J. 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09/07/2019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5179978818437171"/>
          <c:y val="4.8500985866431139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('2019-07-09'!$A$6:$A$7,'2019-07-09'!$A$9:$A$43)</c:f>
              <c:numCache>
                <c:formatCode>0.000</c:formatCode>
                <c:ptCount val="37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15</c:v>
                </c:pt>
                <c:pt idx="9">
                  <c:v>16</c:v>
                </c:pt>
                <c:pt idx="10">
                  <c:v>16.8</c:v>
                </c:pt>
                <c:pt idx="11">
                  <c:v>17.5</c:v>
                </c:pt>
                <c:pt idx="12">
                  <c:v>18</c:v>
                </c:pt>
                <c:pt idx="13">
                  <c:v>18.5</c:v>
                </c:pt>
                <c:pt idx="14">
                  <c:v>19</c:v>
                </c:pt>
                <c:pt idx="15">
                  <c:v>19.5</c:v>
                </c:pt>
                <c:pt idx="16">
                  <c:v>20</c:v>
                </c:pt>
                <c:pt idx="17">
                  <c:v>20.5</c:v>
                </c:pt>
                <c:pt idx="18">
                  <c:v>21</c:v>
                </c:pt>
                <c:pt idx="19">
                  <c:v>21.5</c:v>
                </c:pt>
                <c:pt idx="20">
                  <c:v>22</c:v>
                </c:pt>
                <c:pt idx="21">
                  <c:v>22.5</c:v>
                </c:pt>
                <c:pt idx="22">
                  <c:v>23</c:v>
                </c:pt>
                <c:pt idx="23">
                  <c:v>23.5</c:v>
                </c:pt>
                <c:pt idx="24">
                  <c:v>24</c:v>
                </c:pt>
                <c:pt idx="25">
                  <c:v>24.5</c:v>
                </c:pt>
                <c:pt idx="26">
                  <c:v>25</c:v>
                </c:pt>
                <c:pt idx="27">
                  <c:v>25.5</c:v>
                </c:pt>
                <c:pt idx="28">
                  <c:v>26</c:v>
                </c:pt>
                <c:pt idx="29">
                  <c:v>26.5</c:v>
                </c:pt>
                <c:pt idx="30">
                  <c:v>27</c:v>
                </c:pt>
                <c:pt idx="31">
                  <c:v>27</c:v>
                </c:pt>
                <c:pt idx="32">
                  <c:v>27</c:v>
                </c:pt>
                <c:pt idx="33">
                  <c:v>27</c:v>
                </c:pt>
                <c:pt idx="34">
                  <c:v>28</c:v>
                </c:pt>
                <c:pt idx="35">
                  <c:v>30</c:v>
                </c:pt>
                <c:pt idx="36">
                  <c:v>31</c:v>
                </c:pt>
              </c:numCache>
            </c:numRef>
          </c:xVal>
          <c:yVal>
            <c:numRef>
              <c:f>('2019-07-09'!$B$6:$B$7,'2019-07-09'!$B$9:$B$43)</c:f>
              <c:numCache>
                <c:formatCode>0.000</c:formatCode>
                <c:ptCount val="37"/>
                <c:pt idx="0">
                  <c:v>792.70800000000008</c:v>
                </c:pt>
                <c:pt idx="1">
                  <c:v>790.86</c:v>
                </c:pt>
                <c:pt idx="2">
                  <c:v>789.62800000000004</c:v>
                </c:pt>
                <c:pt idx="3">
                  <c:v>789.10599999999999</c:v>
                </c:pt>
                <c:pt idx="4">
                  <c:v>787.72500000000002</c:v>
                </c:pt>
                <c:pt idx="5">
                  <c:v>787.78800000000001</c:v>
                </c:pt>
                <c:pt idx="6">
                  <c:v>787.25900000000001</c:v>
                </c:pt>
                <c:pt idx="7">
                  <c:v>786.42899999999997</c:v>
                </c:pt>
                <c:pt idx="8">
                  <c:v>786.29899999999998</c:v>
                </c:pt>
                <c:pt idx="9">
                  <c:v>786.15899999999999</c:v>
                </c:pt>
                <c:pt idx="10">
                  <c:v>786.04899999999998</c:v>
                </c:pt>
                <c:pt idx="11">
                  <c:v>785.85900000000004</c:v>
                </c:pt>
                <c:pt idx="12">
                  <c:v>785.649</c:v>
                </c:pt>
                <c:pt idx="13">
                  <c:v>785.68899999999996</c:v>
                </c:pt>
                <c:pt idx="14">
                  <c:v>785.61900000000003</c:v>
                </c:pt>
                <c:pt idx="15">
                  <c:v>785.59900000000005</c:v>
                </c:pt>
                <c:pt idx="16">
                  <c:v>785.48900000000003</c:v>
                </c:pt>
                <c:pt idx="17">
                  <c:v>785.48900000000003</c:v>
                </c:pt>
                <c:pt idx="18">
                  <c:v>785.49900000000002</c:v>
                </c:pt>
                <c:pt idx="19">
                  <c:v>785.37900000000002</c:v>
                </c:pt>
                <c:pt idx="20">
                  <c:v>785.69900000000007</c:v>
                </c:pt>
                <c:pt idx="21">
                  <c:v>785.26900000000001</c:v>
                </c:pt>
                <c:pt idx="22">
                  <c:v>785.16899999999998</c:v>
                </c:pt>
                <c:pt idx="23">
                  <c:v>785.22900000000004</c:v>
                </c:pt>
                <c:pt idx="24">
                  <c:v>784.75900000000001</c:v>
                </c:pt>
                <c:pt idx="25">
                  <c:v>785.12900000000002</c:v>
                </c:pt>
                <c:pt idx="26">
                  <c:v>784.72900000000004</c:v>
                </c:pt>
                <c:pt idx="27">
                  <c:v>784.69900000000007</c:v>
                </c:pt>
                <c:pt idx="28">
                  <c:v>784.649</c:v>
                </c:pt>
                <c:pt idx="29">
                  <c:v>784.85900000000004</c:v>
                </c:pt>
                <c:pt idx="30">
                  <c:v>784.81899999999996</c:v>
                </c:pt>
                <c:pt idx="31">
                  <c:v>787.25900000000001</c:v>
                </c:pt>
                <c:pt idx="32">
                  <c:v>788.75400000000002</c:v>
                </c:pt>
                <c:pt idx="33">
                  <c:v>789.46799999999996</c:v>
                </c:pt>
                <c:pt idx="34">
                  <c:v>790.10500000000002</c:v>
                </c:pt>
                <c:pt idx="35">
                  <c:v>791.91700000000003</c:v>
                </c:pt>
                <c:pt idx="36">
                  <c:v>793.178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C3-41BD-8B31-136910E77E8F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'2019-07-09'!$A$57:$A$58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'2019-07-09'!$B$57:$B$58</c:f>
              <c:numCache>
                <c:formatCode>0.000</c:formatCode>
                <c:ptCount val="2"/>
                <c:pt idx="0">
                  <c:v>788.85400000000004</c:v>
                </c:pt>
                <c:pt idx="1">
                  <c:v>790.35400000000004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C3-41BD-8B31-136910E77E8F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'2019-07-09'!$A$55:$A$56</c:f>
              <c:numCache>
                <c:formatCode>0.00</c:formatCode>
                <c:ptCount val="2"/>
                <c:pt idx="0">
                  <c:v>26.5</c:v>
                </c:pt>
                <c:pt idx="1">
                  <c:v>26.5</c:v>
                </c:pt>
              </c:numCache>
            </c:numRef>
          </c:xVal>
          <c:yVal>
            <c:numRef>
              <c:f>'2019-07-09'!$B$55:$B$56</c:f>
              <c:numCache>
                <c:formatCode>0.000</c:formatCode>
                <c:ptCount val="2"/>
                <c:pt idx="0">
                  <c:v>786.48900000000003</c:v>
                </c:pt>
                <c:pt idx="1">
                  <c:v>789.48900000000003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C3-41BD-8B31-136910E77E8F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'2019-07-09'!$A$53:$A$54</c:f>
              <c:numCache>
                <c:formatCode>0.00</c:formatCode>
                <c:ptCount val="2"/>
                <c:pt idx="0">
                  <c:v>12</c:v>
                </c:pt>
                <c:pt idx="1">
                  <c:v>27</c:v>
                </c:pt>
              </c:numCache>
            </c:numRef>
          </c:xVal>
          <c:yVal>
            <c:numRef>
              <c:f>'2019-07-09'!$B$53:$B$54</c:f>
              <c:numCache>
                <c:formatCode>0.000</c:formatCode>
                <c:ptCount val="2"/>
                <c:pt idx="0">
                  <c:v>787.25900000000001</c:v>
                </c:pt>
                <c:pt idx="1">
                  <c:v>787.25900000000001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AC3-41BD-8B31-136910E77E8F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'2019-07-09'!$A$59:$A$60</c:f>
              <c:numCache>
                <c:formatCode>0.00</c:formatCode>
                <c:ptCount val="2"/>
              </c:numCache>
            </c:numRef>
          </c:xVal>
          <c:yVal>
            <c:numRef>
              <c:f>'2019-07-09'!$B$59:$B$60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EAC3-41BD-8B31-136910E77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4176"/>
        <c:axId val="605669080"/>
      </c:scatterChart>
      <c:valAx>
        <c:axId val="60567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69080"/>
        <c:crosses val="autoZero"/>
        <c:crossBetween val="midCat"/>
      </c:valAx>
      <c:valAx>
        <c:axId val="605669080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74176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E. TAMAYO, Dibujó: J.OCAMPO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3/03/2020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5179978818437171"/>
          <c:y val="4.8500985866431139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('2020-03-03'!$A$6:$A$7,'2020-03-03'!$A$9:$A$43)</c:f>
              <c:numCache>
                <c:formatCode>0.000</c:formatCode>
                <c:ptCount val="3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19.8</c:v>
                </c:pt>
                <c:pt idx="11">
                  <c:v>20.5</c:v>
                </c:pt>
                <c:pt idx="12">
                  <c:v>21</c:v>
                </c:pt>
                <c:pt idx="13">
                  <c:v>21.5</c:v>
                </c:pt>
                <c:pt idx="14">
                  <c:v>22</c:v>
                </c:pt>
                <c:pt idx="15">
                  <c:v>22.5</c:v>
                </c:pt>
                <c:pt idx="16">
                  <c:v>23</c:v>
                </c:pt>
                <c:pt idx="17">
                  <c:v>23.5</c:v>
                </c:pt>
                <c:pt idx="18">
                  <c:v>24</c:v>
                </c:pt>
                <c:pt idx="19">
                  <c:v>24.5</c:v>
                </c:pt>
                <c:pt idx="20">
                  <c:v>25</c:v>
                </c:pt>
                <c:pt idx="21">
                  <c:v>25.5</c:v>
                </c:pt>
                <c:pt idx="22">
                  <c:v>26</c:v>
                </c:pt>
                <c:pt idx="23">
                  <c:v>26.5</c:v>
                </c:pt>
                <c:pt idx="24">
                  <c:v>27</c:v>
                </c:pt>
                <c:pt idx="25">
                  <c:v>27</c:v>
                </c:pt>
                <c:pt idx="26">
                  <c:v>27</c:v>
                </c:pt>
                <c:pt idx="27">
                  <c:v>27</c:v>
                </c:pt>
                <c:pt idx="28">
                  <c:v>28</c:v>
                </c:pt>
                <c:pt idx="29">
                  <c:v>30</c:v>
                </c:pt>
                <c:pt idx="30">
                  <c:v>31</c:v>
                </c:pt>
                <c:pt idx="31">
                  <c:v>31</c:v>
                </c:pt>
              </c:numCache>
            </c:numRef>
          </c:xVal>
          <c:yVal>
            <c:numRef>
              <c:f>('2020-03-03'!$B$6:$B$7,'2020-03-03'!$B$9:$B$43)</c:f>
              <c:numCache>
                <c:formatCode>0.000</c:formatCode>
                <c:ptCount val="37"/>
                <c:pt idx="0">
                  <c:v>792.75000000000011</c:v>
                </c:pt>
                <c:pt idx="1">
                  <c:v>790.94500000000005</c:v>
                </c:pt>
                <c:pt idx="2">
                  <c:v>789.26700000000005</c:v>
                </c:pt>
                <c:pt idx="3">
                  <c:v>787.56500000000005</c:v>
                </c:pt>
                <c:pt idx="4">
                  <c:v>786.72500000000002</c:v>
                </c:pt>
                <c:pt idx="5">
                  <c:v>786.27499999999998</c:v>
                </c:pt>
                <c:pt idx="6">
                  <c:v>786.06500000000005</c:v>
                </c:pt>
                <c:pt idx="7">
                  <c:v>785.745</c:v>
                </c:pt>
                <c:pt idx="8">
                  <c:v>785.76499999999999</c:v>
                </c:pt>
                <c:pt idx="9">
                  <c:v>785.625</c:v>
                </c:pt>
                <c:pt idx="10">
                  <c:v>785.625</c:v>
                </c:pt>
                <c:pt idx="11">
                  <c:v>785.32500000000005</c:v>
                </c:pt>
                <c:pt idx="12">
                  <c:v>785.11500000000001</c:v>
                </c:pt>
                <c:pt idx="13">
                  <c:v>785.03499999999997</c:v>
                </c:pt>
                <c:pt idx="14">
                  <c:v>784.85500000000002</c:v>
                </c:pt>
                <c:pt idx="15">
                  <c:v>784.94500000000005</c:v>
                </c:pt>
                <c:pt idx="16">
                  <c:v>784.83500000000004</c:v>
                </c:pt>
                <c:pt idx="17">
                  <c:v>784.86500000000001</c:v>
                </c:pt>
                <c:pt idx="18">
                  <c:v>784.83600000000001</c:v>
                </c:pt>
                <c:pt idx="19">
                  <c:v>784.76499999999999</c:v>
                </c:pt>
                <c:pt idx="20">
                  <c:v>784.70500000000004</c:v>
                </c:pt>
                <c:pt idx="21">
                  <c:v>784.71500000000003</c:v>
                </c:pt>
                <c:pt idx="22">
                  <c:v>784.72500000000002</c:v>
                </c:pt>
                <c:pt idx="23">
                  <c:v>784.69500000000005</c:v>
                </c:pt>
                <c:pt idx="24">
                  <c:v>784.70500000000004</c:v>
                </c:pt>
                <c:pt idx="25">
                  <c:v>786.72500000000002</c:v>
                </c:pt>
                <c:pt idx="26">
                  <c:v>788.20699999999999</c:v>
                </c:pt>
                <c:pt idx="27">
                  <c:v>789.17600000000004</c:v>
                </c:pt>
                <c:pt idx="28">
                  <c:v>790.88000000000011</c:v>
                </c:pt>
                <c:pt idx="29">
                  <c:v>791.99300000000005</c:v>
                </c:pt>
                <c:pt idx="30">
                  <c:v>792.53000000000009</c:v>
                </c:pt>
                <c:pt idx="31">
                  <c:v>791.86700000000008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09-432F-8510-D7064F06623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'2020-03-03'!$A$57:$A$58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'2020-03-03'!$B$57:$B$58</c:f>
              <c:numCache>
                <c:formatCode>0.000</c:formatCode>
                <c:ptCount val="2"/>
                <c:pt idx="0">
                  <c:v>788.85400000000004</c:v>
                </c:pt>
                <c:pt idx="1">
                  <c:v>790.35400000000004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09-432F-8510-D7064F06623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'2020-03-03'!$A$55:$A$56</c:f>
              <c:numCache>
                <c:formatCode>0.00</c:formatCode>
                <c:ptCount val="2"/>
                <c:pt idx="0">
                  <c:v>26.5</c:v>
                </c:pt>
                <c:pt idx="1">
                  <c:v>26.5</c:v>
                </c:pt>
              </c:numCache>
            </c:numRef>
          </c:xVal>
          <c:yVal>
            <c:numRef>
              <c:f>'2020-03-03'!$B$55:$B$56</c:f>
              <c:numCache>
                <c:formatCode>0.000</c:formatCode>
                <c:ptCount val="2"/>
                <c:pt idx="0">
                  <c:v>786.47299999999996</c:v>
                </c:pt>
                <c:pt idx="1">
                  <c:v>789.47299999999996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09-432F-8510-D7064F06623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'2020-03-03'!$A$53:$A$54</c:f>
              <c:numCache>
                <c:formatCode>0.00</c:formatCode>
                <c:ptCount val="2"/>
                <c:pt idx="0">
                  <c:v>12</c:v>
                </c:pt>
                <c:pt idx="1">
                  <c:v>27</c:v>
                </c:pt>
              </c:numCache>
            </c:numRef>
          </c:xVal>
          <c:yVal>
            <c:numRef>
              <c:f>'2020-03-03'!$B$53:$B$54</c:f>
              <c:numCache>
                <c:formatCode>0.000</c:formatCode>
                <c:ptCount val="2"/>
                <c:pt idx="0">
                  <c:v>786.72500000000002</c:v>
                </c:pt>
                <c:pt idx="1">
                  <c:v>786.72500000000002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F09-432F-8510-D7064F066233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'2020-03-03'!$A$59:$A$60</c:f>
              <c:numCache>
                <c:formatCode>0.00</c:formatCode>
                <c:ptCount val="2"/>
              </c:numCache>
            </c:numRef>
          </c:xVal>
          <c:yVal>
            <c:numRef>
              <c:f>'2020-03-03'!$B$59:$B$60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09-432F-8510-D7064F066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70648"/>
        <c:axId val="605669472"/>
      </c:scatterChart>
      <c:valAx>
        <c:axId val="6056706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69472"/>
        <c:crosses val="autoZero"/>
        <c:crossBetween val="midCat"/>
      </c:valAx>
      <c:valAx>
        <c:axId val="605669472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70648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    PERFIL TRANSVERSAL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ESTACION:       ROSARIO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CORRIENTE:     CARAÑO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Código:             44037040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Levantó: E. TAMAYO, Dibujó: J. CALDERÓN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Revisó:  J.R.M. Fecha: 11/10/2021</a:t>
            </a:r>
          </a:p>
          <a:p>
            <a:pPr algn="l" rtl="0">
              <a:defRPr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chemeClr val="lt1">
                    <a:lumMod val="100000"/>
                  </a:schemeClr>
                </a:solidFill>
                <a:latin typeface="+mn-lt"/>
                <a:ea typeface="+mn-ea"/>
                <a:cs typeface="+mn-cs"/>
              </a:rPr>
              <a:t>IDEAM - Area Operativa No. 04 </a:t>
            </a:r>
          </a:p>
        </c:rich>
      </c:tx>
      <c:layout>
        <c:manualLayout>
          <c:xMode val="edge"/>
          <c:yMode val="edge"/>
          <c:x val="0.25179978818437171"/>
          <c:y val="4.8500985866431139E-2"/>
        </c:manualLayout>
      </c:layout>
      <c:overlay val="0"/>
      <c:spPr>
        <a:gradFill rotWithShape="1"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7.1604949062763601E-2"/>
          <c:y val="3.1118618996295588E-2"/>
          <c:w val="0.8962964313718339"/>
          <c:h val="0.88057281321949943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('2021-10-11'!$A$6:$A$7,'2021-10-11'!$A$9:$A$43)</c:f>
              <c:numCache>
                <c:formatCode>0.000</c:formatCode>
                <c:ptCount val="37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12</c:v>
                </c:pt>
                <c:pt idx="5">
                  <c:v>14.5</c:v>
                </c:pt>
                <c:pt idx="6">
                  <c:v>15.2</c:v>
                </c:pt>
                <c:pt idx="7">
                  <c:v>15.899999999999999</c:v>
                </c:pt>
                <c:pt idx="8">
                  <c:v>16.599999999999998</c:v>
                </c:pt>
                <c:pt idx="9">
                  <c:v>17.299999999999997</c:v>
                </c:pt>
                <c:pt idx="10">
                  <c:v>17.999999999999996</c:v>
                </c:pt>
                <c:pt idx="11">
                  <c:v>18.699999999999996</c:v>
                </c:pt>
                <c:pt idx="12">
                  <c:v>19.399999999999995</c:v>
                </c:pt>
                <c:pt idx="13">
                  <c:v>20.099999999999994</c:v>
                </c:pt>
                <c:pt idx="14">
                  <c:v>20.799999999999994</c:v>
                </c:pt>
                <c:pt idx="15">
                  <c:v>21.499999999999993</c:v>
                </c:pt>
                <c:pt idx="16">
                  <c:v>22.199999999999992</c:v>
                </c:pt>
                <c:pt idx="17">
                  <c:v>22.899999999999991</c:v>
                </c:pt>
                <c:pt idx="18">
                  <c:v>23.599999999999991</c:v>
                </c:pt>
                <c:pt idx="19">
                  <c:v>24.29999999999999</c:v>
                </c:pt>
                <c:pt idx="20">
                  <c:v>24.999999999999989</c:v>
                </c:pt>
                <c:pt idx="21">
                  <c:v>25.999999999999989</c:v>
                </c:pt>
                <c:pt idx="22">
                  <c:v>25.999999999999989</c:v>
                </c:pt>
                <c:pt idx="23">
                  <c:v>27.099999999999991</c:v>
                </c:pt>
                <c:pt idx="24">
                  <c:v>27.099999999999991</c:v>
                </c:pt>
                <c:pt idx="25">
                  <c:v>27.099999999999991</c:v>
                </c:pt>
                <c:pt idx="26">
                  <c:v>27.099999999999991</c:v>
                </c:pt>
              </c:numCache>
            </c:numRef>
          </c:xVal>
          <c:yVal>
            <c:numRef>
              <c:f>('2021-10-11'!$B$6:$B$7,'2021-10-11'!$B$9:$B$43)</c:f>
              <c:numCache>
                <c:formatCode>0.000</c:formatCode>
                <c:ptCount val="37"/>
                <c:pt idx="0">
                  <c:v>792.21600000000001</c:v>
                </c:pt>
                <c:pt idx="1">
                  <c:v>790.67200000000003</c:v>
                </c:pt>
                <c:pt idx="2">
                  <c:v>788.101</c:v>
                </c:pt>
                <c:pt idx="3">
                  <c:v>787.51299999999992</c:v>
                </c:pt>
                <c:pt idx="4">
                  <c:v>786.13799999999992</c:v>
                </c:pt>
                <c:pt idx="5">
                  <c:v>785.77799999999991</c:v>
                </c:pt>
                <c:pt idx="6">
                  <c:v>785.80799999999988</c:v>
                </c:pt>
                <c:pt idx="7">
                  <c:v>785.81799999999987</c:v>
                </c:pt>
                <c:pt idx="8">
                  <c:v>785.85799999999995</c:v>
                </c:pt>
                <c:pt idx="9">
                  <c:v>785.89799999999991</c:v>
                </c:pt>
                <c:pt idx="10">
                  <c:v>785.87799999999993</c:v>
                </c:pt>
                <c:pt idx="11">
                  <c:v>785.80799999999988</c:v>
                </c:pt>
                <c:pt idx="12">
                  <c:v>785.80799999999988</c:v>
                </c:pt>
                <c:pt idx="13">
                  <c:v>785.64799999999991</c:v>
                </c:pt>
                <c:pt idx="14">
                  <c:v>785.52799999999991</c:v>
                </c:pt>
                <c:pt idx="15">
                  <c:v>785.44799999999987</c:v>
                </c:pt>
                <c:pt idx="16">
                  <c:v>785.44799999999987</c:v>
                </c:pt>
                <c:pt idx="17">
                  <c:v>785.36799999999994</c:v>
                </c:pt>
                <c:pt idx="18">
                  <c:v>785.26799999999992</c:v>
                </c:pt>
                <c:pt idx="19">
                  <c:v>785.23799999999994</c:v>
                </c:pt>
                <c:pt idx="20">
                  <c:v>785.23799999999994</c:v>
                </c:pt>
                <c:pt idx="21">
                  <c:v>786.13799999999992</c:v>
                </c:pt>
                <c:pt idx="22">
                  <c:v>786.13799999999992</c:v>
                </c:pt>
                <c:pt idx="23">
                  <c:v>786.82099999999991</c:v>
                </c:pt>
                <c:pt idx="24">
                  <c:v>787.76299999999992</c:v>
                </c:pt>
                <c:pt idx="25">
                  <c:v>791.2109999999999</c:v>
                </c:pt>
                <c:pt idx="26">
                  <c:v>791.19799999999987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09-432F-8510-D7064F066233}"/>
            </c:ext>
          </c:extLst>
        </c:ser>
        <c:ser>
          <c:idx val="4"/>
          <c:order val="1"/>
          <c:tx>
            <c:v>MAXIMETRO</c:v>
          </c:tx>
          <c:spPr>
            <a:ln w="38100">
              <a:solidFill>
                <a:srgbClr val="993366"/>
              </a:solidFill>
              <a:prstDash val="solid"/>
            </a:ln>
          </c:spPr>
          <c:marker>
            <c:symbol val="dash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'2021-10-11'!$A$57:$A$58</c:f>
              <c:numCache>
                <c:formatCode>0.00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xVal>
          <c:yVal>
            <c:numRef>
              <c:f>'2021-10-11'!$B$57:$B$58</c:f>
              <c:numCache>
                <c:formatCode>0.000</c:formatCode>
                <c:ptCount val="2"/>
                <c:pt idx="0">
                  <c:v>788.85</c:v>
                </c:pt>
                <c:pt idx="1">
                  <c:v>790.35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09-432F-8510-D7064F066233}"/>
            </c:ext>
          </c:extLst>
        </c:ser>
        <c:ser>
          <c:idx val="5"/>
          <c:order val="2"/>
          <c:tx>
            <c:v>COTA -0-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ash"/>
            <c:size val="3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'2021-10-11'!$A$55:$A$56</c:f>
              <c:numCache>
                <c:formatCode>0.00</c:formatCode>
                <c:ptCount val="2"/>
                <c:pt idx="0">
                  <c:v>26.5</c:v>
                </c:pt>
                <c:pt idx="1">
                  <c:v>26.5</c:v>
                </c:pt>
              </c:numCache>
            </c:numRef>
          </c:xVal>
          <c:yVal>
            <c:numRef>
              <c:f>'2021-10-11'!$B$55:$B$56</c:f>
              <c:numCache>
                <c:formatCode>0.000</c:formatCode>
                <c:ptCount val="2"/>
                <c:pt idx="0">
                  <c:v>786.46</c:v>
                </c:pt>
                <c:pt idx="1">
                  <c:v>789.46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09-432F-8510-D7064F066233}"/>
            </c:ext>
          </c:extLst>
        </c:ser>
        <c:ser>
          <c:idx val="1"/>
          <c:order val="3"/>
          <c:tx>
            <c:v>N.A.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424242"/>
              </a:solidFill>
              <a:ln>
                <a:solidFill>
                  <a:srgbClr val="003300"/>
                </a:solidFill>
                <a:prstDash val="solid"/>
              </a:ln>
            </c:spPr>
          </c:marker>
          <c:xVal>
            <c:numRef>
              <c:f>'2021-10-11'!$A$53:$A$54</c:f>
              <c:numCache>
                <c:formatCode>0.00</c:formatCode>
                <c:ptCount val="2"/>
                <c:pt idx="0">
                  <c:v>26</c:v>
                </c:pt>
                <c:pt idx="1">
                  <c:v>12</c:v>
                </c:pt>
              </c:numCache>
            </c:numRef>
          </c:xVal>
          <c:yVal>
            <c:numRef>
              <c:f>'2021-10-11'!$B$53:$B$54</c:f>
              <c:numCache>
                <c:formatCode>0.000</c:formatCode>
                <c:ptCount val="2"/>
                <c:pt idx="0">
                  <c:v>786.8</c:v>
                </c:pt>
                <c:pt idx="1">
                  <c:v>786.8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F09-432F-8510-D7064F066233}"/>
            </c:ext>
          </c:extLst>
        </c:ser>
        <c:ser>
          <c:idx val="2"/>
          <c:order val="4"/>
          <c:tx>
            <c:v>desb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'2021-10-11'!$A$59:$A$60</c:f>
              <c:numCache>
                <c:formatCode>0.00</c:formatCode>
                <c:ptCount val="2"/>
              </c:numCache>
            </c:numRef>
          </c:xVal>
          <c:yVal>
            <c:numRef>
              <c:f>'2021-10-11'!$B$59:$B$60</c:f>
              <c:numCache>
                <c:formatCode>0.000</c:formatCode>
                <c:ptCount val="2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F09-432F-8510-D7064F066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667512"/>
        <c:axId val="605672216"/>
      </c:scatterChart>
      <c:valAx>
        <c:axId val="6056675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ABSCISADO (mts)</a:t>
                </a:r>
              </a:p>
            </c:rich>
          </c:tx>
          <c:layout>
            <c:manualLayout>
              <c:xMode val="edge"/>
              <c:yMode val="edge"/>
              <c:x val="0.47955087719298245"/>
              <c:y val="0.9699117681044586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72216"/>
        <c:crosses val="autoZero"/>
        <c:crossBetween val="midCat"/>
      </c:valAx>
      <c:valAx>
        <c:axId val="605672216"/>
        <c:scaling>
          <c:orientation val="minMax"/>
          <c:min val="78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O"/>
                  <a:t>COTA (mts)</a:t>
                </a:r>
              </a:p>
            </c:rich>
          </c:tx>
          <c:layout>
            <c:manualLayout>
              <c:xMode val="edge"/>
              <c:yMode val="edge"/>
              <c:x val="4.0096882626513789E-3"/>
              <c:y val="0.456862526618134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in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605667512"/>
        <c:crosses val="autoZero"/>
        <c:crossBetween val="midCat"/>
        <c:majorUnit val="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000000000000022" r="0.75000000000000022" t="1" header="0.511811024" footer="0.511811024"/>
    <c:pageSetup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55</xdr:row>
      <xdr:rowOff>152400</xdr:rowOff>
    </xdr:to>
    <xdr:graphicFrame macro="">
      <xdr:nvGraphicFramePr>
        <xdr:cNvPr id="8399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0.72797</cdr:y>
    </cdr:from>
    <cdr:to>
      <cdr:x>0.42761</cdr:x>
      <cdr:y>0.72797</cdr:y>
    </cdr:to>
    <cdr:sp macro="" textlink="">
      <cdr:nvSpPr>
        <cdr:cNvPr id="849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50067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0.4586</cdr:x>
      <cdr:y>0.72797</cdr:y>
    </cdr:from>
    <cdr:to>
      <cdr:x>0.4586</cdr:x>
      <cdr:y>0.72797</cdr:y>
    </cdr:to>
    <cdr:sp macro="" textlink="">
      <cdr:nvSpPr>
        <cdr:cNvPr id="849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8491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0.20897</cdr:x>
      <cdr:y>0.05867</cdr:y>
    </cdr:from>
    <cdr:to>
      <cdr:x>0.29598</cdr:x>
      <cdr:y>0.16807</cdr:y>
    </cdr:to>
    <cdr:pic>
      <cdr:nvPicPr>
        <cdr:cNvPr id="849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8947" y="574675"/>
          <a:ext cx="991886" cy="10763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737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0.42737</cdr:x>
      <cdr:y>0.72839</cdr:y>
    </cdr:from>
    <cdr:to>
      <cdr:x>0.42737</cdr:x>
      <cdr:y>0.72839</cdr:y>
    </cdr:to>
    <cdr:sp macro="" textlink="">
      <cdr:nvSpPr>
        <cdr:cNvPr id="7475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7257" y="760024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0.45786</cdr:x>
      <cdr:y>0.72839</cdr:y>
    </cdr:from>
    <cdr:to>
      <cdr:x>0.45786</cdr:x>
      <cdr:y>0.72839</cdr:y>
    </cdr:to>
    <cdr:sp macro="" textlink="">
      <cdr:nvSpPr>
        <cdr:cNvPr id="7475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5681" y="7600244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0.20723</cdr:x>
      <cdr:y>0.0551</cdr:y>
    </cdr:from>
    <cdr:to>
      <cdr:x>0.29474</cdr:x>
      <cdr:y>0.15716</cdr:y>
    </cdr:to>
    <cdr:pic>
      <cdr:nvPicPr>
        <cdr:cNvPr id="7475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6137" y="593368"/>
          <a:ext cx="991886" cy="10773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7580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0.7279</cdr:y>
    </cdr:from>
    <cdr:to>
      <cdr:x>0.42761</cdr:x>
      <cdr:y>0.7279</cdr:y>
    </cdr:to>
    <cdr:sp macro="" textlink="">
      <cdr:nvSpPr>
        <cdr:cNvPr id="76801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50067" y="759507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0.4586</cdr:x>
      <cdr:y>0.7279</cdr:y>
    </cdr:from>
    <cdr:to>
      <cdr:x>0.4586</cdr:x>
      <cdr:y>0.7279</cdr:y>
    </cdr:to>
    <cdr:sp macro="" textlink="">
      <cdr:nvSpPr>
        <cdr:cNvPr id="76802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8491" y="7595076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0.20897</cdr:x>
      <cdr:y>0.05584</cdr:y>
    </cdr:from>
    <cdr:to>
      <cdr:x>0.29598</cdr:x>
      <cdr:y>0.15691</cdr:y>
    </cdr:to>
    <cdr:pic>
      <cdr:nvPicPr>
        <cdr:cNvPr id="76803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8947" y="595951"/>
          <a:ext cx="991886" cy="1077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55</xdr:row>
      <xdr:rowOff>152400</xdr:rowOff>
    </xdr:to>
    <xdr:graphicFrame macro="">
      <xdr:nvGraphicFramePr>
        <xdr:cNvPr id="778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0.72797</cdr:y>
    </cdr:from>
    <cdr:to>
      <cdr:x>0.42761</cdr:x>
      <cdr:y>0.72797</cdr:y>
    </cdr:to>
    <cdr:sp macro="" textlink="">
      <cdr:nvSpPr>
        <cdr:cNvPr id="78849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50067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0.4586</cdr:x>
      <cdr:y>0.72797</cdr:y>
    </cdr:from>
    <cdr:to>
      <cdr:x>0.4586</cdr:x>
      <cdr:y>0.72797</cdr:y>
    </cdr:to>
    <cdr:sp macro="" textlink="">
      <cdr:nvSpPr>
        <cdr:cNvPr id="78850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8491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0.20897</cdr:x>
      <cdr:y>0.05867</cdr:y>
    </cdr:from>
    <cdr:to>
      <cdr:x>0.29598</cdr:x>
      <cdr:y>0.16807</cdr:y>
    </cdr:to>
    <cdr:pic>
      <cdr:nvPicPr>
        <cdr:cNvPr id="78851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8947" y="574675"/>
          <a:ext cx="991886" cy="10763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55</xdr:row>
      <xdr:rowOff>152400</xdr:rowOff>
    </xdr:to>
    <xdr:graphicFrame macro="">
      <xdr:nvGraphicFramePr>
        <xdr:cNvPr id="7989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0.72797</cdr:y>
    </cdr:from>
    <cdr:to>
      <cdr:x>0.42761</cdr:x>
      <cdr:y>0.72797</cdr:y>
    </cdr:to>
    <cdr:sp macro="" textlink="">
      <cdr:nvSpPr>
        <cdr:cNvPr id="80897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50067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0.4586</cdr:x>
      <cdr:y>0.72797</cdr:y>
    </cdr:from>
    <cdr:to>
      <cdr:x>0.4586</cdr:x>
      <cdr:y>0.72797</cdr:y>
    </cdr:to>
    <cdr:sp macro="" textlink="">
      <cdr:nvSpPr>
        <cdr:cNvPr id="80898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8491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0.20897</cdr:x>
      <cdr:y>0.05867</cdr:y>
    </cdr:from>
    <cdr:to>
      <cdr:x>0.29598</cdr:x>
      <cdr:y>0.16807</cdr:y>
    </cdr:to>
    <cdr:pic>
      <cdr:nvPicPr>
        <cdr:cNvPr id="80899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8947" y="574675"/>
          <a:ext cx="991886" cy="10763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55</xdr:row>
      <xdr:rowOff>152400</xdr:rowOff>
    </xdr:to>
    <xdr:graphicFrame macro="">
      <xdr:nvGraphicFramePr>
        <xdr:cNvPr id="819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0.42761</cdr:x>
      <cdr:y>0.72797</cdr:y>
    </cdr:from>
    <cdr:to>
      <cdr:x>0.42761</cdr:x>
      <cdr:y>0.72797</cdr:y>
    </cdr:to>
    <cdr:sp macro="" textlink="">
      <cdr:nvSpPr>
        <cdr:cNvPr id="8294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50067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0.4586</cdr:x>
      <cdr:y>0.72797</cdr:y>
    </cdr:from>
    <cdr:to>
      <cdr:x>0.4586</cdr:x>
      <cdr:y>0.72797</cdr:y>
    </cdr:to>
    <cdr:sp macro="" textlink="">
      <cdr:nvSpPr>
        <cdr:cNvPr id="8294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8491" y="6999288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0.20897</cdr:x>
      <cdr:y>0.05867</cdr:y>
    </cdr:from>
    <cdr:to>
      <cdr:x>0.29598</cdr:x>
      <cdr:y>0.16807</cdr:y>
    </cdr:to>
    <cdr:pic>
      <cdr:nvPicPr>
        <cdr:cNvPr id="82947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8947" y="574675"/>
          <a:ext cx="991886" cy="10763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6556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0.72963</cdr:y>
    </cdr:from>
    <cdr:to>
      <cdr:x>0.42661</cdr:x>
      <cdr:y>0.72963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0.45686</cdr:x>
      <cdr:y>0.72963</cdr:y>
    </cdr:from>
    <cdr:to>
      <cdr:x>0.45686</cdr:x>
      <cdr:y>0.72963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0.20749</cdr:x>
      <cdr:y>0.05609</cdr:y>
    </cdr:from>
    <cdr:to>
      <cdr:x>0.29474</cdr:x>
      <cdr:y>0.15765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59</xdr:row>
      <xdr:rowOff>152400</xdr:rowOff>
    </xdr:to>
    <xdr:graphicFrame macro="">
      <xdr:nvGraphicFramePr>
        <xdr:cNvPr id="676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0.72839</cdr:y>
    </cdr:from>
    <cdr:to>
      <cdr:x>0.42711</cdr:x>
      <cdr:y>0.72839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0.72839</cdr:y>
    </cdr:from>
    <cdr:to>
      <cdr:x>0.4576</cdr:x>
      <cdr:y>0.72839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0.05757</cdr:y>
    </cdr:from>
    <cdr:to>
      <cdr:x>0.29524</cdr:x>
      <cdr:y>0.15965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635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0.72864</cdr:y>
    </cdr:from>
    <cdr:to>
      <cdr:x>0.42711</cdr:x>
      <cdr:y>0.72864</cdr:y>
    </cdr:to>
    <cdr:sp macro="" textlink="">
      <cdr:nvSpPr>
        <cdr:cNvPr id="6451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1637" y="760282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s-ES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0.45761</cdr:x>
      <cdr:y>0.72864</cdr:y>
    </cdr:from>
    <cdr:to>
      <cdr:x>0.45761</cdr:x>
      <cdr:y>0.72864</cdr:y>
    </cdr:to>
    <cdr:sp macro="" textlink="">
      <cdr:nvSpPr>
        <cdr:cNvPr id="6451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92871" y="7602827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0.20798</cdr:x>
      <cdr:y>0.05584</cdr:y>
    </cdr:from>
    <cdr:to>
      <cdr:x>0.29573</cdr:x>
      <cdr:y>0.1579</cdr:y>
    </cdr:to>
    <cdr:pic>
      <cdr:nvPicPr>
        <cdr:cNvPr id="6451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63327" y="598535"/>
          <a:ext cx="991886" cy="1077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60</xdr:row>
      <xdr:rowOff>152400</xdr:rowOff>
    </xdr:to>
    <xdr:graphicFrame macro="">
      <xdr:nvGraphicFramePr>
        <xdr:cNvPr id="696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0.42661</cdr:x>
      <cdr:y>0.72988</cdr:y>
    </cdr:from>
    <cdr:to>
      <cdr:x>0.42661</cdr:x>
      <cdr:y>0.72988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0.45686</cdr:x>
      <cdr:y>0.72988</cdr:y>
    </cdr:from>
    <cdr:to>
      <cdr:x>0.45686</cdr:x>
      <cdr:y>0.72988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0.05757</cdr:y>
    </cdr:from>
    <cdr:to>
      <cdr:x>0.20754</cdr:x>
      <cdr:y>0.05765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</xdr:row>
      <xdr:rowOff>76200</xdr:rowOff>
    </xdr:from>
    <xdr:to>
      <xdr:col>18</xdr:col>
      <xdr:colOff>723900</xdr:colOff>
      <xdr:row>42</xdr:row>
      <xdr:rowOff>152400</xdr:rowOff>
    </xdr:to>
    <xdr:graphicFrame macro="">
      <xdr:nvGraphicFramePr>
        <xdr:cNvPr id="5839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0.71655</cdr:y>
    </cdr:from>
    <cdr:to>
      <cdr:x>0.42711</cdr:x>
      <cdr:y>0.71655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0.71655</cdr:y>
    </cdr:from>
    <cdr:to>
      <cdr:x>0.4576</cdr:x>
      <cdr:y>0.71655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0.05288</cdr:x>
      <cdr:y>0.13923</cdr:y>
    </cdr:from>
    <cdr:to>
      <cdr:x>0.13964</cdr:x>
      <cdr:y>0.27878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7170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0.72222</cdr:y>
    </cdr:from>
    <cdr:to>
      <cdr:x>0.42711</cdr:x>
      <cdr:y>0.72222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0.72222</cdr:y>
    </cdr:from>
    <cdr:to>
      <cdr:x>0.4576</cdr:x>
      <cdr:y>0.72222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0.0598</cdr:y>
    </cdr:from>
    <cdr:to>
      <cdr:x>0.29524</cdr:x>
      <cdr:y>0.18286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4031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0.72222</cdr:y>
    </cdr:from>
    <cdr:to>
      <cdr:x>0.42711</cdr:x>
      <cdr:y>0.72222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0.72222</cdr:y>
    </cdr:from>
    <cdr:to>
      <cdr:x>0.4576</cdr:x>
      <cdr:y>0.72222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0.0598</cdr:y>
    </cdr:from>
    <cdr:to>
      <cdr:x>0.29524</cdr:x>
      <cdr:y>0.18286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4440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0.72222</cdr:y>
    </cdr:from>
    <cdr:to>
      <cdr:x>0.42711</cdr:x>
      <cdr:y>0.72222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0.72222</cdr:y>
    </cdr:from>
    <cdr:to>
      <cdr:x>0.4576</cdr:x>
      <cdr:y>0.72222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0.0598</cdr:y>
    </cdr:from>
    <cdr:to>
      <cdr:x>0.29524</cdr:x>
      <cdr:y>0.18286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423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0.72222</cdr:y>
    </cdr:from>
    <cdr:to>
      <cdr:x>0.42711</cdr:x>
      <cdr:y>0.72222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0.72222</cdr:y>
    </cdr:from>
    <cdr:to>
      <cdr:x>0.4576</cdr:x>
      <cdr:y>0.72222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0.0598</cdr:y>
    </cdr:from>
    <cdr:to>
      <cdr:x>0.29524</cdr:x>
      <cdr:y>0.18286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4645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0.72222</cdr:y>
    </cdr:from>
    <cdr:to>
      <cdr:x>0.42711</cdr:x>
      <cdr:y>0.72222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0.72222</cdr:y>
    </cdr:from>
    <cdr:to>
      <cdr:x>0.4576</cdr:x>
      <cdr:y>0.72222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0.20799</cdr:x>
      <cdr:y>0.0598</cdr:y>
    </cdr:from>
    <cdr:to>
      <cdr:x>0.29524</cdr:x>
      <cdr:y>0.18286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515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0.72098</cdr:y>
    </cdr:from>
    <cdr:to>
      <cdr:x>0.42711</cdr:x>
      <cdr:y>0.72098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0.72098</cdr:y>
    </cdr:from>
    <cdr:to>
      <cdr:x>0.4576</cdr:x>
      <cdr:y>0.72098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0.27614</cdr:x>
      <cdr:y>0.1954</cdr:y>
    </cdr:from>
    <cdr:to>
      <cdr:x>0.37159</cdr:x>
      <cdr:y>0.30443</cdr:y>
    </cdr:to>
    <cdr:pic>
      <cdr:nvPicPr>
        <cdr:cNvPr id="152580" name="Picture 4" descr="LOGO negr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3138657" y="1682690"/>
          <a:ext cx="1082719" cy="95051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5464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0.72222</cdr:y>
    </cdr:from>
    <cdr:to>
      <cdr:x>0.42711</cdr:x>
      <cdr:y>0.72222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0.72222</cdr:y>
    </cdr:from>
    <cdr:to>
      <cdr:x>0.4576</cdr:x>
      <cdr:y>0.72222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0.12053</cdr:x>
      <cdr:y>0.04176</cdr:y>
    </cdr:from>
    <cdr:to>
      <cdr:x>0.2068</cdr:x>
      <cdr:y>0.16458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1566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0.72419</cdr:y>
    </cdr:from>
    <cdr:to>
      <cdr:x>0.42711</cdr:x>
      <cdr:y>0.72419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0.72419</cdr:y>
    </cdr:from>
    <cdr:to>
      <cdr:x>0.4576</cdr:x>
      <cdr:y>0.72419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0.12053</cdr:x>
      <cdr:y>0.043</cdr:y>
    </cdr:from>
    <cdr:to>
      <cdr:x>0.2068</cdr:x>
      <cdr:y>0.1663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25704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0.42687</cdr:x>
      <cdr:y>0.72049</cdr:y>
    </cdr:from>
    <cdr:to>
      <cdr:x>0.42687</cdr:x>
      <cdr:y>0.72049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0.72049</cdr:y>
    </cdr:from>
    <cdr:to>
      <cdr:x>0.4576</cdr:x>
      <cdr:y>0.72049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0.12053</cdr:x>
      <cdr:y>0.04003</cdr:y>
    </cdr:from>
    <cdr:to>
      <cdr:x>0.20679</cdr:x>
      <cdr:y>0.16383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48</xdr:row>
      <xdr:rowOff>66675</xdr:rowOff>
    </xdr:to>
    <xdr:graphicFrame macro="">
      <xdr:nvGraphicFramePr>
        <xdr:cNvPr id="254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0.72419</cdr:y>
    </cdr:from>
    <cdr:to>
      <cdr:x>0.42711</cdr:x>
      <cdr:y>0.72419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0.72419</cdr:y>
    </cdr:from>
    <cdr:to>
      <cdr:x>0.4576</cdr:x>
      <cdr:y>0.72419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0.12053</cdr:x>
      <cdr:y>0.043</cdr:y>
    </cdr:from>
    <cdr:to>
      <cdr:x>0.2068</cdr:x>
      <cdr:y>0.1663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46</xdr:row>
      <xdr:rowOff>66675</xdr:rowOff>
    </xdr:to>
    <xdr:graphicFrame macro="">
      <xdr:nvGraphicFramePr>
        <xdr:cNvPr id="27956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0.72197</cdr:y>
    </cdr:from>
    <cdr:to>
      <cdr:x>0.42711</cdr:x>
      <cdr:y>0.72197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0.72197</cdr:y>
    </cdr:from>
    <cdr:to>
      <cdr:x>0.4576</cdr:x>
      <cdr:y>0.72197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0.12053</cdr:x>
      <cdr:y>0.042</cdr:y>
    </cdr:from>
    <cdr:to>
      <cdr:x>0.2068</cdr:x>
      <cdr:y>0.16556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46</xdr:row>
      <xdr:rowOff>66675</xdr:rowOff>
    </xdr:to>
    <xdr:graphicFrame macro="">
      <xdr:nvGraphicFramePr>
        <xdr:cNvPr id="3481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0.72197</cdr:y>
    </cdr:from>
    <cdr:to>
      <cdr:x>0.42711</cdr:x>
      <cdr:y>0.72197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0.72197</cdr:y>
    </cdr:from>
    <cdr:to>
      <cdr:x>0.4576</cdr:x>
      <cdr:y>0.72197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0.06999</cdr:x>
      <cdr:y>0.03385</cdr:y>
    </cdr:from>
    <cdr:to>
      <cdr:x>0.16641</cdr:x>
      <cdr:y>0.17198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2357707" y="601119"/>
          <a:ext cx="986267" cy="10722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46</xdr:row>
      <xdr:rowOff>66675</xdr:rowOff>
    </xdr:to>
    <xdr:graphicFrame macro="">
      <xdr:nvGraphicFramePr>
        <xdr:cNvPr id="4505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0.42662</cdr:x>
      <cdr:y>0.71852</cdr:y>
    </cdr:from>
    <cdr:to>
      <cdr:x>0.42662</cdr:x>
      <cdr:y>0.71852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0.45785</cdr:x>
      <cdr:y>0.71852</cdr:y>
    </cdr:from>
    <cdr:to>
      <cdr:x>0.45785</cdr:x>
      <cdr:y>0.71852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0.06837</cdr:x>
      <cdr:y>0.0005</cdr:y>
    </cdr:from>
    <cdr:to>
      <cdr:x>0.16579</cdr:x>
      <cdr:y>0.13738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77121" y="0"/>
          <a:ext cx="1097641" cy="11532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46</xdr:row>
      <xdr:rowOff>66675</xdr:rowOff>
    </xdr:to>
    <xdr:graphicFrame macro="">
      <xdr:nvGraphicFramePr>
        <xdr:cNvPr id="35124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0.72197</cdr:y>
    </cdr:from>
    <cdr:to>
      <cdr:x>0.42711</cdr:x>
      <cdr:y>0.72197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0.72197</cdr:y>
    </cdr:from>
    <cdr:to>
      <cdr:x>0.4576</cdr:x>
      <cdr:y>0.72197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0.06125</cdr:x>
      <cdr:y>0</cdr:y>
    </cdr:from>
    <cdr:to>
      <cdr:x>0.06422</cdr:x>
      <cdr:y>0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77121" y="0"/>
          <a:ext cx="1097641" cy="11532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46</xdr:row>
      <xdr:rowOff>66675</xdr:rowOff>
    </xdr:to>
    <xdr:graphicFrame macro="">
      <xdr:nvGraphicFramePr>
        <xdr:cNvPr id="56013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0.42662</cdr:x>
      <cdr:y>0.72172</cdr:y>
    </cdr:from>
    <cdr:to>
      <cdr:x>0.42662</cdr:x>
      <cdr:y>0.72172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0.72172</cdr:y>
    </cdr:from>
    <cdr:to>
      <cdr:x>0.4576</cdr:x>
      <cdr:y>0.72172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0.06375</cdr:x>
      <cdr:y>0</cdr:y>
    </cdr:from>
    <cdr:to>
      <cdr:x>0.06623</cdr:x>
      <cdr:y>0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77121" y="0"/>
          <a:ext cx="1097641" cy="11532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342900</xdr:rowOff>
    </xdr:from>
    <xdr:to>
      <xdr:col>19</xdr:col>
      <xdr:colOff>9525</xdr:colOff>
      <xdr:row>46</xdr:row>
      <xdr:rowOff>66675</xdr:rowOff>
    </xdr:to>
    <xdr:graphicFrame macro="">
      <xdr:nvGraphicFramePr>
        <xdr:cNvPr id="45261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0.42711</cdr:x>
      <cdr:y>0.72197</cdr:y>
    </cdr:from>
    <cdr:to>
      <cdr:x>0.42711</cdr:x>
      <cdr:y>0.72197</cdr:y>
    </cdr:to>
    <cdr:sp macro="" textlink="">
      <cdr:nvSpPr>
        <cdr:cNvPr id="59393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36017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CO" sz="875" b="0" i="0" strike="noStrike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0.4576</cdr:x>
      <cdr:y>0.72197</cdr:y>
    </cdr:from>
    <cdr:to>
      <cdr:x>0.4576</cdr:x>
      <cdr:y>0.72197</cdr:y>
    </cdr:to>
    <cdr:sp macro="" textlink="">
      <cdr:nvSpPr>
        <cdr:cNvPr id="59394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4442" y="761316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0.06125</cdr:x>
      <cdr:y>0</cdr:y>
    </cdr:from>
    <cdr:to>
      <cdr:x>0.06422</cdr:x>
      <cdr:y>0</cdr:y>
    </cdr:to>
    <cdr:pic>
      <cdr:nvPicPr>
        <cdr:cNvPr id="59395" name="Picture 3" descr="logonuevo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/>
        <a:srcRect xmlns:a="http://schemas.openxmlformats.org/drawingml/2006/main" b="23256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77121" y="0"/>
          <a:ext cx="1097641" cy="115322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pic>
  </cdr:relSizeAnchor>
</c:userShapes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3259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3462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830800" y="79819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376680" y="14825980"/>
          <a:ext cx="635000" cy="2362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3259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3462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0.08795</cdr:x>
      <cdr:y>0.04275</cdr:y>
    </cdr:from>
    <cdr:to>
      <cdr:x>0.1872</cdr:x>
      <cdr:y>0.12861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193800" y="520700"/>
          <a:ext cx="1347107" cy="1045672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0.09497</cdr:x>
      <cdr:y>0.06061</cdr:y>
    </cdr:from>
    <cdr:to>
      <cdr:x>0.19422</cdr:x>
      <cdr:y>0.14647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89006" y="738806"/>
          <a:ext cx="1347133" cy="104657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0.09497</cdr:x>
      <cdr:y>0.06061</cdr:y>
    </cdr:from>
    <cdr:to>
      <cdr:x>0.19422</cdr:x>
      <cdr:y>0.14647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89006" y="738806"/>
          <a:ext cx="1347133" cy="104657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0.09497</cdr:x>
      <cdr:y>0.06061</cdr:y>
    </cdr:from>
    <cdr:to>
      <cdr:x>0.19422</cdr:x>
      <cdr:y>0.14647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89006" y="738806"/>
          <a:ext cx="1347133" cy="104657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0.09497</cdr:x>
      <cdr:y>0.06061</cdr:y>
    </cdr:from>
    <cdr:to>
      <cdr:x>0.19422</cdr:x>
      <cdr:y>0.14647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89006" y="738806"/>
          <a:ext cx="1347133" cy="104657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602200" y="590550"/>
          <a:ext cx="152400" cy="5715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651000" y="11823700"/>
          <a:ext cx="63500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2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0.09497</cdr:x>
      <cdr:y>0.06061</cdr:y>
    </cdr:from>
    <cdr:to>
      <cdr:x>0.19422</cdr:x>
      <cdr:y>0.14647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89006" y="738806"/>
          <a:ext cx="1347133" cy="104657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9525</xdr:rowOff>
    </xdr:from>
    <xdr:to>
      <xdr:col>21</xdr:col>
      <xdr:colOff>619125</xdr:colOff>
      <xdr:row>59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23</xdr:col>
      <xdr:colOff>76200</xdr:colOff>
      <xdr:row>3</xdr:row>
      <xdr:rowOff>104775</xdr:rowOff>
    </xdr:from>
    <xdr:to>
      <xdr:col>23</xdr:col>
      <xdr:colOff>228600</xdr:colOff>
      <xdr:row>3</xdr:row>
      <xdr:rowOff>333375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17478375" y="790575"/>
          <a:ext cx="152400" cy="228600"/>
        </a:xfrm>
        <a:prstGeom prst="flowChartConnector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127000</xdr:colOff>
      <xdr:row>72</xdr:row>
      <xdr:rowOff>165100</xdr:rowOff>
    </xdr:from>
    <xdr:to>
      <xdr:col>2</xdr:col>
      <xdr:colOff>762000</xdr:colOff>
      <xdr:row>74</xdr:row>
      <xdr:rowOff>50800</xdr:rowOff>
    </xdr:to>
    <xdr:sp macro="[0]!Makro" textlink="">
      <xdr:nvSpPr>
        <xdr:cNvPr id="4" name="Rectángulo 3"/>
        <xdr:cNvSpPr/>
      </xdr:nvSpPr>
      <xdr:spPr>
        <a:xfrm>
          <a:off x="1498600" y="14928850"/>
          <a:ext cx="635000" cy="247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Macro</a:t>
          </a:r>
        </a:p>
      </xdr:txBody>
    </xdr:sp>
    <xdr:clientData fPrintsWithSheet="0"/>
  </xdr:twoCellAnchor>
</xdr:wsDr>
</file>

<file path=xl/drawings/drawing74.xml><?xml version="1.0" encoding="utf-8"?>
<c:userShapes xmlns:c="http://schemas.openxmlformats.org/drawingml/2006/chart">
  <cdr:relSizeAnchor xmlns:cdr="http://schemas.openxmlformats.org/drawingml/2006/chartDrawing">
    <cdr:from>
      <cdr:x>0.43972</cdr:x>
      <cdr:y>0.70437</cdr:y>
    </cdr:from>
    <cdr:to>
      <cdr:x>0.43972</cdr:x>
      <cdr:y>0.70437</cdr:y>
    </cdr:to>
    <cdr:sp macro="" textlink="">
      <cdr:nvSpPr>
        <cdr:cNvPr id="47105" name="Texto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71223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s-ES" sz="875" b="0" i="0" u="none" strike="noStrike" baseline="0">
              <a:solidFill>
                <a:srgbClr val="000000"/>
              </a:solidFill>
              <a:latin typeface="Arial"/>
              <a:cs typeface="Arial"/>
            </a:rPr>
            <a:t>na</a:t>
          </a:r>
        </a:p>
      </cdr:txBody>
    </cdr:sp>
  </cdr:relSizeAnchor>
  <cdr:relSizeAnchor xmlns:cdr="http://schemas.openxmlformats.org/drawingml/2006/chartDrawing">
    <cdr:from>
      <cdr:x>0.46925</cdr:x>
      <cdr:y>0.70437</cdr:y>
    </cdr:from>
    <cdr:to>
      <cdr:x>0.46925</cdr:x>
      <cdr:y>0.70437</cdr:y>
    </cdr:to>
    <cdr:sp macro="" textlink="">
      <cdr:nvSpPr>
        <cdr:cNvPr id="47106" name="Texto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39721" y="7542015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s-CO"/>
        </a:p>
      </cdr:txBody>
    </cdr:sp>
  </cdr:relSizeAnchor>
  <cdr:relSizeAnchor xmlns:cdr="http://schemas.openxmlformats.org/drawingml/2006/chartDrawing">
    <cdr:from>
      <cdr:x>0.09497</cdr:x>
      <cdr:y>0.06061</cdr:y>
    </cdr:from>
    <cdr:to>
      <cdr:x>0.19422</cdr:x>
      <cdr:y>0.14647</cdr:y>
    </cdr:to>
    <cdr:pic>
      <cdr:nvPicPr>
        <cdr:cNvPr id="6" name="Imagen 5" descr="IDEAM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89006" y="738806"/>
          <a:ext cx="1347133" cy="104657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59"/>
  <sheetViews>
    <sheetView showGridLines="0" topLeftCell="A10" zoomScale="75" workbookViewId="0">
      <selection activeCell="C51" sqref="C51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793.06</v>
      </c>
      <c r="C3" s="39" t="s">
        <v>20</v>
      </c>
      <c r="D3" s="172"/>
    </row>
    <row r="4" spans="1:20" x14ac:dyDescent="0.2">
      <c r="A4" s="40">
        <v>5</v>
      </c>
      <c r="B4" s="41">
        <v>790.06200000000001</v>
      </c>
      <c r="C4" s="42"/>
      <c r="D4" s="172"/>
    </row>
    <row r="5" spans="1:20" x14ac:dyDescent="0.2">
      <c r="A5" s="43">
        <v>5.2</v>
      </c>
      <c r="B5" s="44">
        <v>789.66200000000003</v>
      </c>
      <c r="C5" s="50"/>
      <c r="D5" s="172"/>
    </row>
    <row r="6" spans="1:20" x14ac:dyDescent="0.2">
      <c r="A6" s="43">
        <v>6</v>
      </c>
      <c r="B6" s="44">
        <v>789.50199999999995</v>
      </c>
      <c r="C6" s="42"/>
      <c r="D6" s="172"/>
    </row>
    <row r="7" spans="1:20" x14ac:dyDescent="0.2">
      <c r="A7" s="43">
        <v>6.2</v>
      </c>
      <c r="B7" s="44">
        <v>788.05200000000002</v>
      </c>
      <c r="C7" s="42"/>
      <c r="D7" s="172"/>
    </row>
    <row r="8" spans="1:20" x14ac:dyDescent="0.2">
      <c r="A8" s="43">
        <v>9</v>
      </c>
      <c r="B8" s="44">
        <v>787.69200000000001</v>
      </c>
      <c r="C8" s="45"/>
      <c r="D8" s="172"/>
    </row>
    <row r="9" spans="1:20" x14ac:dyDescent="0.2">
      <c r="A9" s="43">
        <v>10.8</v>
      </c>
      <c r="B9" s="44">
        <v>787.44200000000001</v>
      </c>
      <c r="C9" s="42"/>
      <c r="D9" s="172"/>
    </row>
    <row r="10" spans="1:20" x14ac:dyDescent="0.2">
      <c r="A10" s="16">
        <v>11.2</v>
      </c>
      <c r="B10" s="46">
        <v>787.13</v>
      </c>
      <c r="C10" s="50" t="s">
        <v>23</v>
      </c>
      <c r="D10" s="172"/>
    </row>
    <row r="11" spans="1:20" x14ac:dyDescent="0.2">
      <c r="A11" s="43">
        <v>13.4</v>
      </c>
      <c r="B11" s="44">
        <v>786.41</v>
      </c>
      <c r="C11" s="45"/>
      <c r="D11" s="172"/>
    </row>
    <row r="12" spans="1:20" x14ac:dyDescent="0.2">
      <c r="A12" s="43">
        <v>15</v>
      </c>
      <c r="B12" s="44">
        <v>786.19</v>
      </c>
      <c r="C12" s="42"/>
      <c r="D12" s="172"/>
    </row>
    <row r="13" spans="1:20" x14ac:dyDescent="0.2">
      <c r="A13" s="43">
        <v>16</v>
      </c>
      <c r="B13" s="44">
        <v>786</v>
      </c>
      <c r="C13" s="50"/>
      <c r="D13" s="172"/>
    </row>
    <row r="14" spans="1:20" x14ac:dyDescent="0.2">
      <c r="A14" s="43">
        <v>17</v>
      </c>
      <c r="B14" s="44">
        <v>786.07</v>
      </c>
      <c r="C14" s="42"/>
      <c r="D14" s="172"/>
    </row>
    <row r="15" spans="1:20" x14ac:dyDescent="0.2">
      <c r="A15" s="43">
        <v>18</v>
      </c>
      <c r="B15" s="44">
        <v>786.02</v>
      </c>
      <c r="C15" s="42"/>
      <c r="D15" s="172"/>
    </row>
    <row r="16" spans="1:20" x14ac:dyDescent="0.2">
      <c r="A16" s="43">
        <v>19</v>
      </c>
      <c r="B16" s="44">
        <v>785.78</v>
      </c>
      <c r="C16" s="42"/>
      <c r="D16" s="172"/>
    </row>
    <row r="17" spans="1:4" x14ac:dyDescent="0.2">
      <c r="A17" s="43">
        <v>20</v>
      </c>
      <c r="B17" s="44">
        <v>785.87</v>
      </c>
      <c r="C17" s="42"/>
      <c r="D17" s="172"/>
    </row>
    <row r="18" spans="1:4" x14ac:dyDescent="0.2">
      <c r="A18" s="43">
        <v>21</v>
      </c>
      <c r="B18" s="44">
        <v>785.66</v>
      </c>
      <c r="C18" s="42"/>
      <c r="D18" s="172"/>
    </row>
    <row r="19" spans="1:4" x14ac:dyDescent="0.2">
      <c r="A19" s="43">
        <v>22</v>
      </c>
      <c r="B19" s="44">
        <v>785.58</v>
      </c>
      <c r="C19" s="42"/>
      <c r="D19" s="172"/>
    </row>
    <row r="20" spans="1:4" x14ac:dyDescent="0.2">
      <c r="A20" s="43">
        <v>23</v>
      </c>
      <c r="B20" s="44">
        <v>785.13</v>
      </c>
      <c r="C20" s="42"/>
      <c r="D20" s="172"/>
    </row>
    <row r="21" spans="1:4" x14ac:dyDescent="0.2">
      <c r="A21" s="43">
        <v>24</v>
      </c>
      <c r="B21" s="44">
        <v>784.79</v>
      </c>
      <c r="C21" s="42"/>
      <c r="D21" s="172"/>
    </row>
    <row r="22" spans="1:4" x14ac:dyDescent="0.2">
      <c r="A22" s="43">
        <v>25</v>
      </c>
      <c r="B22" s="44">
        <v>784.93</v>
      </c>
      <c r="C22" s="42"/>
      <c r="D22" s="172"/>
    </row>
    <row r="23" spans="1:4" x14ac:dyDescent="0.2">
      <c r="A23" s="16">
        <v>25</v>
      </c>
      <c r="B23" s="46">
        <v>787.13</v>
      </c>
      <c r="C23" s="50" t="s">
        <v>22</v>
      </c>
      <c r="D23" s="172"/>
    </row>
    <row r="24" spans="1:4" x14ac:dyDescent="0.2">
      <c r="A24" s="43">
        <v>25.5</v>
      </c>
      <c r="B24" s="44">
        <v>789.12199999999996</v>
      </c>
      <c r="C24" s="45"/>
      <c r="D24" s="172"/>
    </row>
    <row r="25" spans="1:4" x14ac:dyDescent="0.2">
      <c r="A25" s="43">
        <v>26.5</v>
      </c>
      <c r="B25" s="44">
        <v>789.30200000000002</v>
      </c>
      <c r="C25" s="42"/>
      <c r="D25" s="172"/>
    </row>
    <row r="26" spans="1:4" s="7" customFormat="1" x14ac:dyDescent="0.2">
      <c r="A26" s="43">
        <v>27</v>
      </c>
      <c r="B26" s="44">
        <v>790.36199999999997</v>
      </c>
      <c r="C26" s="45"/>
      <c r="D26" s="172"/>
    </row>
    <row r="27" spans="1:4" x14ac:dyDescent="0.2">
      <c r="A27" s="43"/>
      <c r="B27" s="44"/>
      <c r="C27" s="45"/>
      <c r="D27" s="172"/>
    </row>
    <row r="28" spans="1:4" x14ac:dyDescent="0.2">
      <c r="A28" s="16"/>
      <c r="B28" s="46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43"/>
      <c r="B38" s="44"/>
      <c r="C38" s="42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7"/>
      <c r="D41" s="172"/>
    </row>
    <row r="42" spans="1:4" ht="13.5" thickBot="1" x14ac:dyDescent="0.25">
      <c r="A42" s="6"/>
      <c r="B42" s="13"/>
      <c r="C42" s="26"/>
      <c r="D42" s="172"/>
    </row>
    <row r="43" spans="1:4" ht="20.100000000000001" customHeight="1" x14ac:dyDescent="0.2">
      <c r="A43" s="15">
        <v>11.2</v>
      </c>
      <c r="B43" s="19">
        <v>787.13</v>
      </c>
      <c r="C43" s="14" t="s">
        <v>9</v>
      </c>
      <c r="D43" s="173" t="s">
        <v>6</v>
      </c>
    </row>
    <row r="44" spans="1:4" ht="20.100000000000001" customHeight="1" thickBot="1" x14ac:dyDescent="0.25">
      <c r="A44" s="28">
        <v>25</v>
      </c>
      <c r="B44" s="33">
        <v>787.13</v>
      </c>
      <c r="C44" s="17" t="s">
        <v>10</v>
      </c>
      <c r="D44" s="173"/>
    </row>
    <row r="45" spans="1:4" ht="20.100000000000001" customHeight="1" thickBot="1" x14ac:dyDescent="0.25">
      <c r="A45" s="34">
        <v>22.5</v>
      </c>
      <c r="B45" s="35">
        <v>786.399</v>
      </c>
      <c r="C45" s="21" t="s">
        <v>8</v>
      </c>
      <c r="D45" s="173"/>
    </row>
    <row r="46" spans="1:4" ht="20.100000000000001" customHeight="1" thickBot="1" x14ac:dyDescent="0.25">
      <c r="A46" s="20">
        <v>22.5</v>
      </c>
      <c r="B46" s="36">
        <v>788.75599999999997</v>
      </c>
      <c r="C46" s="22" t="s">
        <v>8</v>
      </c>
      <c r="D46" s="173"/>
    </row>
    <row r="47" spans="1:4" ht="20.100000000000001" customHeight="1" x14ac:dyDescent="0.2">
      <c r="A47" s="15">
        <v>23</v>
      </c>
      <c r="B47" s="19">
        <v>788.19</v>
      </c>
      <c r="C47" s="23" t="s">
        <v>2</v>
      </c>
      <c r="D47" s="173"/>
    </row>
    <row r="48" spans="1:4" ht="20.100000000000001" customHeight="1" thickBot="1" x14ac:dyDescent="0.25">
      <c r="A48" s="28">
        <v>23</v>
      </c>
      <c r="B48" s="33">
        <v>789.71</v>
      </c>
      <c r="C48" s="8" t="s">
        <v>2</v>
      </c>
      <c r="D48" s="173"/>
    </row>
    <row r="49" spans="1:5" ht="13.5" thickBot="1" x14ac:dyDescent="0.25">
      <c r="A49" s="15">
        <v>0</v>
      </c>
      <c r="B49" s="27">
        <v>791.89</v>
      </c>
      <c r="C49" s="9" t="s">
        <v>7</v>
      </c>
      <c r="D49" s="1"/>
    </row>
    <row r="50" spans="1:5" ht="13.5" thickBot="1" x14ac:dyDescent="0.25">
      <c r="A50" s="28">
        <v>31</v>
      </c>
      <c r="B50" s="29">
        <v>791.91</v>
      </c>
      <c r="C50" s="9" t="s">
        <v>7</v>
      </c>
      <c r="D50" s="1"/>
    </row>
    <row r="51" spans="1:5" ht="16.5" thickBot="1" x14ac:dyDescent="0.3">
      <c r="A51" s="24" t="s">
        <v>12</v>
      </c>
      <c r="B51" s="4"/>
      <c r="C51" s="30">
        <v>0.77</v>
      </c>
      <c r="D51" s="1"/>
    </row>
    <row r="52" spans="1:5" ht="16.5" thickBot="1" x14ac:dyDescent="0.3">
      <c r="A52" s="10" t="s">
        <v>11</v>
      </c>
      <c r="B52" s="4"/>
      <c r="C52" s="18">
        <f>B45</f>
        <v>786.399</v>
      </c>
      <c r="D52" s="1"/>
    </row>
    <row r="53" spans="1:5" ht="20.25" customHeight="1" thickBot="1" x14ac:dyDescent="0.3">
      <c r="A53" s="10" t="s">
        <v>14</v>
      </c>
      <c r="C53" s="31">
        <f>B3</f>
        <v>793.06</v>
      </c>
      <c r="D53" s="1"/>
    </row>
    <row r="54" spans="1:5" ht="15.75" thickBot="1" x14ac:dyDescent="0.3">
      <c r="A54" s="24" t="s">
        <v>13</v>
      </c>
      <c r="C54" s="32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x14ac:dyDescent="0.2">
      <c r="A58" s="3"/>
      <c r="B58" s="4"/>
      <c r="C58" s="5"/>
      <c r="D58" s="1"/>
    </row>
    <row r="59" spans="1:5" ht="18" x14ac:dyDescent="0.25">
      <c r="C59" s="49" t="s">
        <v>16</v>
      </c>
      <c r="D59" s="48"/>
      <c r="E59" s="48"/>
    </row>
  </sheetData>
  <mergeCells count="3">
    <mergeCell ref="A1:Q1"/>
    <mergeCell ref="D2:D42"/>
    <mergeCell ref="D43:D48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T64"/>
  <sheetViews>
    <sheetView showGridLines="0" zoomScale="75" workbookViewId="0">
      <selection activeCell="C56" sqref="C56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789.49699999999996</v>
      </c>
      <c r="C3" s="39" t="s">
        <v>20</v>
      </c>
      <c r="D3" s="172"/>
    </row>
    <row r="4" spans="1:20" x14ac:dyDescent="0.2">
      <c r="A4" s="40">
        <v>2</v>
      </c>
      <c r="B4" s="41">
        <v>789.55700000000002</v>
      </c>
      <c r="C4" s="42"/>
      <c r="D4" s="172"/>
    </row>
    <row r="5" spans="1:20" x14ac:dyDescent="0.2">
      <c r="A5" s="43">
        <v>2</v>
      </c>
      <c r="B5" s="44">
        <v>788.72699999999998</v>
      </c>
      <c r="C5" s="50"/>
      <c r="D5" s="172"/>
    </row>
    <row r="6" spans="1:20" x14ac:dyDescent="0.2">
      <c r="A6" s="43">
        <v>2.4</v>
      </c>
      <c r="B6" s="44">
        <v>788.03099999999995</v>
      </c>
      <c r="C6" s="42"/>
      <c r="D6" s="172"/>
    </row>
    <row r="7" spans="1:20" x14ac:dyDescent="0.2">
      <c r="A7" s="43">
        <v>3.2</v>
      </c>
      <c r="B7" s="44">
        <v>788.76099999999997</v>
      </c>
      <c r="C7" s="42"/>
      <c r="D7" s="172"/>
    </row>
    <row r="8" spans="1:20" x14ac:dyDescent="0.2">
      <c r="A8" s="43">
        <v>3.5</v>
      </c>
      <c r="B8" s="44">
        <v>787.82100000000003</v>
      </c>
      <c r="C8" s="45"/>
      <c r="D8" s="172"/>
    </row>
    <row r="9" spans="1:20" x14ac:dyDescent="0.2">
      <c r="A9" s="43">
        <v>6.5</v>
      </c>
      <c r="B9" s="44">
        <v>787.25099999999998</v>
      </c>
      <c r="C9" s="42"/>
      <c r="D9" s="172"/>
    </row>
    <row r="10" spans="1:20" x14ac:dyDescent="0.2">
      <c r="A10" s="16">
        <v>8.6999999999999993</v>
      </c>
      <c r="B10" s="46">
        <v>786.83500000000004</v>
      </c>
      <c r="C10" s="50" t="s">
        <v>21</v>
      </c>
      <c r="D10" s="172"/>
    </row>
    <row r="11" spans="1:20" x14ac:dyDescent="0.2">
      <c r="A11" s="43">
        <v>10.7</v>
      </c>
      <c r="B11" s="44">
        <v>786.73</v>
      </c>
      <c r="C11" s="45"/>
      <c r="D11" s="172"/>
    </row>
    <row r="12" spans="1:20" x14ac:dyDescent="0.2">
      <c r="A12" s="43">
        <v>11.7</v>
      </c>
      <c r="B12" s="44">
        <v>786.64</v>
      </c>
      <c r="C12" s="42"/>
      <c r="D12" s="172"/>
    </row>
    <row r="13" spans="1:20" x14ac:dyDescent="0.2">
      <c r="A13" s="43">
        <v>12.7</v>
      </c>
      <c r="B13" s="44">
        <v>786.55</v>
      </c>
      <c r="C13" s="50"/>
      <c r="D13" s="172"/>
    </row>
    <row r="14" spans="1:20" x14ac:dyDescent="0.2">
      <c r="A14" s="43">
        <v>13.7</v>
      </c>
      <c r="B14" s="44">
        <v>786.41</v>
      </c>
      <c r="C14" s="42"/>
      <c r="D14" s="172"/>
    </row>
    <row r="15" spans="1:20" x14ac:dyDescent="0.2">
      <c r="A15" s="43">
        <v>14.7</v>
      </c>
      <c r="B15" s="44">
        <v>786.34</v>
      </c>
      <c r="C15" s="42"/>
      <c r="D15" s="172"/>
    </row>
    <row r="16" spans="1:20" x14ac:dyDescent="0.2">
      <c r="A16" s="43">
        <v>15.7</v>
      </c>
      <c r="B16" s="44">
        <v>786.15</v>
      </c>
      <c r="C16" s="42"/>
      <c r="D16" s="172"/>
    </row>
    <row r="17" spans="1:4" x14ac:dyDescent="0.2">
      <c r="A17" s="43">
        <v>16.7</v>
      </c>
      <c r="B17" s="44">
        <v>786</v>
      </c>
      <c r="C17" s="42"/>
      <c r="D17" s="172"/>
    </row>
    <row r="18" spans="1:4" x14ac:dyDescent="0.2">
      <c r="A18" s="43">
        <v>17.7</v>
      </c>
      <c r="B18" s="44">
        <v>786.05</v>
      </c>
      <c r="C18" s="42"/>
      <c r="D18" s="172"/>
    </row>
    <row r="19" spans="1:4" x14ac:dyDescent="0.2">
      <c r="A19" s="43">
        <v>18.7</v>
      </c>
      <c r="B19" s="44">
        <v>785.79</v>
      </c>
      <c r="C19" s="42"/>
      <c r="D19" s="172"/>
    </row>
    <row r="20" spans="1:4" x14ac:dyDescent="0.2">
      <c r="A20" s="43">
        <v>19.7</v>
      </c>
      <c r="B20" s="44">
        <v>785.83</v>
      </c>
      <c r="C20" s="42"/>
      <c r="D20" s="172"/>
    </row>
    <row r="21" spans="1:4" x14ac:dyDescent="0.2">
      <c r="A21" s="43">
        <v>20.7</v>
      </c>
      <c r="B21" s="44">
        <v>785.47</v>
      </c>
      <c r="C21" s="42"/>
      <c r="D21" s="172"/>
    </row>
    <row r="22" spans="1:4" x14ac:dyDescent="0.2">
      <c r="A22" s="43">
        <v>21.7</v>
      </c>
      <c r="B22" s="44">
        <v>785.63</v>
      </c>
      <c r="C22" s="42"/>
      <c r="D22" s="172"/>
    </row>
    <row r="23" spans="1:4" x14ac:dyDescent="0.2">
      <c r="A23" s="43">
        <v>22.7</v>
      </c>
      <c r="B23" s="44">
        <v>785.65</v>
      </c>
      <c r="C23" s="50"/>
      <c r="D23" s="172"/>
    </row>
    <row r="24" spans="1:4" x14ac:dyDescent="0.2">
      <c r="A24" s="43">
        <v>23.7</v>
      </c>
      <c r="B24" s="44">
        <v>786.28</v>
      </c>
      <c r="C24" s="45"/>
      <c r="D24" s="172"/>
    </row>
    <row r="25" spans="1:4" x14ac:dyDescent="0.2">
      <c r="A25" s="16">
        <v>23.7</v>
      </c>
      <c r="B25" s="46">
        <v>786.83500000000004</v>
      </c>
      <c r="C25" s="42" t="s">
        <v>22</v>
      </c>
      <c r="D25" s="172"/>
    </row>
    <row r="26" spans="1:4" s="7" customFormat="1" x14ac:dyDescent="0.2">
      <c r="A26" s="43">
        <v>24</v>
      </c>
      <c r="B26" s="44">
        <v>788.71100000000001</v>
      </c>
      <c r="C26" s="45"/>
      <c r="D26" s="172"/>
    </row>
    <row r="27" spans="1:4" x14ac:dyDescent="0.2">
      <c r="A27" s="43">
        <v>25</v>
      </c>
      <c r="B27" s="44">
        <v>790.71100000000001</v>
      </c>
      <c r="C27" s="45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16"/>
      <c r="B38" s="46"/>
      <c r="C38" s="50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2"/>
      <c r="D41" s="172"/>
    </row>
    <row r="42" spans="1:4" x14ac:dyDescent="0.2">
      <c r="A42" s="43"/>
      <c r="B42" s="44"/>
      <c r="C42" s="42"/>
      <c r="D42" s="172"/>
    </row>
    <row r="43" spans="1:4" x14ac:dyDescent="0.2">
      <c r="A43" s="43"/>
      <c r="B43" s="44"/>
      <c r="C43" s="42"/>
      <c r="D43" s="172"/>
    </row>
    <row r="44" spans="1:4" x14ac:dyDescent="0.2">
      <c r="A44" s="43"/>
      <c r="B44" s="44"/>
      <c r="C44" s="42"/>
      <c r="D44" s="172"/>
    </row>
    <row r="45" spans="1:4" x14ac:dyDescent="0.2">
      <c r="A45" s="43"/>
      <c r="B45" s="44"/>
      <c r="C45" s="42"/>
      <c r="D45" s="172"/>
    </row>
    <row r="46" spans="1:4" x14ac:dyDescent="0.2">
      <c r="A46" s="43"/>
      <c r="B46" s="44"/>
      <c r="C46" s="47"/>
      <c r="D46" s="172"/>
    </row>
    <row r="47" spans="1:4" ht="13.5" thickBot="1" x14ac:dyDescent="0.25">
      <c r="A47" s="6"/>
      <c r="B47" s="13"/>
      <c r="C47" s="26"/>
      <c r="D47" s="172"/>
    </row>
    <row r="48" spans="1:4" ht="20.100000000000001" customHeight="1" x14ac:dyDescent="0.2">
      <c r="A48" s="15">
        <v>8.6999999999999993</v>
      </c>
      <c r="B48" s="19">
        <v>786.83500000000004</v>
      </c>
      <c r="C48" s="14" t="s">
        <v>9</v>
      </c>
      <c r="D48" s="173" t="s">
        <v>6</v>
      </c>
    </row>
    <row r="49" spans="1:5" ht="20.100000000000001" customHeight="1" thickBot="1" x14ac:dyDescent="0.25">
      <c r="A49" s="28">
        <v>23.7</v>
      </c>
      <c r="B49" s="33">
        <v>786.83500000000004</v>
      </c>
      <c r="C49" s="17" t="s">
        <v>10</v>
      </c>
      <c r="D49" s="173"/>
    </row>
    <row r="50" spans="1:5" ht="20.100000000000001" customHeight="1" thickBot="1" x14ac:dyDescent="0.25">
      <c r="A50" s="34">
        <v>23</v>
      </c>
      <c r="B50" s="35">
        <v>785.75599999999997</v>
      </c>
      <c r="C50" s="21" t="s">
        <v>8</v>
      </c>
      <c r="D50" s="173"/>
    </row>
    <row r="51" spans="1:5" ht="20.100000000000001" customHeight="1" thickBot="1" x14ac:dyDescent="0.25">
      <c r="A51" s="20">
        <v>23</v>
      </c>
      <c r="B51" s="36">
        <v>788.75599999999997</v>
      </c>
      <c r="C51" s="22" t="s">
        <v>8</v>
      </c>
      <c r="D51" s="173"/>
    </row>
    <row r="52" spans="1:5" ht="20.100000000000001" customHeight="1" x14ac:dyDescent="0.2">
      <c r="A52" s="15">
        <v>28</v>
      </c>
      <c r="B52" s="19">
        <v>788.19</v>
      </c>
      <c r="C52" s="23" t="s">
        <v>2</v>
      </c>
      <c r="D52" s="173"/>
    </row>
    <row r="53" spans="1:5" ht="20.100000000000001" customHeight="1" thickBot="1" x14ac:dyDescent="0.25">
      <c r="A53" s="28">
        <v>28</v>
      </c>
      <c r="B53" s="33">
        <v>789.71</v>
      </c>
      <c r="C53" s="8" t="s">
        <v>2</v>
      </c>
      <c r="D53" s="173"/>
    </row>
    <row r="54" spans="1:5" ht="13.5" thickBot="1" x14ac:dyDescent="0.25">
      <c r="A54" s="15">
        <v>0</v>
      </c>
      <c r="B54" s="27">
        <v>791.89</v>
      </c>
      <c r="C54" s="9" t="s">
        <v>7</v>
      </c>
      <c r="D54" s="1"/>
    </row>
    <row r="55" spans="1:5" ht="13.5" thickBot="1" x14ac:dyDescent="0.25">
      <c r="A55" s="28">
        <v>31</v>
      </c>
      <c r="B55" s="29">
        <v>791.91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0.43</v>
      </c>
      <c r="D56" s="1"/>
    </row>
    <row r="57" spans="1:5" ht="16.5" thickBot="1" x14ac:dyDescent="0.3">
      <c r="A57" s="10" t="s">
        <v>11</v>
      </c>
      <c r="B57" s="4"/>
      <c r="C57" s="18">
        <f>B50</f>
        <v>785.75599999999997</v>
      </c>
      <c r="D57" s="1"/>
    </row>
    <row r="58" spans="1:5" ht="20.25" customHeight="1" thickBot="1" x14ac:dyDescent="0.3">
      <c r="A58" s="10" t="s">
        <v>14</v>
      </c>
      <c r="C58" s="31">
        <f>B3</f>
        <v>789.49699999999996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64"/>
  <sheetViews>
    <sheetView showGridLines="0" topLeftCell="A13" zoomScale="75" workbookViewId="0">
      <selection activeCell="C20" sqref="C2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790.43</v>
      </c>
      <c r="C3" s="39" t="s">
        <v>20</v>
      </c>
      <c r="D3" s="172"/>
    </row>
    <row r="4" spans="1:20" x14ac:dyDescent="0.2">
      <c r="A4" s="40">
        <v>0</v>
      </c>
      <c r="B4" s="41">
        <v>789.87</v>
      </c>
      <c r="C4" s="42"/>
      <c r="D4" s="172"/>
    </row>
    <row r="5" spans="1:20" x14ac:dyDescent="0.2">
      <c r="A5" s="43">
        <v>0.8</v>
      </c>
      <c r="B5" s="44">
        <v>789.67</v>
      </c>
      <c r="C5" s="50"/>
      <c r="D5" s="172"/>
    </row>
    <row r="6" spans="1:20" x14ac:dyDescent="0.2">
      <c r="A6" s="43">
        <v>1</v>
      </c>
      <c r="B6" s="44">
        <v>788.84</v>
      </c>
      <c r="C6" s="42"/>
      <c r="D6" s="172"/>
    </row>
    <row r="7" spans="1:20" x14ac:dyDescent="0.2">
      <c r="A7" s="43">
        <v>2</v>
      </c>
      <c r="B7" s="44">
        <v>788.25400000000002</v>
      </c>
      <c r="C7" s="42"/>
      <c r="D7" s="172"/>
    </row>
    <row r="8" spans="1:20" x14ac:dyDescent="0.2">
      <c r="A8" s="43">
        <v>3</v>
      </c>
      <c r="B8" s="44">
        <v>788.46699999999998</v>
      </c>
      <c r="C8" s="45"/>
      <c r="D8" s="172"/>
    </row>
    <row r="9" spans="1:20" x14ac:dyDescent="0.2">
      <c r="A9" s="43">
        <v>3.2</v>
      </c>
      <c r="B9" s="44">
        <v>787.60699999999997</v>
      </c>
      <c r="C9" s="42"/>
      <c r="D9" s="172"/>
    </row>
    <row r="10" spans="1:20" x14ac:dyDescent="0.2">
      <c r="A10" s="16">
        <v>8</v>
      </c>
      <c r="B10" s="46">
        <v>786.83</v>
      </c>
      <c r="C10" s="50" t="s">
        <v>21</v>
      </c>
      <c r="D10" s="172"/>
    </row>
    <row r="11" spans="1:20" x14ac:dyDescent="0.2">
      <c r="A11" s="43">
        <v>9</v>
      </c>
      <c r="B11" s="44">
        <v>786.68</v>
      </c>
      <c r="C11" s="45"/>
      <c r="D11" s="172"/>
    </row>
    <row r="12" spans="1:20" x14ac:dyDescent="0.2">
      <c r="A12" s="43">
        <v>10</v>
      </c>
      <c r="B12" s="44">
        <v>786.53</v>
      </c>
      <c r="C12" s="42"/>
      <c r="D12" s="172"/>
    </row>
    <row r="13" spans="1:20" x14ac:dyDescent="0.2">
      <c r="A13" s="43">
        <v>11</v>
      </c>
      <c r="B13" s="44">
        <v>786.31</v>
      </c>
      <c r="C13" s="50"/>
      <c r="D13" s="172"/>
    </row>
    <row r="14" spans="1:20" x14ac:dyDescent="0.2">
      <c r="A14" s="43">
        <v>12</v>
      </c>
      <c r="B14" s="44">
        <v>786.2</v>
      </c>
      <c r="C14" s="42"/>
      <c r="D14" s="172"/>
    </row>
    <row r="15" spans="1:20" x14ac:dyDescent="0.2">
      <c r="A15" s="43">
        <v>13</v>
      </c>
      <c r="B15" s="44">
        <v>786.21</v>
      </c>
      <c r="C15" s="42"/>
      <c r="D15" s="172"/>
    </row>
    <row r="16" spans="1:20" x14ac:dyDescent="0.2">
      <c r="A16" s="43">
        <v>14</v>
      </c>
      <c r="B16" s="44">
        <v>786.23</v>
      </c>
      <c r="C16" s="42"/>
      <c r="D16" s="172"/>
    </row>
    <row r="17" spans="1:4" x14ac:dyDescent="0.2">
      <c r="A17" s="43">
        <v>15</v>
      </c>
      <c r="B17" s="44">
        <v>786.21</v>
      </c>
      <c r="C17" s="42"/>
      <c r="D17" s="172"/>
    </row>
    <row r="18" spans="1:4" x14ac:dyDescent="0.2">
      <c r="A18" s="43">
        <v>16</v>
      </c>
      <c r="B18" s="44">
        <v>786.08</v>
      </c>
      <c r="C18" s="42"/>
      <c r="D18" s="172"/>
    </row>
    <row r="19" spans="1:4" x14ac:dyDescent="0.2">
      <c r="A19" s="43">
        <v>16.7</v>
      </c>
      <c r="B19" s="44">
        <v>786.12</v>
      </c>
      <c r="C19" s="42"/>
      <c r="D19" s="172"/>
    </row>
    <row r="20" spans="1:4" x14ac:dyDescent="0.2">
      <c r="A20" s="43">
        <v>17.399999999999999</v>
      </c>
      <c r="B20" s="44">
        <v>785.96</v>
      </c>
      <c r="C20" s="42"/>
      <c r="D20" s="172"/>
    </row>
    <row r="21" spans="1:4" x14ac:dyDescent="0.2">
      <c r="A21" s="43">
        <v>18.100000000000001</v>
      </c>
      <c r="B21" s="44">
        <v>785.84</v>
      </c>
      <c r="C21" s="42"/>
      <c r="D21" s="172"/>
    </row>
    <row r="22" spans="1:4" x14ac:dyDescent="0.2">
      <c r="A22" s="43">
        <v>18.8</v>
      </c>
      <c r="B22" s="44">
        <v>785.62</v>
      </c>
      <c r="C22" s="42"/>
      <c r="D22" s="172"/>
    </row>
    <row r="23" spans="1:4" x14ac:dyDescent="0.2">
      <c r="A23" s="43">
        <v>19.5</v>
      </c>
      <c r="B23" s="44">
        <v>785.6</v>
      </c>
      <c r="C23" s="50"/>
      <c r="D23" s="172"/>
    </row>
    <row r="24" spans="1:4" x14ac:dyDescent="0.2">
      <c r="A24" s="43">
        <v>20.2</v>
      </c>
      <c r="B24" s="44">
        <v>785.58</v>
      </c>
      <c r="C24" s="45"/>
      <c r="D24" s="172"/>
    </row>
    <row r="25" spans="1:4" x14ac:dyDescent="0.2">
      <c r="A25" s="43">
        <v>20.9</v>
      </c>
      <c r="B25" s="44">
        <v>785.83</v>
      </c>
      <c r="C25" s="42"/>
      <c r="D25" s="172"/>
    </row>
    <row r="26" spans="1:4" s="7" customFormat="1" x14ac:dyDescent="0.2">
      <c r="A26" s="43">
        <v>21.6</v>
      </c>
      <c r="B26" s="44">
        <v>785.65</v>
      </c>
      <c r="C26" s="45"/>
      <c r="D26" s="172"/>
    </row>
    <row r="27" spans="1:4" x14ac:dyDescent="0.2">
      <c r="A27" s="43">
        <v>22.3</v>
      </c>
      <c r="B27" s="44">
        <v>786.33</v>
      </c>
      <c r="C27" s="45"/>
      <c r="D27" s="172"/>
    </row>
    <row r="28" spans="1:4" x14ac:dyDescent="0.2">
      <c r="A28" s="43">
        <v>22.7</v>
      </c>
      <c r="B28" s="44">
        <v>786.16</v>
      </c>
      <c r="C28" s="42"/>
      <c r="D28" s="172"/>
    </row>
    <row r="29" spans="1:4" x14ac:dyDescent="0.2">
      <c r="A29" s="16">
        <v>22.7</v>
      </c>
      <c r="B29" s="46">
        <v>786.83</v>
      </c>
      <c r="C29" s="42" t="s">
        <v>22</v>
      </c>
      <c r="D29" s="172"/>
    </row>
    <row r="30" spans="1:4" x14ac:dyDescent="0.2">
      <c r="A30" s="43">
        <v>23</v>
      </c>
      <c r="B30" s="44">
        <v>788.92700000000002</v>
      </c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16"/>
      <c r="B38" s="46"/>
      <c r="C38" s="50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2"/>
      <c r="D41" s="172"/>
    </row>
    <row r="42" spans="1:4" x14ac:dyDescent="0.2">
      <c r="A42" s="43"/>
      <c r="B42" s="44"/>
      <c r="C42" s="42"/>
      <c r="D42" s="172"/>
    </row>
    <row r="43" spans="1:4" x14ac:dyDescent="0.2">
      <c r="A43" s="43"/>
      <c r="B43" s="44"/>
      <c r="C43" s="42"/>
      <c r="D43" s="172"/>
    </row>
    <row r="44" spans="1:4" x14ac:dyDescent="0.2">
      <c r="A44" s="43"/>
      <c r="B44" s="44"/>
      <c r="C44" s="42"/>
      <c r="D44" s="172"/>
    </row>
    <row r="45" spans="1:4" x14ac:dyDescent="0.2">
      <c r="A45" s="43"/>
      <c r="B45" s="44"/>
      <c r="C45" s="42"/>
      <c r="D45" s="172"/>
    </row>
    <row r="46" spans="1:4" x14ac:dyDescent="0.2">
      <c r="A46" s="43"/>
      <c r="B46" s="44"/>
      <c r="C46" s="47"/>
      <c r="D46" s="172"/>
    </row>
    <row r="47" spans="1:4" ht="13.5" thickBot="1" x14ac:dyDescent="0.25">
      <c r="A47" s="6"/>
      <c r="B47" s="13"/>
      <c r="C47" s="26"/>
      <c r="D47" s="172"/>
    </row>
    <row r="48" spans="1:4" ht="20.100000000000001" customHeight="1" x14ac:dyDescent="0.2">
      <c r="A48" s="15">
        <v>8</v>
      </c>
      <c r="B48" s="19">
        <v>786.83</v>
      </c>
      <c r="C48" s="14" t="s">
        <v>9</v>
      </c>
      <c r="D48" s="173" t="s">
        <v>6</v>
      </c>
    </row>
    <row r="49" spans="1:5" ht="20.100000000000001" customHeight="1" thickBot="1" x14ac:dyDescent="0.25">
      <c r="A49" s="28">
        <v>22.7</v>
      </c>
      <c r="B49" s="33">
        <v>786.83</v>
      </c>
      <c r="C49" s="17" t="s">
        <v>10</v>
      </c>
      <c r="D49" s="173"/>
    </row>
    <row r="50" spans="1:5" ht="20.100000000000001" customHeight="1" thickBot="1" x14ac:dyDescent="0.25">
      <c r="A50" s="34">
        <v>22</v>
      </c>
      <c r="B50" s="35">
        <v>786.399</v>
      </c>
      <c r="C50" s="21" t="s">
        <v>8</v>
      </c>
      <c r="D50" s="173"/>
    </row>
    <row r="51" spans="1:5" ht="20.100000000000001" customHeight="1" thickBot="1" x14ac:dyDescent="0.25">
      <c r="A51" s="20">
        <v>22</v>
      </c>
      <c r="B51" s="36">
        <v>788.75599999999997</v>
      </c>
      <c r="C51" s="22" t="s">
        <v>8</v>
      </c>
      <c r="D51" s="173"/>
    </row>
    <row r="52" spans="1:5" ht="20.100000000000001" customHeight="1" x14ac:dyDescent="0.2">
      <c r="A52" s="15">
        <v>28</v>
      </c>
      <c r="B52" s="19">
        <v>788.19</v>
      </c>
      <c r="C52" s="23" t="s">
        <v>2</v>
      </c>
      <c r="D52" s="173"/>
    </row>
    <row r="53" spans="1:5" ht="20.100000000000001" customHeight="1" thickBot="1" x14ac:dyDescent="0.25">
      <c r="A53" s="28">
        <v>28</v>
      </c>
      <c r="B53" s="33">
        <v>789.71</v>
      </c>
      <c r="C53" s="8" t="s">
        <v>2</v>
      </c>
      <c r="D53" s="173"/>
    </row>
    <row r="54" spans="1:5" ht="13.5" thickBot="1" x14ac:dyDescent="0.25">
      <c r="A54" s="15">
        <v>0</v>
      </c>
      <c r="B54" s="27">
        <v>791.89</v>
      </c>
      <c r="C54" s="9" t="s">
        <v>7</v>
      </c>
      <c r="D54" s="1"/>
    </row>
    <row r="55" spans="1:5" ht="13.5" thickBot="1" x14ac:dyDescent="0.25">
      <c r="A55" s="28">
        <v>31</v>
      </c>
      <c r="B55" s="29">
        <v>791.91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0.42</v>
      </c>
      <c r="D56" s="1"/>
    </row>
    <row r="57" spans="1:5" ht="16.5" thickBot="1" x14ac:dyDescent="0.3">
      <c r="A57" s="10" t="s">
        <v>11</v>
      </c>
      <c r="B57" s="4"/>
      <c r="C57" s="18">
        <f>B50</f>
        <v>786.399</v>
      </c>
      <c r="D57" s="1"/>
    </row>
    <row r="58" spans="1:5" ht="20.25" customHeight="1" thickBot="1" x14ac:dyDescent="0.3">
      <c r="A58" s="10" t="s">
        <v>14</v>
      </c>
      <c r="C58" s="31">
        <f>B3</f>
        <v>790.43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T59"/>
  <sheetViews>
    <sheetView showGridLines="0" zoomScale="75" workbookViewId="0">
      <selection activeCell="C51" sqref="C51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790.82</v>
      </c>
      <c r="C3" s="39" t="s">
        <v>20</v>
      </c>
      <c r="D3" s="172"/>
    </row>
    <row r="4" spans="1:20" x14ac:dyDescent="0.2">
      <c r="A4" s="40">
        <v>4</v>
      </c>
      <c r="B4" s="41">
        <v>790.82</v>
      </c>
      <c r="C4" s="42"/>
      <c r="D4" s="172"/>
    </row>
    <row r="5" spans="1:20" x14ac:dyDescent="0.2">
      <c r="A5" s="43">
        <v>6</v>
      </c>
      <c r="B5" s="44">
        <v>789.68</v>
      </c>
      <c r="C5" s="50"/>
      <c r="D5" s="172"/>
    </row>
    <row r="6" spans="1:20" x14ac:dyDescent="0.2">
      <c r="A6" s="43">
        <v>7</v>
      </c>
      <c r="B6" s="44">
        <v>789.44</v>
      </c>
      <c r="C6" s="42"/>
      <c r="D6" s="172"/>
    </row>
    <row r="7" spans="1:20" x14ac:dyDescent="0.2">
      <c r="A7" s="43">
        <v>7</v>
      </c>
      <c r="B7" s="44">
        <v>788.73</v>
      </c>
      <c r="C7" s="42"/>
      <c r="D7" s="172"/>
    </row>
    <row r="8" spans="1:20" x14ac:dyDescent="0.2">
      <c r="A8" s="43">
        <v>7.5</v>
      </c>
      <c r="B8" s="44">
        <v>788.59</v>
      </c>
      <c r="C8" s="45"/>
      <c r="D8" s="172"/>
    </row>
    <row r="9" spans="1:20" x14ac:dyDescent="0.2">
      <c r="A9" s="43">
        <v>7.5</v>
      </c>
      <c r="B9" s="44">
        <v>788.18</v>
      </c>
      <c r="C9" s="42"/>
      <c r="D9" s="172"/>
    </row>
    <row r="10" spans="1:20" x14ac:dyDescent="0.2">
      <c r="A10" s="16">
        <v>12.5</v>
      </c>
      <c r="B10" s="46">
        <v>786.94</v>
      </c>
      <c r="C10" s="50" t="s">
        <v>21</v>
      </c>
      <c r="D10" s="172"/>
    </row>
    <row r="11" spans="1:20" x14ac:dyDescent="0.2">
      <c r="A11" s="43">
        <v>13.5</v>
      </c>
      <c r="B11" s="44">
        <v>786.82</v>
      </c>
      <c r="C11" s="45"/>
      <c r="D11" s="172"/>
    </row>
    <row r="12" spans="1:20" x14ac:dyDescent="0.2">
      <c r="A12" s="43">
        <v>14.5</v>
      </c>
      <c r="B12" s="44">
        <v>786.63</v>
      </c>
      <c r="C12" s="42"/>
      <c r="D12" s="172"/>
    </row>
    <row r="13" spans="1:20" x14ac:dyDescent="0.2">
      <c r="A13" s="43">
        <v>15.5</v>
      </c>
      <c r="B13" s="44">
        <v>786.5</v>
      </c>
      <c r="C13" s="50"/>
      <c r="D13" s="172"/>
    </row>
    <row r="14" spans="1:20" x14ac:dyDescent="0.2">
      <c r="A14" s="43">
        <v>16.5</v>
      </c>
      <c r="B14" s="44">
        <v>786.34</v>
      </c>
      <c r="C14" s="42"/>
      <c r="D14" s="172"/>
    </row>
    <row r="15" spans="1:20" x14ac:dyDescent="0.2">
      <c r="A15" s="43">
        <v>17.5</v>
      </c>
      <c r="B15" s="44">
        <v>786.13</v>
      </c>
      <c r="C15" s="42"/>
      <c r="D15" s="172"/>
    </row>
    <row r="16" spans="1:20" x14ac:dyDescent="0.2">
      <c r="A16" s="43">
        <v>18.5</v>
      </c>
      <c r="B16" s="44">
        <v>786.06</v>
      </c>
      <c r="C16" s="42"/>
      <c r="D16" s="172"/>
    </row>
    <row r="17" spans="1:4" x14ac:dyDescent="0.2">
      <c r="A17" s="43">
        <v>19.5</v>
      </c>
      <c r="B17" s="44">
        <v>786.11</v>
      </c>
      <c r="C17" s="42"/>
      <c r="D17" s="172"/>
    </row>
    <row r="18" spans="1:4" x14ac:dyDescent="0.2">
      <c r="A18" s="43">
        <v>20.5</v>
      </c>
      <c r="B18" s="44">
        <v>786.12</v>
      </c>
      <c r="C18" s="42"/>
      <c r="D18" s="172"/>
    </row>
    <row r="19" spans="1:4" x14ac:dyDescent="0.2">
      <c r="A19" s="43">
        <v>21.5</v>
      </c>
      <c r="B19" s="44">
        <v>786.04</v>
      </c>
      <c r="C19" s="42"/>
      <c r="D19" s="172"/>
    </row>
    <row r="20" spans="1:4" x14ac:dyDescent="0.2">
      <c r="A20" s="43">
        <v>22.5</v>
      </c>
      <c r="B20" s="44">
        <v>786.03</v>
      </c>
      <c r="C20" s="42"/>
      <c r="D20" s="172"/>
    </row>
    <row r="21" spans="1:4" x14ac:dyDescent="0.2">
      <c r="A21" s="43">
        <v>23.5</v>
      </c>
      <c r="B21" s="44">
        <v>785.94</v>
      </c>
      <c r="C21" s="42"/>
      <c r="D21" s="172"/>
    </row>
    <row r="22" spans="1:4" x14ac:dyDescent="0.2">
      <c r="A22" s="43">
        <v>24.5</v>
      </c>
      <c r="B22" s="44">
        <v>785.83</v>
      </c>
      <c r="C22" s="42"/>
      <c r="D22" s="172"/>
    </row>
    <row r="23" spans="1:4" x14ac:dyDescent="0.2">
      <c r="A23" s="43">
        <v>25.5</v>
      </c>
      <c r="B23" s="44">
        <v>785.73</v>
      </c>
      <c r="C23" s="50"/>
      <c r="D23" s="172"/>
    </row>
    <row r="24" spans="1:4" x14ac:dyDescent="0.2">
      <c r="A24" s="43">
        <v>26.5</v>
      </c>
      <c r="B24" s="44">
        <v>785.69</v>
      </c>
      <c r="C24" s="45"/>
      <c r="D24" s="172"/>
    </row>
    <row r="25" spans="1:4" x14ac:dyDescent="0.2">
      <c r="A25" s="43">
        <v>27.5</v>
      </c>
      <c r="B25" s="44">
        <v>785.96</v>
      </c>
      <c r="C25" s="42"/>
      <c r="D25" s="172"/>
    </row>
    <row r="26" spans="1:4" s="7" customFormat="1" x14ac:dyDescent="0.2">
      <c r="A26" s="43">
        <v>27.7</v>
      </c>
      <c r="B26" s="44">
        <v>785.99</v>
      </c>
      <c r="C26" s="45"/>
      <c r="D26" s="172"/>
    </row>
    <row r="27" spans="1:4" x14ac:dyDescent="0.2">
      <c r="A27" s="16">
        <v>27.7</v>
      </c>
      <c r="B27" s="46">
        <v>786.94</v>
      </c>
      <c r="C27" s="45" t="s">
        <v>22</v>
      </c>
      <c r="D27" s="172"/>
    </row>
    <row r="28" spans="1:4" x14ac:dyDescent="0.2">
      <c r="A28" s="43">
        <v>28</v>
      </c>
      <c r="B28" s="44">
        <v>789.05</v>
      </c>
      <c r="C28" s="42"/>
      <c r="D28" s="172"/>
    </row>
    <row r="29" spans="1:4" x14ac:dyDescent="0.2">
      <c r="A29" s="43">
        <v>29</v>
      </c>
      <c r="B29" s="44">
        <v>790.05</v>
      </c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43"/>
      <c r="B38" s="44"/>
      <c r="C38" s="42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7"/>
      <c r="D41" s="172"/>
    </row>
    <row r="42" spans="1:4" ht="13.5" thickBot="1" x14ac:dyDescent="0.25">
      <c r="A42" s="6"/>
      <c r="B42" s="13"/>
      <c r="C42" s="26"/>
      <c r="D42" s="172"/>
    </row>
    <row r="43" spans="1:4" ht="20.100000000000001" customHeight="1" x14ac:dyDescent="0.2">
      <c r="A43" s="15">
        <v>12.5</v>
      </c>
      <c r="B43" s="19">
        <v>786.94</v>
      </c>
      <c r="C43" s="14" t="s">
        <v>9</v>
      </c>
      <c r="D43" s="173" t="s">
        <v>6</v>
      </c>
    </row>
    <row r="44" spans="1:4" ht="20.100000000000001" customHeight="1" thickBot="1" x14ac:dyDescent="0.25">
      <c r="A44" s="28">
        <v>27.7</v>
      </c>
      <c r="B44" s="33">
        <v>786.94</v>
      </c>
      <c r="C44" s="17" t="s">
        <v>10</v>
      </c>
      <c r="D44" s="173"/>
    </row>
    <row r="45" spans="1:4" ht="20.100000000000001" customHeight="1" thickBot="1" x14ac:dyDescent="0.25">
      <c r="A45" s="34">
        <v>27</v>
      </c>
      <c r="B45" s="35">
        <v>786.399</v>
      </c>
      <c r="C45" s="21" t="s">
        <v>8</v>
      </c>
      <c r="D45" s="173"/>
    </row>
    <row r="46" spans="1:4" ht="20.100000000000001" customHeight="1" thickBot="1" x14ac:dyDescent="0.25">
      <c r="A46" s="20">
        <v>27</v>
      </c>
      <c r="B46" s="36">
        <v>788.75599999999997</v>
      </c>
      <c r="C46" s="22" t="s">
        <v>8</v>
      </c>
      <c r="D46" s="173"/>
    </row>
    <row r="47" spans="1:4" ht="20.100000000000001" customHeight="1" x14ac:dyDescent="0.2">
      <c r="A47" s="15">
        <v>27.5</v>
      </c>
      <c r="B47" s="19">
        <v>788.19</v>
      </c>
      <c r="C47" s="23" t="s">
        <v>2</v>
      </c>
      <c r="D47" s="173"/>
    </row>
    <row r="48" spans="1:4" ht="20.100000000000001" customHeight="1" thickBot="1" x14ac:dyDescent="0.25">
      <c r="A48" s="28">
        <v>27.5</v>
      </c>
      <c r="B48" s="33">
        <v>789.71</v>
      </c>
      <c r="C48" s="8" t="s">
        <v>2</v>
      </c>
      <c r="D48" s="173"/>
    </row>
    <row r="49" spans="1:5" ht="13.5" thickBot="1" x14ac:dyDescent="0.25">
      <c r="A49" s="15">
        <v>0</v>
      </c>
      <c r="B49" s="27">
        <v>791.89</v>
      </c>
      <c r="C49" s="9" t="s">
        <v>7</v>
      </c>
      <c r="D49" s="1"/>
    </row>
    <row r="50" spans="1:5" ht="13.5" thickBot="1" x14ac:dyDescent="0.25">
      <c r="A50" s="28">
        <v>31</v>
      </c>
      <c r="B50" s="29">
        <v>791.91</v>
      </c>
      <c r="C50" s="9" t="s">
        <v>7</v>
      </c>
      <c r="D50" s="1"/>
    </row>
    <row r="51" spans="1:5" ht="16.5" thickBot="1" x14ac:dyDescent="0.3">
      <c r="A51" s="24" t="s">
        <v>12</v>
      </c>
      <c r="B51" s="4"/>
      <c r="C51" s="30">
        <v>0.54</v>
      </c>
      <c r="D51" s="1"/>
    </row>
    <row r="52" spans="1:5" ht="16.5" thickBot="1" x14ac:dyDescent="0.3">
      <c r="A52" s="10" t="s">
        <v>11</v>
      </c>
      <c r="B52" s="4"/>
      <c r="C52" s="18">
        <f>B45</f>
        <v>786.399</v>
      </c>
      <c r="D52" s="1"/>
    </row>
    <row r="53" spans="1:5" ht="20.25" customHeight="1" thickBot="1" x14ac:dyDescent="0.3">
      <c r="A53" s="10" t="s">
        <v>14</v>
      </c>
      <c r="C53" s="31">
        <f>B3</f>
        <v>790.82</v>
      </c>
      <c r="D53" s="1"/>
    </row>
    <row r="54" spans="1:5" ht="15.75" thickBot="1" x14ac:dyDescent="0.3">
      <c r="A54" s="24" t="s">
        <v>13</v>
      </c>
      <c r="C54" s="32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x14ac:dyDescent="0.2">
      <c r="A58" s="3"/>
      <c r="B58" s="4"/>
      <c r="C58" s="5"/>
      <c r="D58" s="1"/>
    </row>
    <row r="59" spans="1:5" ht="18" x14ac:dyDescent="0.25">
      <c r="C59" s="49" t="s">
        <v>16</v>
      </c>
      <c r="D59" s="48"/>
      <c r="E59" s="48"/>
    </row>
  </sheetData>
  <mergeCells count="3">
    <mergeCell ref="A1:Q1"/>
    <mergeCell ref="D2:D42"/>
    <mergeCell ref="D43:D48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59"/>
  <sheetViews>
    <sheetView showGridLines="0" zoomScale="75" workbookViewId="0">
      <selection activeCell="A48" sqref="A4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790.26800000000003</v>
      </c>
      <c r="C3" s="39" t="s">
        <v>20</v>
      </c>
      <c r="D3" s="172"/>
    </row>
    <row r="4" spans="1:20" x14ac:dyDescent="0.2">
      <c r="A4" s="40">
        <v>0</v>
      </c>
      <c r="B4" s="41">
        <v>789.07799999999997</v>
      </c>
      <c r="C4" s="42"/>
      <c r="D4" s="172"/>
    </row>
    <row r="5" spans="1:20" x14ac:dyDescent="0.2">
      <c r="A5" s="43">
        <v>1.2</v>
      </c>
      <c r="B5" s="44">
        <v>789.10799999999995</v>
      </c>
      <c r="C5" s="50"/>
      <c r="D5" s="172"/>
    </row>
    <row r="6" spans="1:20" x14ac:dyDescent="0.2">
      <c r="A6" s="43">
        <v>1.6</v>
      </c>
      <c r="B6" s="44">
        <v>788.41800000000001</v>
      </c>
      <c r="C6" s="42"/>
      <c r="D6" s="172"/>
    </row>
    <row r="7" spans="1:20" x14ac:dyDescent="0.2">
      <c r="A7" s="43">
        <v>1.6</v>
      </c>
      <c r="B7" s="44">
        <v>787.96799999999996</v>
      </c>
      <c r="C7" s="42"/>
      <c r="D7" s="172"/>
    </row>
    <row r="8" spans="1:20" x14ac:dyDescent="0.2">
      <c r="A8" s="16">
        <v>6</v>
      </c>
      <c r="B8" s="46">
        <v>786.98</v>
      </c>
      <c r="C8" s="45" t="s">
        <v>23</v>
      </c>
      <c r="D8" s="172"/>
    </row>
    <row r="9" spans="1:20" x14ac:dyDescent="0.2">
      <c r="A9" s="43">
        <v>7</v>
      </c>
      <c r="B9" s="44">
        <v>786.79</v>
      </c>
      <c r="C9" s="42"/>
      <c r="D9" s="172"/>
    </row>
    <row r="10" spans="1:20" x14ac:dyDescent="0.2">
      <c r="A10" s="43">
        <v>8</v>
      </c>
      <c r="B10" s="44">
        <v>786.67</v>
      </c>
      <c r="C10" s="50"/>
      <c r="D10" s="172"/>
    </row>
    <row r="11" spans="1:20" x14ac:dyDescent="0.2">
      <c r="A11" s="43">
        <v>9</v>
      </c>
      <c r="B11" s="44">
        <v>786.86</v>
      </c>
      <c r="C11" s="45"/>
      <c r="D11" s="172"/>
    </row>
    <row r="12" spans="1:20" x14ac:dyDescent="0.2">
      <c r="A12" s="43">
        <v>10</v>
      </c>
      <c r="B12" s="44">
        <v>786.46</v>
      </c>
      <c r="C12" s="42"/>
      <c r="D12" s="172"/>
    </row>
    <row r="13" spans="1:20" x14ac:dyDescent="0.2">
      <c r="A13" s="43">
        <v>11</v>
      </c>
      <c r="B13" s="44">
        <v>786.38</v>
      </c>
      <c r="C13" s="50"/>
      <c r="D13" s="172"/>
    </row>
    <row r="14" spans="1:20" x14ac:dyDescent="0.2">
      <c r="A14" s="43">
        <v>12</v>
      </c>
      <c r="B14" s="44">
        <v>786.32</v>
      </c>
      <c r="C14" s="42"/>
      <c r="D14" s="172"/>
    </row>
    <row r="15" spans="1:20" x14ac:dyDescent="0.2">
      <c r="A15" s="43">
        <v>13</v>
      </c>
      <c r="B15" s="44">
        <v>786.17</v>
      </c>
      <c r="C15" s="42"/>
      <c r="D15" s="172"/>
    </row>
    <row r="16" spans="1:20" x14ac:dyDescent="0.2">
      <c r="A16" s="43">
        <v>14</v>
      </c>
      <c r="B16" s="44">
        <v>786.2</v>
      </c>
      <c r="C16" s="42"/>
      <c r="D16" s="172"/>
    </row>
    <row r="17" spans="1:4" x14ac:dyDescent="0.2">
      <c r="A17" s="43">
        <v>15</v>
      </c>
      <c r="B17" s="44">
        <v>786.26</v>
      </c>
      <c r="C17" s="42"/>
      <c r="D17" s="172"/>
    </row>
    <row r="18" spans="1:4" x14ac:dyDescent="0.2">
      <c r="A18" s="43">
        <v>16</v>
      </c>
      <c r="B18" s="44">
        <v>786.14</v>
      </c>
      <c r="C18" s="42"/>
      <c r="D18" s="172"/>
    </row>
    <row r="19" spans="1:4" x14ac:dyDescent="0.2">
      <c r="A19" s="43">
        <v>17</v>
      </c>
      <c r="B19" s="44">
        <v>786.04</v>
      </c>
      <c r="C19" s="42"/>
      <c r="D19" s="172"/>
    </row>
    <row r="20" spans="1:4" x14ac:dyDescent="0.2">
      <c r="A20" s="43">
        <v>18</v>
      </c>
      <c r="B20" s="44">
        <v>785.87</v>
      </c>
      <c r="C20" s="42"/>
      <c r="D20" s="172"/>
    </row>
    <row r="21" spans="1:4" x14ac:dyDescent="0.2">
      <c r="A21" s="43">
        <v>19</v>
      </c>
      <c r="B21" s="44">
        <v>785.77</v>
      </c>
      <c r="C21" s="42"/>
      <c r="D21" s="172"/>
    </row>
    <row r="22" spans="1:4" x14ac:dyDescent="0.2">
      <c r="A22" s="43">
        <v>20</v>
      </c>
      <c r="B22" s="44">
        <v>785.68</v>
      </c>
      <c r="C22" s="42"/>
      <c r="D22" s="172"/>
    </row>
    <row r="23" spans="1:4" x14ac:dyDescent="0.2">
      <c r="A23" s="43">
        <v>21</v>
      </c>
      <c r="B23" s="44">
        <v>785.77</v>
      </c>
      <c r="C23" s="50"/>
      <c r="D23" s="172"/>
    </row>
    <row r="24" spans="1:4" x14ac:dyDescent="0.2">
      <c r="A24" s="43">
        <v>22</v>
      </c>
      <c r="B24" s="44">
        <v>786.38</v>
      </c>
      <c r="C24" s="45"/>
      <c r="D24" s="172"/>
    </row>
    <row r="25" spans="1:4" x14ac:dyDescent="0.2">
      <c r="A25" s="43">
        <v>23.4</v>
      </c>
      <c r="B25" s="44">
        <v>786.58</v>
      </c>
      <c r="C25" s="42"/>
      <c r="D25" s="172"/>
    </row>
    <row r="26" spans="1:4" s="7" customFormat="1" x14ac:dyDescent="0.2">
      <c r="A26" s="16">
        <v>23.4</v>
      </c>
      <c r="B26" s="46">
        <v>786.98</v>
      </c>
      <c r="C26" s="45" t="s">
        <v>22</v>
      </c>
      <c r="D26" s="172"/>
    </row>
    <row r="27" spans="1:4" x14ac:dyDescent="0.2">
      <c r="A27" s="43">
        <v>23.4</v>
      </c>
      <c r="B27" s="44">
        <v>787.62800000000004</v>
      </c>
      <c r="C27" s="45"/>
      <c r="D27" s="172"/>
    </row>
    <row r="28" spans="1:4" x14ac:dyDescent="0.2">
      <c r="A28" s="43">
        <v>24.3</v>
      </c>
      <c r="B28" s="44">
        <v>787.77800000000002</v>
      </c>
      <c r="C28" s="42"/>
      <c r="D28" s="172"/>
    </row>
    <row r="29" spans="1:4" x14ac:dyDescent="0.2">
      <c r="A29" s="43">
        <v>24.3</v>
      </c>
      <c r="B29" s="44">
        <v>788.56799999999998</v>
      </c>
      <c r="C29" s="42"/>
      <c r="D29" s="172"/>
    </row>
    <row r="30" spans="1:4" x14ac:dyDescent="0.2">
      <c r="A30" s="43">
        <v>25</v>
      </c>
      <c r="B30" s="44">
        <v>788.63800000000003</v>
      </c>
      <c r="C30" s="42"/>
      <c r="D30" s="172"/>
    </row>
    <row r="31" spans="1:4" x14ac:dyDescent="0.2">
      <c r="A31" s="43">
        <v>25.6</v>
      </c>
      <c r="B31" s="44">
        <v>789.43799999999999</v>
      </c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43"/>
      <c r="B38" s="44"/>
      <c r="C38" s="42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7"/>
      <c r="D41" s="172"/>
    </row>
    <row r="42" spans="1:4" ht="13.5" thickBot="1" x14ac:dyDescent="0.25">
      <c r="A42" s="6"/>
      <c r="B42" s="13"/>
      <c r="C42" s="26"/>
      <c r="D42" s="172"/>
    </row>
    <row r="43" spans="1:4" ht="20.100000000000001" customHeight="1" x14ac:dyDescent="0.2">
      <c r="A43" s="15">
        <v>6</v>
      </c>
      <c r="B43" s="19">
        <v>786.98</v>
      </c>
      <c r="C43" s="14" t="s">
        <v>9</v>
      </c>
      <c r="D43" s="173" t="s">
        <v>6</v>
      </c>
    </row>
    <row r="44" spans="1:4" ht="20.100000000000001" customHeight="1" thickBot="1" x14ac:dyDescent="0.25">
      <c r="A44" s="28">
        <v>23.4</v>
      </c>
      <c r="B44" s="33">
        <v>786.98</v>
      </c>
      <c r="C44" s="17" t="s">
        <v>10</v>
      </c>
      <c r="D44" s="173"/>
    </row>
    <row r="45" spans="1:4" ht="20.100000000000001" customHeight="1" thickBot="1" x14ac:dyDescent="0.25">
      <c r="A45" s="34">
        <v>22.5</v>
      </c>
      <c r="B45" s="35">
        <v>786.399</v>
      </c>
      <c r="C45" s="21" t="s">
        <v>8</v>
      </c>
      <c r="D45" s="173"/>
    </row>
    <row r="46" spans="1:4" ht="20.100000000000001" customHeight="1" thickBot="1" x14ac:dyDescent="0.25">
      <c r="A46" s="20">
        <v>22.5</v>
      </c>
      <c r="B46" s="36">
        <v>788.75599999999997</v>
      </c>
      <c r="C46" s="22" t="s">
        <v>8</v>
      </c>
      <c r="D46" s="173"/>
    </row>
    <row r="47" spans="1:4" ht="20.100000000000001" customHeight="1" x14ac:dyDescent="0.2">
      <c r="A47" s="15">
        <v>23</v>
      </c>
      <c r="B47" s="19">
        <v>788.19</v>
      </c>
      <c r="C47" s="23" t="s">
        <v>2</v>
      </c>
      <c r="D47" s="173"/>
    </row>
    <row r="48" spans="1:4" ht="20.100000000000001" customHeight="1" thickBot="1" x14ac:dyDescent="0.25">
      <c r="A48" s="28">
        <v>23</v>
      </c>
      <c r="B48" s="33">
        <v>789.71</v>
      </c>
      <c r="C48" s="8" t="s">
        <v>2</v>
      </c>
      <c r="D48" s="173"/>
    </row>
    <row r="49" spans="1:5" ht="13.5" thickBot="1" x14ac:dyDescent="0.25">
      <c r="A49" s="15">
        <v>0</v>
      </c>
      <c r="B49" s="27">
        <v>791.89</v>
      </c>
      <c r="C49" s="9" t="s">
        <v>7</v>
      </c>
      <c r="D49" s="1"/>
    </row>
    <row r="50" spans="1:5" ht="13.5" thickBot="1" x14ac:dyDescent="0.25">
      <c r="A50" s="28">
        <v>31</v>
      </c>
      <c r="B50" s="29">
        <v>791.91</v>
      </c>
      <c r="C50" s="9" t="s">
        <v>7</v>
      </c>
      <c r="D50" s="1"/>
    </row>
    <row r="51" spans="1:5" ht="16.5" thickBot="1" x14ac:dyDescent="0.3">
      <c r="A51" s="24" t="s">
        <v>12</v>
      </c>
      <c r="B51" s="4"/>
      <c r="C51" s="30">
        <v>0.6</v>
      </c>
      <c r="D51" s="1"/>
    </row>
    <row r="52" spans="1:5" ht="16.5" thickBot="1" x14ac:dyDescent="0.3">
      <c r="A52" s="10" t="s">
        <v>11</v>
      </c>
      <c r="B52" s="4"/>
      <c r="C52" s="18">
        <f>B45</f>
        <v>786.399</v>
      </c>
      <c r="D52" s="1"/>
    </row>
    <row r="53" spans="1:5" ht="20.25" customHeight="1" thickBot="1" x14ac:dyDescent="0.3">
      <c r="A53" s="10" t="s">
        <v>14</v>
      </c>
      <c r="C53" s="31">
        <f>B3</f>
        <v>790.26800000000003</v>
      </c>
      <c r="D53" s="1"/>
    </row>
    <row r="54" spans="1:5" ht="15.75" thickBot="1" x14ac:dyDescent="0.3">
      <c r="A54" s="24" t="s">
        <v>13</v>
      </c>
      <c r="C54" s="32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x14ac:dyDescent="0.2">
      <c r="A58" s="3"/>
      <c r="B58" s="4"/>
      <c r="C58" s="5"/>
      <c r="D58" s="1"/>
    </row>
    <row r="59" spans="1:5" ht="18" x14ac:dyDescent="0.25">
      <c r="C59" s="49" t="s">
        <v>16</v>
      </c>
      <c r="D59" s="48"/>
      <c r="E59" s="48"/>
    </row>
  </sheetData>
  <mergeCells count="3">
    <mergeCell ref="A1:Q1"/>
    <mergeCell ref="D2:D42"/>
    <mergeCell ref="D43:D48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T59"/>
  <sheetViews>
    <sheetView showGridLines="0" topLeftCell="A10" zoomScale="75" workbookViewId="0">
      <selection activeCell="K60" sqref="K6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789.25800000000004</v>
      </c>
      <c r="C3" s="39"/>
      <c r="D3" s="172"/>
    </row>
    <row r="4" spans="1:20" x14ac:dyDescent="0.2">
      <c r="A4" s="40">
        <v>0</v>
      </c>
      <c r="B4" s="41">
        <v>788.64499999999998</v>
      </c>
      <c r="C4" s="42"/>
      <c r="D4" s="172"/>
    </row>
    <row r="5" spans="1:20" x14ac:dyDescent="0.2">
      <c r="A5" s="43">
        <v>1.1000000000000001</v>
      </c>
      <c r="B5" s="44">
        <v>788.27599999999995</v>
      </c>
      <c r="C5" s="50"/>
      <c r="D5" s="172"/>
    </row>
    <row r="6" spans="1:20" x14ac:dyDescent="0.2">
      <c r="A6" s="43">
        <v>2</v>
      </c>
      <c r="B6" s="44">
        <v>788.98599999999999</v>
      </c>
      <c r="C6" s="42"/>
      <c r="D6" s="172"/>
    </row>
    <row r="7" spans="1:20" x14ac:dyDescent="0.2">
      <c r="A7" s="43">
        <v>2.2999999999999998</v>
      </c>
      <c r="B7" s="44">
        <v>787.73599999999999</v>
      </c>
      <c r="C7" s="42"/>
      <c r="D7" s="172"/>
    </row>
    <row r="8" spans="1:20" x14ac:dyDescent="0.2">
      <c r="A8" s="16">
        <v>6.1</v>
      </c>
      <c r="B8" s="46">
        <v>786.88</v>
      </c>
      <c r="C8" s="45" t="s">
        <v>23</v>
      </c>
      <c r="D8" s="172"/>
    </row>
    <row r="9" spans="1:20" x14ac:dyDescent="0.2">
      <c r="A9" s="43">
        <v>8.6</v>
      </c>
      <c r="B9" s="44">
        <v>786.67</v>
      </c>
      <c r="C9" s="42"/>
      <c r="D9" s="172"/>
    </row>
    <row r="10" spans="1:20" x14ac:dyDescent="0.2">
      <c r="A10" s="43">
        <v>9.4</v>
      </c>
      <c r="B10" s="44">
        <v>786.56</v>
      </c>
      <c r="C10" s="50"/>
      <c r="D10" s="172"/>
    </row>
    <row r="11" spans="1:20" x14ac:dyDescent="0.2">
      <c r="A11" s="43">
        <v>10.199999999999999</v>
      </c>
      <c r="B11" s="44">
        <v>786.58</v>
      </c>
      <c r="C11" s="45"/>
      <c r="D11" s="172"/>
    </row>
    <row r="12" spans="1:20" x14ac:dyDescent="0.2">
      <c r="A12" s="43">
        <v>11</v>
      </c>
      <c r="B12" s="44">
        <v>786.54</v>
      </c>
      <c r="C12" s="42"/>
      <c r="D12" s="172"/>
    </row>
    <row r="13" spans="1:20" x14ac:dyDescent="0.2">
      <c r="A13" s="43">
        <v>11.8</v>
      </c>
      <c r="B13" s="44">
        <v>786.46</v>
      </c>
      <c r="C13" s="50"/>
      <c r="D13" s="172"/>
    </row>
    <row r="14" spans="1:20" x14ac:dyDescent="0.2">
      <c r="A14" s="43">
        <v>12.6</v>
      </c>
      <c r="B14" s="44">
        <v>786.48</v>
      </c>
      <c r="C14" s="42"/>
      <c r="D14" s="172"/>
    </row>
    <row r="15" spans="1:20" x14ac:dyDescent="0.2">
      <c r="A15" s="43">
        <v>13.4</v>
      </c>
      <c r="B15" s="44">
        <v>786.68</v>
      </c>
      <c r="C15" s="42"/>
      <c r="D15" s="172"/>
    </row>
    <row r="16" spans="1:20" x14ac:dyDescent="0.2">
      <c r="A16" s="43">
        <v>14.2</v>
      </c>
      <c r="B16" s="44">
        <v>786.4</v>
      </c>
      <c r="C16" s="42"/>
      <c r="D16" s="172"/>
    </row>
    <row r="17" spans="1:4" x14ac:dyDescent="0.2">
      <c r="A17" s="43">
        <v>15</v>
      </c>
      <c r="B17" s="44">
        <v>786.26</v>
      </c>
      <c r="C17" s="42"/>
      <c r="D17" s="172"/>
    </row>
    <row r="18" spans="1:4" x14ac:dyDescent="0.2">
      <c r="A18" s="43">
        <v>15.8</v>
      </c>
      <c r="B18" s="44">
        <v>786.18</v>
      </c>
      <c r="C18" s="42"/>
      <c r="D18" s="172"/>
    </row>
    <row r="19" spans="1:4" x14ac:dyDescent="0.2">
      <c r="A19" s="43">
        <v>16.600000000000001</v>
      </c>
      <c r="B19" s="44">
        <v>786.13</v>
      </c>
      <c r="C19" s="42"/>
      <c r="D19" s="172"/>
    </row>
    <row r="20" spans="1:4" x14ac:dyDescent="0.2">
      <c r="A20" s="43">
        <v>17.399999999999999</v>
      </c>
      <c r="B20" s="44">
        <v>785.98</v>
      </c>
      <c r="C20" s="42"/>
      <c r="D20" s="172"/>
    </row>
    <row r="21" spans="1:4" x14ac:dyDescent="0.2">
      <c r="A21" s="43">
        <v>18.2</v>
      </c>
      <c r="B21" s="44">
        <v>785.8</v>
      </c>
      <c r="C21" s="42"/>
      <c r="D21" s="172"/>
    </row>
    <row r="22" spans="1:4" x14ac:dyDescent="0.2">
      <c r="A22" s="43">
        <v>19</v>
      </c>
      <c r="B22" s="44">
        <v>785.7</v>
      </c>
      <c r="C22" s="42"/>
      <c r="D22" s="172"/>
    </row>
    <row r="23" spans="1:4" x14ac:dyDescent="0.2">
      <c r="A23" s="43">
        <v>19.8</v>
      </c>
      <c r="B23" s="44">
        <v>785.98</v>
      </c>
      <c r="C23" s="50"/>
      <c r="D23" s="172"/>
    </row>
    <row r="24" spans="1:4" x14ac:dyDescent="0.2">
      <c r="A24" s="43">
        <v>20.6</v>
      </c>
      <c r="B24" s="44">
        <v>785.74</v>
      </c>
      <c r="C24" s="45"/>
      <c r="D24" s="172"/>
    </row>
    <row r="25" spans="1:4" x14ac:dyDescent="0.2">
      <c r="A25" s="43">
        <v>21.4</v>
      </c>
      <c r="B25" s="44">
        <v>785.79</v>
      </c>
      <c r="C25" s="42"/>
      <c r="D25" s="172"/>
    </row>
    <row r="26" spans="1:4" s="7" customFormat="1" x14ac:dyDescent="0.2">
      <c r="A26" s="43">
        <v>22.2</v>
      </c>
      <c r="B26" s="44">
        <v>785.79</v>
      </c>
      <c r="C26" s="45"/>
      <c r="D26" s="172"/>
    </row>
    <row r="27" spans="1:4" x14ac:dyDescent="0.2">
      <c r="A27" s="43">
        <v>22.9</v>
      </c>
      <c r="B27" s="44">
        <v>786.26</v>
      </c>
      <c r="C27" s="45"/>
      <c r="D27" s="172"/>
    </row>
    <row r="28" spans="1:4" x14ac:dyDescent="0.2">
      <c r="A28" s="16">
        <v>22.9</v>
      </c>
      <c r="B28" s="46">
        <v>786.88</v>
      </c>
      <c r="C28" s="42" t="s">
        <v>22</v>
      </c>
      <c r="D28" s="172"/>
    </row>
    <row r="29" spans="1:4" x14ac:dyDescent="0.2">
      <c r="A29" s="43">
        <v>23</v>
      </c>
      <c r="B29" s="44">
        <v>788.66499999999996</v>
      </c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43"/>
      <c r="B38" s="44"/>
      <c r="C38" s="42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7"/>
      <c r="D41" s="172"/>
    </row>
    <row r="42" spans="1:4" ht="13.5" thickBot="1" x14ac:dyDescent="0.25">
      <c r="A42" s="6"/>
      <c r="B42" s="13"/>
      <c r="C42" s="26"/>
      <c r="D42" s="172"/>
    </row>
    <row r="43" spans="1:4" ht="20.100000000000001" customHeight="1" x14ac:dyDescent="0.2">
      <c r="A43" s="15">
        <v>6.1</v>
      </c>
      <c r="B43" s="19">
        <v>786.88</v>
      </c>
      <c r="C43" s="14" t="s">
        <v>9</v>
      </c>
      <c r="D43" s="173" t="s">
        <v>6</v>
      </c>
    </row>
    <row r="44" spans="1:4" ht="20.100000000000001" customHeight="1" thickBot="1" x14ac:dyDescent="0.25">
      <c r="A44" s="28">
        <v>22.9</v>
      </c>
      <c r="B44" s="33">
        <v>786.88</v>
      </c>
      <c r="C44" s="17" t="s">
        <v>10</v>
      </c>
      <c r="D44" s="173"/>
    </row>
    <row r="45" spans="1:4" ht="20.100000000000001" customHeight="1" thickBot="1" x14ac:dyDescent="0.25">
      <c r="A45" s="34">
        <v>22.5</v>
      </c>
      <c r="B45" s="35">
        <v>786.399</v>
      </c>
      <c r="C45" s="21" t="s">
        <v>8</v>
      </c>
      <c r="D45" s="173"/>
    </row>
    <row r="46" spans="1:4" ht="20.100000000000001" customHeight="1" thickBot="1" x14ac:dyDescent="0.25">
      <c r="A46" s="20">
        <v>22.5</v>
      </c>
      <c r="B46" s="36">
        <v>788.75599999999997</v>
      </c>
      <c r="C46" s="22" t="s">
        <v>8</v>
      </c>
      <c r="D46" s="173"/>
    </row>
    <row r="47" spans="1:4" ht="20.100000000000001" customHeight="1" x14ac:dyDescent="0.2">
      <c r="A47" s="15">
        <v>23</v>
      </c>
      <c r="B47" s="19">
        <v>788.19</v>
      </c>
      <c r="C47" s="23" t="s">
        <v>2</v>
      </c>
      <c r="D47" s="173"/>
    </row>
    <row r="48" spans="1:4" ht="20.100000000000001" customHeight="1" thickBot="1" x14ac:dyDescent="0.25">
      <c r="A48" s="28">
        <v>23</v>
      </c>
      <c r="B48" s="33">
        <v>789.71</v>
      </c>
      <c r="C48" s="8" t="s">
        <v>2</v>
      </c>
      <c r="D48" s="173"/>
    </row>
    <row r="49" spans="1:5" ht="13.5" thickBot="1" x14ac:dyDescent="0.25">
      <c r="A49" s="15">
        <v>0</v>
      </c>
      <c r="B49" s="27">
        <v>791.89</v>
      </c>
      <c r="C49" s="9" t="s">
        <v>7</v>
      </c>
      <c r="D49" s="1"/>
    </row>
    <row r="50" spans="1:5" ht="13.5" thickBot="1" x14ac:dyDescent="0.25">
      <c r="A50" s="28">
        <v>31</v>
      </c>
      <c r="B50" s="29">
        <v>791.91</v>
      </c>
      <c r="C50" s="9" t="s">
        <v>7</v>
      </c>
      <c r="D50" s="1"/>
    </row>
    <row r="51" spans="1:5" ht="16.5" thickBot="1" x14ac:dyDescent="0.3">
      <c r="A51" s="24" t="s">
        <v>12</v>
      </c>
      <c r="B51" s="4"/>
      <c r="C51" s="30">
        <v>0.6</v>
      </c>
      <c r="D51" s="1"/>
    </row>
    <row r="52" spans="1:5" ht="16.5" thickBot="1" x14ac:dyDescent="0.3">
      <c r="A52" s="10" t="s">
        <v>11</v>
      </c>
      <c r="B52" s="4"/>
      <c r="C52" s="18">
        <f>B45</f>
        <v>786.399</v>
      </c>
      <c r="D52" s="1"/>
    </row>
    <row r="53" spans="1:5" ht="20.25" customHeight="1" thickBot="1" x14ac:dyDescent="0.3">
      <c r="A53" s="10" t="s">
        <v>14</v>
      </c>
      <c r="C53" s="31">
        <f>B3</f>
        <v>789.25800000000004</v>
      </c>
      <c r="D53" s="1"/>
    </row>
    <row r="54" spans="1:5" ht="15.75" thickBot="1" x14ac:dyDescent="0.3">
      <c r="A54" s="24" t="s">
        <v>13</v>
      </c>
      <c r="C54" s="32"/>
      <c r="D54" s="1"/>
    </row>
    <row r="55" spans="1:5" x14ac:dyDescent="0.2">
      <c r="A55" s="3"/>
      <c r="B55" s="4"/>
      <c r="C55" s="5"/>
      <c r="D55" s="1"/>
    </row>
    <row r="56" spans="1:5" x14ac:dyDescent="0.2">
      <c r="A56" s="3"/>
      <c r="B56" s="4"/>
      <c r="C56" s="5"/>
      <c r="D56" s="1"/>
    </row>
    <row r="57" spans="1:5" x14ac:dyDescent="0.2">
      <c r="A57" s="3"/>
      <c r="B57" s="4"/>
      <c r="C57" s="5"/>
      <c r="D57" s="1"/>
    </row>
    <row r="58" spans="1:5" x14ac:dyDescent="0.2">
      <c r="A58" s="3"/>
      <c r="B58" s="4"/>
      <c r="C58" s="5"/>
      <c r="D58" s="1"/>
    </row>
    <row r="59" spans="1:5" ht="18" x14ac:dyDescent="0.25">
      <c r="C59" s="49" t="s">
        <v>16</v>
      </c>
      <c r="D59" s="48"/>
      <c r="E59" s="48"/>
    </row>
  </sheetData>
  <mergeCells count="3">
    <mergeCell ref="A1:Q1"/>
    <mergeCell ref="D2:D42"/>
    <mergeCell ref="D43:D48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64"/>
  <sheetViews>
    <sheetView showGridLines="0" topLeftCell="G7" zoomScale="75" workbookViewId="0">
      <selection activeCell="C33" sqref="C3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51">
        <v>3.9</v>
      </c>
      <c r="B4" s="52">
        <v>790.54</v>
      </c>
      <c r="C4" s="42" t="s">
        <v>4</v>
      </c>
      <c r="D4" s="172"/>
    </row>
    <row r="5" spans="1:20" x14ac:dyDescent="0.2">
      <c r="A5" s="43">
        <v>4.9000000000000004</v>
      </c>
      <c r="B5" s="44">
        <v>789.54</v>
      </c>
      <c r="C5" s="50"/>
      <c r="D5" s="172"/>
    </row>
    <row r="6" spans="1:20" x14ac:dyDescent="0.2">
      <c r="A6" s="43">
        <v>5.9</v>
      </c>
      <c r="B6" s="44">
        <v>788.15</v>
      </c>
      <c r="C6" s="42"/>
      <c r="D6" s="172"/>
    </row>
    <row r="7" spans="1:20" x14ac:dyDescent="0.2">
      <c r="A7" s="43">
        <v>9.4</v>
      </c>
      <c r="B7" s="44">
        <v>787.73</v>
      </c>
      <c r="C7" s="42"/>
      <c r="D7" s="172"/>
    </row>
    <row r="8" spans="1:20" x14ac:dyDescent="0.2">
      <c r="A8" s="16">
        <v>11</v>
      </c>
      <c r="B8" s="46">
        <v>787.13</v>
      </c>
      <c r="C8" s="45" t="s">
        <v>9</v>
      </c>
      <c r="D8" s="172"/>
    </row>
    <row r="9" spans="1:20" x14ac:dyDescent="0.2">
      <c r="A9" s="43">
        <v>12</v>
      </c>
      <c r="B9" s="44">
        <v>786.62</v>
      </c>
      <c r="C9" s="42"/>
      <c r="D9" s="172"/>
    </row>
    <row r="10" spans="1:20" x14ac:dyDescent="0.2">
      <c r="A10" s="43">
        <v>13</v>
      </c>
      <c r="B10" s="44">
        <v>786.53</v>
      </c>
      <c r="C10" s="50"/>
      <c r="D10" s="172"/>
    </row>
    <row r="11" spans="1:20" x14ac:dyDescent="0.2">
      <c r="A11" s="43">
        <v>14</v>
      </c>
      <c r="B11" s="44">
        <v>786.38</v>
      </c>
      <c r="C11" s="45"/>
      <c r="D11" s="172"/>
    </row>
    <row r="12" spans="1:20" x14ac:dyDescent="0.2">
      <c r="A12" s="43">
        <v>15</v>
      </c>
      <c r="B12" s="44">
        <v>786.38</v>
      </c>
      <c r="C12" s="42"/>
      <c r="D12" s="172"/>
    </row>
    <row r="13" spans="1:20" x14ac:dyDescent="0.2">
      <c r="A13" s="43">
        <v>16</v>
      </c>
      <c r="B13" s="44">
        <v>786.39</v>
      </c>
      <c r="C13" s="42"/>
      <c r="D13" s="172"/>
    </row>
    <row r="14" spans="1:20" x14ac:dyDescent="0.2">
      <c r="A14" s="43">
        <v>17</v>
      </c>
      <c r="B14" s="44">
        <v>786.27</v>
      </c>
      <c r="C14" s="42"/>
      <c r="D14" s="172"/>
    </row>
    <row r="15" spans="1:20" x14ac:dyDescent="0.2">
      <c r="A15" s="43">
        <v>18</v>
      </c>
      <c r="B15" s="44">
        <v>786.06</v>
      </c>
      <c r="C15" s="42"/>
      <c r="D15" s="172"/>
    </row>
    <row r="16" spans="1:20" x14ac:dyDescent="0.2">
      <c r="A16" s="43">
        <v>19</v>
      </c>
      <c r="B16" s="44">
        <v>785.98</v>
      </c>
      <c r="C16" s="42"/>
      <c r="D16" s="172"/>
    </row>
    <row r="17" spans="1:4" x14ac:dyDescent="0.2">
      <c r="A17" s="43">
        <v>20</v>
      </c>
      <c r="B17" s="44">
        <v>785.79</v>
      </c>
      <c r="C17" s="42"/>
      <c r="D17" s="172"/>
    </row>
    <row r="18" spans="1:4" x14ac:dyDescent="0.2">
      <c r="A18" s="43">
        <v>21</v>
      </c>
      <c r="B18" s="44">
        <v>785.62</v>
      </c>
      <c r="C18" s="42"/>
      <c r="D18" s="172"/>
    </row>
    <row r="19" spans="1:4" x14ac:dyDescent="0.2">
      <c r="A19" s="43">
        <v>22</v>
      </c>
      <c r="B19" s="44">
        <v>785.38</v>
      </c>
      <c r="C19" s="42"/>
      <c r="D19" s="172"/>
    </row>
    <row r="20" spans="1:4" x14ac:dyDescent="0.2">
      <c r="A20" s="43">
        <v>23</v>
      </c>
      <c r="B20" s="44">
        <v>785.2</v>
      </c>
      <c r="C20" s="42"/>
      <c r="D20" s="172"/>
    </row>
    <row r="21" spans="1:4" x14ac:dyDescent="0.2">
      <c r="A21" s="43">
        <v>24</v>
      </c>
      <c r="B21" s="44">
        <v>785.09</v>
      </c>
      <c r="C21" s="42"/>
      <c r="D21" s="172"/>
    </row>
    <row r="22" spans="1:4" x14ac:dyDescent="0.2">
      <c r="A22" s="43">
        <v>25</v>
      </c>
      <c r="B22" s="44">
        <v>785.63</v>
      </c>
      <c r="C22" s="42"/>
      <c r="D22" s="172"/>
    </row>
    <row r="23" spans="1:4" x14ac:dyDescent="0.2">
      <c r="A23" s="16">
        <v>25</v>
      </c>
      <c r="B23" s="46">
        <v>787.13</v>
      </c>
      <c r="C23" s="50" t="s">
        <v>10</v>
      </c>
      <c r="D23" s="172"/>
    </row>
    <row r="24" spans="1:4" x14ac:dyDescent="0.2">
      <c r="A24" s="43">
        <v>25.5</v>
      </c>
      <c r="B24" s="44">
        <v>787.84</v>
      </c>
      <c r="C24" s="45"/>
      <c r="D24" s="172"/>
    </row>
    <row r="25" spans="1:4" x14ac:dyDescent="0.2">
      <c r="A25" s="16">
        <v>26.5</v>
      </c>
      <c r="B25" s="46">
        <v>790.19</v>
      </c>
      <c r="C25" s="42" t="s">
        <v>5</v>
      </c>
      <c r="D25" s="172"/>
    </row>
    <row r="26" spans="1:4" s="7" customFormat="1" x14ac:dyDescent="0.2">
      <c r="A26" s="43"/>
      <c r="B26" s="44"/>
      <c r="C26" s="45"/>
      <c r="D26" s="172"/>
    </row>
    <row r="27" spans="1:4" x14ac:dyDescent="0.2">
      <c r="A27" s="43"/>
      <c r="B27" s="44"/>
      <c r="C27" s="45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50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16"/>
      <c r="B38" s="46"/>
      <c r="C38" s="50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2"/>
      <c r="D41" s="172"/>
    </row>
    <row r="42" spans="1:4" x14ac:dyDescent="0.2">
      <c r="A42" s="43"/>
      <c r="B42" s="44"/>
      <c r="C42" s="42"/>
      <c r="D42" s="172"/>
    </row>
    <row r="43" spans="1:4" x14ac:dyDescent="0.2">
      <c r="A43" s="43"/>
      <c r="B43" s="44"/>
      <c r="C43" s="42"/>
      <c r="D43" s="172"/>
    </row>
    <row r="44" spans="1:4" x14ac:dyDescent="0.2">
      <c r="A44" s="43"/>
      <c r="B44" s="44"/>
      <c r="C44" s="42"/>
      <c r="D44" s="172"/>
    </row>
    <row r="45" spans="1:4" x14ac:dyDescent="0.2">
      <c r="A45" s="43"/>
      <c r="B45" s="44"/>
      <c r="C45" s="42"/>
      <c r="D45" s="172"/>
    </row>
    <row r="46" spans="1:4" x14ac:dyDescent="0.2">
      <c r="A46" s="43"/>
      <c r="B46" s="44"/>
      <c r="C46" s="47"/>
      <c r="D46" s="172"/>
    </row>
    <row r="47" spans="1:4" ht="13.5" thickBot="1" x14ac:dyDescent="0.25">
      <c r="A47" s="6"/>
      <c r="B47" s="13"/>
      <c r="C47" s="26"/>
      <c r="D47" s="172"/>
    </row>
    <row r="48" spans="1:4" ht="20.100000000000001" customHeight="1" x14ac:dyDescent="0.2">
      <c r="A48" s="16">
        <v>11</v>
      </c>
      <c r="B48" s="46">
        <v>787.13</v>
      </c>
      <c r="C48" s="14" t="s">
        <v>9</v>
      </c>
      <c r="D48" s="173" t="s">
        <v>6</v>
      </c>
    </row>
    <row r="49" spans="1:5" ht="20.100000000000001" customHeight="1" thickBot="1" x14ac:dyDescent="0.25">
      <c r="A49" s="16">
        <v>25</v>
      </c>
      <c r="B49" s="46">
        <v>787.13</v>
      </c>
      <c r="C49" s="17" t="s">
        <v>10</v>
      </c>
      <c r="D49" s="173"/>
    </row>
    <row r="50" spans="1:5" ht="20.100000000000001" customHeight="1" thickBot="1" x14ac:dyDescent="0.25">
      <c r="A50" s="34">
        <v>25</v>
      </c>
      <c r="B50" s="35">
        <v>786.45500000000004</v>
      </c>
      <c r="C50" s="21" t="s">
        <v>8</v>
      </c>
      <c r="D50" s="173"/>
    </row>
    <row r="51" spans="1:5" ht="20.100000000000001" customHeight="1" thickBot="1" x14ac:dyDescent="0.25">
      <c r="A51" s="20">
        <v>25</v>
      </c>
      <c r="B51" s="36">
        <v>789.45500000000004</v>
      </c>
      <c r="C51" s="22" t="s">
        <v>8</v>
      </c>
      <c r="D51" s="173"/>
    </row>
    <row r="52" spans="1:5" ht="20.100000000000001" customHeight="1" x14ac:dyDescent="0.2">
      <c r="A52" s="15">
        <v>27</v>
      </c>
      <c r="B52" s="19">
        <v>788.85</v>
      </c>
      <c r="C52" s="23" t="s">
        <v>2</v>
      </c>
      <c r="D52" s="173"/>
    </row>
    <row r="53" spans="1:5" ht="20.100000000000001" customHeight="1" thickBot="1" x14ac:dyDescent="0.25">
      <c r="A53" s="28">
        <v>27</v>
      </c>
      <c r="B53" s="33">
        <v>790.37</v>
      </c>
      <c r="C53" s="8" t="s">
        <v>2</v>
      </c>
      <c r="D53" s="173"/>
    </row>
    <row r="54" spans="1:5" ht="13.5" thickBot="1" x14ac:dyDescent="0.25">
      <c r="A54" s="51">
        <v>3.9</v>
      </c>
      <c r="B54" s="52">
        <v>790.54</v>
      </c>
      <c r="C54" s="9" t="s">
        <v>7</v>
      </c>
      <c r="D54" s="1"/>
    </row>
    <row r="55" spans="1:5" ht="13.5" thickBot="1" x14ac:dyDescent="0.25">
      <c r="A55" s="16">
        <v>26.5</v>
      </c>
      <c r="B55" s="46">
        <v>790.19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0.51</v>
      </c>
      <c r="D56" s="1"/>
    </row>
    <row r="57" spans="1:5" ht="16.5" thickBot="1" x14ac:dyDescent="0.3">
      <c r="A57" s="10" t="s">
        <v>11</v>
      </c>
      <c r="B57" s="4"/>
      <c r="C57" s="18">
        <f>B50</f>
        <v>786.45500000000004</v>
      </c>
      <c r="D57" s="1"/>
    </row>
    <row r="58" spans="1:5" ht="20.25" customHeight="1" thickBot="1" x14ac:dyDescent="0.3">
      <c r="A58" s="10" t="s">
        <v>14</v>
      </c>
      <c r="C58" s="31">
        <f>B3</f>
        <v>791.2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T63"/>
  <sheetViews>
    <sheetView showGridLines="0" topLeftCell="A31" zoomScale="75" workbookViewId="0">
      <selection activeCell="C49" sqref="C49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19</v>
      </c>
      <c r="D3" s="172"/>
    </row>
    <row r="4" spans="1:20" x14ac:dyDescent="0.2">
      <c r="A4" s="51">
        <v>1.2</v>
      </c>
      <c r="B4" s="52">
        <v>793.58</v>
      </c>
      <c r="C4" s="42" t="s">
        <v>4</v>
      </c>
      <c r="D4" s="172"/>
    </row>
    <row r="5" spans="1:20" x14ac:dyDescent="0.2">
      <c r="A5" s="43">
        <v>3.3</v>
      </c>
      <c r="B5" s="44">
        <v>791.85</v>
      </c>
      <c r="C5" s="50"/>
      <c r="D5" s="172"/>
    </row>
    <row r="6" spans="1:20" x14ac:dyDescent="0.2">
      <c r="A6" s="43">
        <v>4.5</v>
      </c>
      <c r="B6" s="44">
        <v>790.05</v>
      </c>
      <c r="C6" s="42"/>
      <c r="D6" s="172"/>
    </row>
    <row r="7" spans="1:20" x14ac:dyDescent="0.2">
      <c r="A7" s="43">
        <v>5.6</v>
      </c>
      <c r="B7" s="44">
        <v>789.13</v>
      </c>
      <c r="C7" s="42"/>
      <c r="D7" s="172"/>
    </row>
    <row r="8" spans="1:20" x14ac:dyDescent="0.2">
      <c r="A8" s="43">
        <v>6.6</v>
      </c>
      <c r="B8" s="44">
        <v>787.75</v>
      </c>
      <c r="C8" s="45"/>
      <c r="D8" s="172"/>
    </row>
    <row r="9" spans="1:20" x14ac:dyDescent="0.2">
      <c r="A9" s="43">
        <v>8.5</v>
      </c>
      <c r="B9" s="44">
        <v>787.52</v>
      </c>
      <c r="C9" s="42"/>
      <c r="D9" s="172"/>
    </row>
    <row r="10" spans="1:20" x14ac:dyDescent="0.2">
      <c r="A10" s="16">
        <v>10</v>
      </c>
      <c r="B10" s="46">
        <v>787.43</v>
      </c>
      <c r="C10" s="50" t="s">
        <v>9</v>
      </c>
      <c r="D10" s="172"/>
    </row>
    <row r="11" spans="1:20" x14ac:dyDescent="0.2">
      <c r="A11" s="43">
        <v>11.5</v>
      </c>
      <c r="B11" s="44">
        <v>787.16</v>
      </c>
      <c r="C11" s="45"/>
      <c r="D11" s="172"/>
    </row>
    <row r="12" spans="1:20" x14ac:dyDescent="0.2">
      <c r="A12" s="43">
        <v>13</v>
      </c>
      <c r="B12" s="44">
        <v>786.87</v>
      </c>
      <c r="C12" s="42"/>
      <c r="D12" s="172"/>
    </row>
    <row r="13" spans="1:20" x14ac:dyDescent="0.2">
      <c r="A13" s="43">
        <v>14.5</v>
      </c>
      <c r="B13" s="44">
        <v>786.66</v>
      </c>
      <c r="C13" s="42"/>
      <c r="D13" s="172"/>
    </row>
    <row r="14" spans="1:20" x14ac:dyDescent="0.2">
      <c r="A14" s="43">
        <v>16</v>
      </c>
      <c r="B14" s="44">
        <v>786.31</v>
      </c>
      <c r="C14" s="42"/>
      <c r="D14" s="172"/>
    </row>
    <row r="15" spans="1:20" x14ac:dyDescent="0.2">
      <c r="A15" s="43">
        <v>17.5</v>
      </c>
      <c r="B15" s="44">
        <v>785.77</v>
      </c>
      <c r="C15" s="42"/>
      <c r="D15" s="172"/>
    </row>
    <row r="16" spans="1:20" x14ac:dyDescent="0.2">
      <c r="A16" s="43">
        <v>19</v>
      </c>
      <c r="B16" s="44">
        <v>785.52</v>
      </c>
      <c r="C16" s="42"/>
      <c r="D16" s="172"/>
    </row>
    <row r="17" spans="1:4" x14ac:dyDescent="0.2">
      <c r="A17" s="43">
        <v>20.5</v>
      </c>
      <c r="B17" s="44">
        <v>785.53</v>
      </c>
      <c r="C17" s="42"/>
      <c r="D17" s="172"/>
    </row>
    <row r="18" spans="1:4" x14ac:dyDescent="0.2">
      <c r="A18" s="43">
        <v>22</v>
      </c>
      <c r="B18" s="44">
        <v>784.89</v>
      </c>
      <c r="C18" s="42"/>
      <c r="D18" s="172"/>
    </row>
    <row r="19" spans="1:4" x14ac:dyDescent="0.2">
      <c r="A19" s="43">
        <v>23.5</v>
      </c>
      <c r="B19" s="44">
        <v>784.61</v>
      </c>
      <c r="C19" s="42"/>
      <c r="D19" s="172"/>
    </row>
    <row r="20" spans="1:4" x14ac:dyDescent="0.2">
      <c r="A20" s="43">
        <v>24.5</v>
      </c>
      <c r="B20" s="44">
        <v>784.73</v>
      </c>
      <c r="C20" s="42"/>
      <c r="D20" s="172"/>
    </row>
    <row r="21" spans="1:4" x14ac:dyDescent="0.2">
      <c r="A21" s="16">
        <v>24.5</v>
      </c>
      <c r="B21" s="46">
        <v>787.43</v>
      </c>
      <c r="C21" s="50" t="s">
        <v>10</v>
      </c>
      <c r="D21" s="172"/>
    </row>
    <row r="22" spans="1:4" x14ac:dyDescent="0.2">
      <c r="A22" s="43">
        <v>25.5</v>
      </c>
      <c r="B22" s="44">
        <v>787.64</v>
      </c>
      <c r="C22" s="42"/>
      <c r="D22" s="172"/>
    </row>
    <row r="23" spans="1:4" x14ac:dyDescent="0.2">
      <c r="A23" s="43">
        <v>27.5</v>
      </c>
      <c r="B23" s="44">
        <v>792.29</v>
      </c>
      <c r="C23" s="50"/>
      <c r="D23" s="172"/>
    </row>
    <row r="24" spans="1:4" x14ac:dyDescent="0.2">
      <c r="A24" s="16">
        <v>29.2</v>
      </c>
      <c r="B24" s="46">
        <v>793.94</v>
      </c>
      <c r="C24" s="42" t="s">
        <v>5</v>
      </c>
      <c r="D24" s="172"/>
    </row>
    <row r="25" spans="1:4" s="7" customFormat="1" x14ac:dyDescent="0.2">
      <c r="A25" s="43"/>
      <c r="B25" s="44"/>
      <c r="C25" s="45"/>
      <c r="D25" s="172"/>
    </row>
    <row r="26" spans="1:4" x14ac:dyDescent="0.2">
      <c r="A26" s="43"/>
      <c r="B26" s="44"/>
      <c r="C26" s="45"/>
      <c r="D26" s="172"/>
    </row>
    <row r="27" spans="1:4" x14ac:dyDescent="0.2">
      <c r="A27" s="43"/>
      <c r="B27" s="44"/>
      <c r="C27" s="42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50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16"/>
      <c r="B37" s="46"/>
      <c r="C37" s="50"/>
      <c r="D37" s="172"/>
    </row>
    <row r="38" spans="1:4" x14ac:dyDescent="0.2">
      <c r="A38" s="43"/>
      <c r="B38" s="44"/>
      <c r="C38" s="42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2"/>
      <c r="D41" s="172"/>
    </row>
    <row r="42" spans="1:4" x14ac:dyDescent="0.2">
      <c r="A42" s="43"/>
      <c r="B42" s="44"/>
      <c r="C42" s="42"/>
      <c r="D42" s="172"/>
    </row>
    <row r="43" spans="1:4" x14ac:dyDescent="0.2">
      <c r="A43" s="43"/>
      <c r="B43" s="44"/>
      <c r="C43" s="42"/>
      <c r="D43" s="172"/>
    </row>
    <row r="44" spans="1:4" x14ac:dyDescent="0.2">
      <c r="A44" s="43"/>
      <c r="B44" s="44"/>
      <c r="C44" s="42"/>
      <c r="D44" s="172"/>
    </row>
    <row r="45" spans="1:4" x14ac:dyDescent="0.2">
      <c r="A45" s="43"/>
      <c r="B45" s="44"/>
      <c r="C45" s="47"/>
      <c r="D45" s="172"/>
    </row>
    <row r="46" spans="1:4" ht="13.5" thickBot="1" x14ac:dyDescent="0.25">
      <c r="A46" s="6"/>
      <c r="B46" s="13"/>
      <c r="C46" s="26"/>
      <c r="D46" s="172"/>
    </row>
    <row r="47" spans="1:4" ht="20.100000000000001" customHeight="1" x14ac:dyDescent="0.2">
      <c r="A47" s="16">
        <v>10</v>
      </c>
      <c r="B47" s="46">
        <v>787.43</v>
      </c>
      <c r="C47" s="14" t="s">
        <v>9</v>
      </c>
      <c r="D47" s="173" t="s">
        <v>6</v>
      </c>
    </row>
    <row r="48" spans="1:4" ht="20.100000000000001" customHeight="1" thickBot="1" x14ac:dyDescent="0.25">
      <c r="A48" s="16">
        <v>24.5</v>
      </c>
      <c r="B48" s="46">
        <v>787.43</v>
      </c>
      <c r="C48" s="17" t="s">
        <v>10</v>
      </c>
      <c r="D48" s="173"/>
    </row>
    <row r="49" spans="1:5" ht="20.100000000000001" customHeight="1" thickBot="1" x14ac:dyDescent="0.25">
      <c r="A49" s="34">
        <v>25</v>
      </c>
      <c r="B49" s="35">
        <v>786.45500000000004</v>
      </c>
      <c r="C49" s="21" t="s">
        <v>8</v>
      </c>
      <c r="D49" s="173"/>
    </row>
    <row r="50" spans="1:5" ht="20.100000000000001" customHeight="1" thickBot="1" x14ac:dyDescent="0.25">
      <c r="A50" s="20">
        <v>25</v>
      </c>
      <c r="B50" s="36">
        <v>789.45500000000004</v>
      </c>
      <c r="C50" s="22" t="s">
        <v>8</v>
      </c>
      <c r="D50" s="173"/>
    </row>
    <row r="51" spans="1:5" ht="20.100000000000001" customHeight="1" x14ac:dyDescent="0.2">
      <c r="A51" s="15">
        <v>27</v>
      </c>
      <c r="B51" s="19">
        <v>788.85</v>
      </c>
      <c r="C51" s="23" t="s">
        <v>2</v>
      </c>
      <c r="D51" s="173"/>
    </row>
    <row r="52" spans="1:5" ht="20.100000000000001" customHeight="1" thickBot="1" x14ac:dyDescent="0.25">
      <c r="A52" s="28">
        <v>27</v>
      </c>
      <c r="B52" s="33">
        <v>790.37</v>
      </c>
      <c r="C52" s="8" t="s">
        <v>2</v>
      </c>
      <c r="D52" s="173"/>
    </row>
    <row r="53" spans="1:5" ht="13.5" thickBot="1" x14ac:dyDescent="0.25">
      <c r="A53" s="51">
        <v>1.2</v>
      </c>
      <c r="B53" s="52">
        <v>793.58</v>
      </c>
      <c r="C53" s="9" t="s">
        <v>7</v>
      </c>
      <c r="D53" s="1"/>
    </row>
    <row r="54" spans="1:5" ht="13.5" thickBot="1" x14ac:dyDescent="0.25">
      <c r="A54" s="16">
        <v>29.2</v>
      </c>
      <c r="B54" s="46">
        <v>793.94</v>
      </c>
      <c r="C54" s="9" t="s">
        <v>7</v>
      </c>
      <c r="D54" s="1"/>
    </row>
    <row r="55" spans="1:5" ht="16.5" thickBot="1" x14ac:dyDescent="0.3">
      <c r="A55" s="24" t="s">
        <v>12</v>
      </c>
      <c r="B55" s="4"/>
      <c r="C55" s="30">
        <v>0.51</v>
      </c>
      <c r="D55" s="1"/>
    </row>
    <row r="56" spans="1:5" ht="16.5" thickBot="1" x14ac:dyDescent="0.3">
      <c r="A56" s="10" t="s">
        <v>11</v>
      </c>
      <c r="B56" s="4"/>
      <c r="C56" s="18">
        <f>B49</f>
        <v>786.45500000000004</v>
      </c>
      <c r="D56" s="1"/>
    </row>
    <row r="57" spans="1:5" ht="20.25" customHeight="1" thickBot="1" x14ac:dyDescent="0.3">
      <c r="A57" s="10" t="s">
        <v>14</v>
      </c>
      <c r="C57" s="31">
        <f>B3</f>
        <v>791.2</v>
      </c>
      <c r="D57" s="1"/>
    </row>
    <row r="58" spans="1:5" ht="15.75" thickBot="1" x14ac:dyDescent="0.3">
      <c r="A58" s="24" t="s">
        <v>13</v>
      </c>
      <c r="C58" s="32"/>
      <c r="D58" s="1"/>
    </row>
    <row r="59" spans="1:5" x14ac:dyDescent="0.2">
      <c r="A59" s="3"/>
      <c r="B59" s="4"/>
      <c r="C59" s="5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ht="18" x14ac:dyDescent="0.25">
      <c r="C63" s="49" t="s">
        <v>16</v>
      </c>
      <c r="D63" s="48"/>
      <c r="E63" s="48"/>
    </row>
  </sheetData>
  <mergeCells count="3">
    <mergeCell ref="A1:Q1"/>
    <mergeCell ref="D2:D46"/>
    <mergeCell ref="D47:D52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T64"/>
  <sheetViews>
    <sheetView showGridLines="0" topLeftCell="F1" zoomScale="75" workbookViewId="0">
      <selection activeCell="A52" sqref="A52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/>
      <c r="B3" s="38">
        <v>791.2</v>
      </c>
      <c r="C3" s="39" t="s">
        <v>17</v>
      </c>
      <c r="D3" s="172"/>
    </row>
    <row r="4" spans="1:20" x14ac:dyDescent="0.2">
      <c r="A4" s="40">
        <v>2</v>
      </c>
      <c r="B4" s="41">
        <v>791.89</v>
      </c>
      <c r="C4" s="42" t="s">
        <v>4</v>
      </c>
      <c r="D4" s="172"/>
    </row>
    <row r="5" spans="1:20" x14ac:dyDescent="0.2">
      <c r="A5" s="43">
        <v>3</v>
      </c>
      <c r="B5" s="44">
        <v>790.84</v>
      </c>
      <c r="C5" s="50"/>
      <c r="D5" s="172"/>
    </row>
    <row r="6" spans="1:20" x14ac:dyDescent="0.2">
      <c r="A6" s="43">
        <v>4</v>
      </c>
      <c r="B6" s="44">
        <v>790.2</v>
      </c>
      <c r="C6" s="42"/>
      <c r="D6" s="172"/>
    </row>
    <row r="7" spans="1:20" x14ac:dyDescent="0.2">
      <c r="A7" s="43">
        <v>6</v>
      </c>
      <c r="B7" s="44">
        <v>789.81</v>
      </c>
      <c r="C7" s="42"/>
      <c r="D7" s="172"/>
    </row>
    <row r="8" spans="1:20" x14ac:dyDescent="0.2">
      <c r="A8" s="43">
        <v>6</v>
      </c>
      <c r="B8" s="44">
        <v>788.39</v>
      </c>
      <c r="C8" s="45"/>
      <c r="D8" s="172"/>
    </row>
    <row r="9" spans="1:20" x14ac:dyDescent="0.2">
      <c r="A9" s="43">
        <v>7</v>
      </c>
      <c r="B9" s="44">
        <v>788.13</v>
      </c>
      <c r="C9" s="42"/>
      <c r="D9" s="172"/>
    </row>
    <row r="10" spans="1:20" x14ac:dyDescent="0.2">
      <c r="A10" s="43">
        <v>8</v>
      </c>
      <c r="B10" s="44">
        <v>787.88</v>
      </c>
      <c r="C10" s="50"/>
      <c r="D10" s="172"/>
    </row>
    <row r="11" spans="1:20" x14ac:dyDescent="0.2">
      <c r="A11" s="43">
        <v>10.199999999999999</v>
      </c>
      <c r="B11" s="44">
        <v>787.7</v>
      </c>
      <c r="C11" s="45"/>
      <c r="D11" s="172"/>
    </row>
    <row r="12" spans="1:20" x14ac:dyDescent="0.2">
      <c r="A12" s="43">
        <v>10.199999999999999</v>
      </c>
      <c r="B12" s="44">
        <v>787.17</v>
      </c>
      <c r="C12" s="42"/>
      <c r="D12" s="172"/>
    </row>
    <row r="13" spans="1:20" x14ac:dyDescent="0.2">
      <c r="A13" s="16">
        <v>13.7</v>
      </c>
      <c r="B13" s="46">
        <v>786.27</v>
      </c>
      <c r="C13" s="50" t="s">
        <v>9</v>
      </c>
      <c r="D13" s="172"/>
    </row>
    <row r="14" spans="1:20" x14ac:dyDescent="0.2">
      <c r="A14" s="43">
        <v>15</v>
      </c>
      <c r="B14" s="44">
        <v>785.92</v>
      </c>
      <c r="C14" s="42"/>
      <c r="D14" s="172"/>
    </row>
    <row r="15" spans="1:20" x14ac:dyDescent="0.2">
      <c r="A15" s="43">
        <v>16</v>
      </c>
      <c r="B15" s="44">
        <v>785.64</v>
      </c>
      <c r="C15" s="42"/>
      <c r="D15" s="172"/>
    </row>
    <row r="16" spans="1:20" x14ac:dyDescent="0.2">
      <c r="A16" s="43">
        <v>17</v>
      </c>
      <c r="B16" s="44">
        <v>785.44</v>
      </c>
      <c r="C16" s="42"/>
      <c r="D16" s="172"/>
    </row>
    <row r="17" spans="1:4" x14ac:dyDescent="0.2">
      <c r="A17" s="43">
        <v>18</v>
      </c>
      <c r="B17" s="44">
        <v>785.25</v>
      </c>
      <c r="C17" s="42"/>
      <c r="D17" s="172"/>
    </row>
    <row r="18" spans="1:4" x14ac:dyDescent="0.2">
      <c r="A18" s="43">
        <v>19</v>
      </c>
      <c r="B18" s="44">
        <v>785.09</v>
      </c>
      <c r="C18" s="42"/>
      <c r="D18" s="172"/>
    </row>
    <row r="19" spans="1:4" x14ac:dyDescent="0.2">
      <c r="A19" s="43">
        <v>20</v>
      </c>
      <c r="B19" s="44">
        <v>785.03</v>
      </c>
      <c r="C19" s="42"/>
      <c r="D19" s="172"/>
    </row>
    <row r="20" spans="1:4" x14ac:dyDescent="0.2">
      <c r="A20" s="43">
        <v>21</v>
      </c>
      <c r="B20" s="44">
        <v>784.84</v>
      </c>
      <c r="C20" s="42"/>
      <c r="D20" s="172"/>
    </row>
    <row r="21" spans="1:4" x14ac:dyDescent="0.2">
      <c r="A21" s="43">
        <v>22</v>
      </c>
      <c r="B21" s="44">
        <v>785.08</v>
      </c>
      <c r="C21" s="42"/>
      <c r="D21" s="172"/>
    </row>
    <row r="22" spans="1:4" x14ac:dyDescent="0.2">
      <c r="A22" s="43">
        <v>23</v>
      </c>
      <c r="B22" s="44">
        <v>784.81</v>
      </c>
      <c r="C22" s="42"/>
      <c r="D22" s="172"/>
    </row>
    <row r="23" spans="1:4" x14ac:dyDescent="0.2">
      <c r="A23" s="43">
        <v>24</v>
      </c>
      <c r="B23" s="44">
        <v>784.38</v>
      </c>
      <c r="C23" s="50"/>
      <c r="D23" s="172"/>
    </row>
    <row r="24" spans="1:4" x14ac:dyDescent="0.2">
      <c r="A24" s="43">
        <v>25</v>
      </c>
      <c r="B24" s="44">
        <v>784.35</v>
      </c>
      <c r="C24" s="45"/>
      <c r="D24" s="172"/>
    </row>
    <row r="25" spans="1:4" x14ac:dyDescent="0.2">
      <c r="A25" s="43">
        <v>26</v>
      </c>
      <c r="B25" s="44">
        <v>784.31</v>
      </c>
      <c r="C25" s="42"/>
      <c r="D25" s="172"/>
    </row>
    <row r="26" spans="1:4" s="7" customFormat="1" x14ac:dyDescent="0.2">
      <c r="A26" s="43">
        <v>27</v>
      </c>
      <c r="B26" s="44">
        <v>784.67</v>
      </c>
      <c r="C26" s="45"/>
      <c r="D26" s="172"/>
    </row>
    <row r="27" spans="1:4" x14ac:dyDescent="0.2">
      <c r="A27" s="16">
        <v>27</v>
      </c>
      <c r="B27" s="46">
        <v>786.27</v>
      </c>
      <c r="C27" s="45" t="s">
        <v>10</v>
      </c>
      <c r="D27" s="172"/>
    </row>
    <row r="28" spans="1:4" x14ac:dyDescent="0.2">
      <c r="A28" s="43">
        <v>28</v>
      </c>
      <c r="B28" s="44">
        <v>788.76</v>
      </c>
      <c r="C28" s="42"/>
      <c r="D28" s="172"/>
    </row>
    <row r="29" spans="1:4" x14ac:dyDescent="0.2">
      <c r="A29" s="43">
        <v>29</v>
      </c>
      <c r="B29" s="44">
        <v>789.83</v>
      </c>
      <c r="C29" s="42"/>
      <c r="D29" s="172"/>
    </row>
    <row r="30" spans="1:4" x14ac:dyDescent="0.2">
      <c r="A30" s="43">
        <v>30</v>
      </c>
      <c r="B30" s="44">
        <v>791.08</v>
      </c>
      <c r="C30" s="42"/>
      <c r="D30" s="172"/>
    </row>
    <row r="31" spans="1:4" x14ac:dyDescent="0.2">
      <c r="A31" s="43">
        <v>31</v>
      </c>
      <c r="B31" s="44">
        <v>791.91</v>
      </c>
      <c r="C31" s="42" t="s">
        <v>5</v>
      </c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16"/>
      <c r="B38" s="46"/>
      <c r="C38" s="50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2"/>
      <c r="D41" s="172"/>
    </row>
    <row r="42" spans="1:4" x14ac:dyDescent="0.2">
      <c r="A42" s="43"/>
      <c r="B42" s="44"/>
      <c r="C42" s="42"/>
      <c r="D42" s="172"/>
    </row>
    <row r="43" spans="1:4" x14ac:dyDescent="0.2">
      <c r="A43" s="43"/>
      <c r="B43" s="44"/>
      <c r="C43" s="42"/>
      <c r="D43" s="172"/>
    </row>
    <row r="44" spans="1:4" x14ac:dyDescent="0.2">
      <c r="A44" s="43"/>
      <c r="B44" s="44"/>
      <c r="C44" s="42"/>
      <c r="D44" s="172"/>
    </row>
    <row r="45" spans="1:4" x14ac:dyDescent="0.2">
      <c r="A45" s="43"/>
      <c r="B45" s="44"/>
      <c r="C45" s="42"/>
      <c r="D45" s="172"/>
    </row>
    <row r="46" spans="1:4" x14ac:dyDescent="0.2">
      <c r="A46" s="43"/>
      <c r="B46" s="44"/>
      <c r="C46" s="47"/>
      <c r="D46" s="172"/>
    </row>
    <row r="47" spans="1:4" ht="13.5" thickBot="1" x14ac:dyDescent="0.25">
      <c r="A47" s="6"/>
      <c r="B47" s="13"/>
      <c r="C47" s="26"/>
      <c r="D47" s="172"/>
    </row>
    <row r="48" spans="1:4" ht="20.100000000000001" customHeight="1" x14ac:dyDescent="0.2">
      <c r="A48" s="15">
        <v>13.7</v>
      </c>
      <c r="B48" s="19">
        <v>786.27</v>
      </c>
      <c r="C48" s="14" t="s">
        <v>9</v>
      </c>
      <c r="D48" s="173" t="s">
        <v>6</v>
      </c>
    </row>
    <row r="49" spans="1:5" ht="20.100000000000001" customHeight="1" thickBot="1" x14ac:dyDescent="0.25">
      <c r="A49" s="28">
        <v>27</v>
      </c>
      <c r="B49" s="33">
        <v>786.27</v>
      </c>
      <c r="C49" s="17" t="s">
        <v>10</v>
      </c>
      <c r="D49" s="173"/>
    </row>
    <row r="50" spans="1:5" ht="20.100000000000001" customHeight="1" thickBot="1" x14ac:dyDescent="0.25">
      <c r="A50" s="34">
        <v>27</v>
      </c>
      <c r="B50" s="35">
        <v>785.75599999999997</v>
      </c>
      <c r="C50" s="21" t="s">
        <v>8</v>
      </c>
      <c r="D50" s="173"/>
    </row>
    <row r="51" spans="1:5" ht="20.100000000000001" customHeight="1" thickBot="1" x14ac:dyDescent="0.25">
      <c r="A51" s="20">
        <v>27</v>
      </c>
      <c r="B51" s="36">
        <v>788.75599999999997</v>
      </c>
      <c r="C51" s="22" t="s">
        <v>8</v>
      </c>
      <c r="D51" s="173"/>
    </row>
    <row r="52" spans="1:5" ht="20.100000000000001" customHeight="1" x14ac:dyDescent="0.2">
      <c r="A52" s="15">
        <v>28</v>
      </c>
      <c r="B52" s="19">
        <v>788.19</v>
      </c>
      <c r="C52" s="23" t="s">
        <v>2</v>
      </c>
      <c r="D52" s="173"/>
    </row>
    <row r="53" spans="1:5" ht="20.100000000000001" customHeight="1" thickBot="1" x14ac:dyDescent="0.25">
      <c r="A53" s="28">
        <v>28</v>
      </c>
      <c r="B53" s="33">
        <v>789.71</v>
      </c>
      <c r="C53" s="8" t="s">
        <v>2</v>
      </c>
      <c r="D53" s="173"/>
    </row>
    <row r="54" spans="1:5" ht="13.5" thickBot="1" x14ac:dyDescent="0.25">
      <c r="A54" s="15">
        <v>0</v>
      </c>
      <c r="B54" s="27">
        <v>791.89</v>
      </c>
      <c r="C54" s="9" t="s">
        <v>7</v>
      </c>
      <c r="D54" s="1"/>
    </row>
    <row r="55" spans="1:5" ht="13.5" thickBot="1" x14ac:dyDescent="0.25">
      <c r="A55" s="28">
        <v>31</v>
      </c>
      <c r="B55" s="29">
        <v>791.91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0.56000000000000005</v>
      </c>
      <c r="D56" s="1"/>
    </row>
    <row r="57" spans="1:5" ht="16.5" thickBot="1" x14ac:dyDescent="0.3">
      <c r="A57" s="10" t="s">
        <v>11</v>
      </c>
      <c r="B57" s="4"/>
      <c r="C57" s="18">
        <f>B50</f>
        <v>785.75599999999997</v>
      </c>
      <c r="D57" s="1"/>
    </row>
    <row r="58" spans="1:5" ht="20.25" customHeight="1" thickBot="1" x14ac:dyDescent="0.3">
      <c r="A58" s="10" t="s">
        <v>14</v>
      </c>
      <c r="C58" s="31">
        <f>B3</f>
        <v>791.2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T64"/>
  <sheetViews>
    <sheetView topLeftCell="L13" workbookViewId="0">
      <selection activeCell="A55" sqref="A5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">
      <c r="A3">
        <v>0</v>
      </c>
      <c r="B3">
        <v>796.38</v>
      </c>
      <c r="C3" t="s">
        <v>17</v>
      </c>
      <c r="D3" s="172"/>
    </row>
    <row r="4" spans="1:20" x14ac:dyDescent="0.2">
      <c r="A4">
        <v>0</v>
      </c>
      <c r="B4">
        <v>794.82</v>
      </c>
      <c r="C4" t="s">
        <v>4</v>
      </c>
      <c r="D4" s="172"/>
    </row>
    <row r="5" spans="1:20" x14ac:dyDescent="0.2">
      <c r="A5">
        <v>0.4</v>
      </c>
      <c r="B5">
        <v>793.84</v>
      </c>
      <c r="D5" s="172"/>
    </row>
    <row r="6" spans="1:20" x14ac:dyDescent="0.2">
      <c r="A6">
        <v>2.7</v>
      </c>
      <c r="B6">
        <v>792.9</v>
      </c>
      <c r="D6" s="172"/>
    </row>
    <row r="7" spans="1:20" x14ac:dyDescent="0.2">
      <c r="A7">
        <v>3</v>
      </c>
      <c r="B7">
        <v>792.37</v>
      </c>
      <c r="D7" s="172"/>
    </row>
    <row r="8" spans="1:20" x14ac:dyDescent="0.2">
      <c r="A8">
        <v>7.53</v>
      </c>
      <c r="B8">
        <v>791.55</v>
      </c>
      <c r="C8" t="s">
        <v>9</v>
      </c>
      <c r="D8" s="172"/>
    </row>
    <row r="9" spans="1:20" x14ac:dyDescent="0.2">
      <c r="A9">
        <v>13.5</v>
      </c>
      <c r="B9">
        <v>791.55</v>
      </c>
      <c r="D9" s="172"/>
    </row>
    <row r="10" spans="1:20" x14ac:dyDescent="0.2">
      <c r="A10">
        <v>15.5</v>
      </c>
      <c r="B10">
        <v>791.26</v>
      </c>
      <c r="D10" s="172"/>
    </row>
    <row r="11" spans="1:20" x14ac:dyDescent="0.2">
      <c r="A11">
        <v>16.3</v>
      </c>
      <c r="B11">
        <v>790.84</v>
      </c>
      <c r="D11" s="172"/>
    </row>
    <row r="12" spans="1:20" x14ac:dyDescent="0.2">
      <c r="A12">
        <v>17.100000000000001</v>
      </c>
      <c r="B12">
        <v>791.16</v>
      </c>
      <c r="D12" s="172"/>
    </row>
    <row r="13" spans="1:20" x14ac:dyDescent="0.2">
      <c r="A13">
        <v>17.899999999999999</v>
      </c>
      <c r="B13">
        <v>790.92</v>
      </c>
      <c r="D13" s="172"/>
    </row>
    <row r="14" spans="1:20" x14ac:dyDescent="0.2">
      <c r="A14">
        <v>20</v>
      </c>
      <c r="B14">
        <v>790.65</v>
      </c>
      <c r="D14" s="172"/>
    </row>
    <row r="15" spans="1:20" x14ac:dyDescent="0.2">
      <c r="A15">
        <v>20.8</v>
      </c>
      <c r="B15">
        <v>790.5</v>
      </c>
      <c r="D15" s="172"/>
    </row>
    <row r="16" spans="1:20" x14ac:dyDescent="0.2">
      <c r="A16">
        <v>21.6</v>
      </c>
      <c r="B16">
        <v>790.59</v>
      </c>
      <c r="D16" s="172"/>
    </row>
    <row r="17" spans="1:4" x14ac:dyDescent="0.2">
      <c r="A17">
        <v>22.1</v>
      </c>
      <c r="B17">
        <v>790.65</v>
      </c>
      <c r="D17" s="172"/>
    </row>
    <row r="18" spans="1:4" x14ac:dyDescent="0.2">
      <c r="A18">
        <v>22.6</v>
      </c>
      <c r="B18">
        <v>790.53</v>
      </c>
      <c r="D18" s="172"/>
    </row>
    <row r="19" spans="1:4" x14ac:dyDescent="0.2">
      <c r="A19">
        <v>23.1</v>
      </c>
      <c r="B19">
        <v>790.48</v>
      </c>
      <c r="D19" s="172"/>
    </row>
    <row r="20" spans="1:4" x14ac:dyDescent="0.2">
      <c r="A20">
        <v>23.6</v>
      </c>
      <c r="B20">
        <v>790.26</v>
      </c>
      <c r="D20" s="172"/>
    </row>
    <row r="21" spans="1:4" x14ac:dyDescent="0.2">
      <c r="A21">
        <v>24.1</v>
      </c>
      <c r="B21">
        <v>790.11</v>
      </c>
      <c r="D21" s="172"/>
    </row>
    <row r="22" spans="1:4" x14ac:dyDescent="0.2">
      <c r="A22">
        <v>24.6</v>
      </c>
      <c r="B22">
        <v>790.08</v>
      </c>
      <c r="D22" s="172"/>
    </row>
    <row r="23" spans="1:4" x14ac:dyDescent="0.2">
      <c r="A23">
        <v>25.1</v>
      </c>
      <c r="B23">
        <v>789.93</v>
      </c>
      <c r="D23" s="172"/>
    </row>
    <row r="24" spans="1:4" x14ac:dyDescent="0.2">
      <c r="A24">
        <v>25.6</v>
      </c>
      <c r="B24">
        <v>789.72</v>
      </c>
      <c r="D24" s="172"/>
    </row>
    <row r="25" spans="1:4" x14ac:dyDescent="0.2">
      <c r="A25">
        <v>26.1</v>
      </c>
      <c r="B25">
        <v>789.77</v>
      </c>
      <c r="D25" s="172"/>
    </row>
    <row r="26" spans="1:4" s="7" customFormat="1" x14ac:dyDescent="0.2">
      <c r="A26">
        <v>26.6</v>
      </c>
      <c r="B26">
        <v>790.7</v>
      </c>
      <c r="C26"/>
      <c r="D26" s="172"/>
    </row>
    <row r="27" spans="1:4" x14ac:dyDescent="0.2">
      <c r="A27">
        <v>27.1</v>
      </c>
      <c r="B27">
        <v>791.55</v>
      </c>
      <c r="C27" t="s">
        <v>10</v>
      </c>
      <c r="D27" s="172"/>
    </row>
    <row r="28" spans="1:4" x14ac:dyDescent="0.2">
      <c r="A28">
        <v>27.1</v>
      </c>
      <c r="B28">
        <v>796.07</v>
      </c>
      <c r="D28" s="172"/>
    </row>
    <row r="29" spans="1:4" x14ac:dyDescent="0.2">
      <c r="A29">
        <v>27.1</v>
      </c>
      <c r="B29">
        <v>796.63</v>
      </c>
      <c r="D29" s="172"/>
    </row>
    <row r="30" spans="1:4" x14ac:dyDescent="0.2">
      <c r="A30">
        <v>27.1</v>
      </c>
      <c r="B30">
        <v>798.17</v>
      </c>
      <c r="D30" s="172"/>
    </row>
    <row r="31" spans="1:4" x14ac:dyDescent="0.2">
      <c r="A31">
        <v>27.1</v>
      </c>
      <c r="B31">
        <v>798.5</v>
      </c>
      <c r="D31" s="172"/>
    </row>
    <row r="32" spans="1:4" x14ac:dyDescent="0.2">
      <c r="A32">
        <v>27.1</v>
      </c>
      <c r="B32">
        <v>799.3</v>
      </c>
      <c r="D32" s="172"/>
    </row>
    <row r="33" spans="1:4" x14ac:dyDescent="0.2">
      <c r="A33">
        <v>27.1</v>
      </c>
      <c r="B33">
        <v>799.87</v>
      </c>
      <c r="C33" t="s">
        <v>5</v>
      </c>
      <c r="D33" s="172"/>
    </row>
    <row r="34" spans="1:4" x14ac:dyDescent="0.2">
      <c r="A34" s="43"/>
      <c r="B34" s="44"/>
      <c r="C34" s="42"/>
      <c r="D34" s="172"/>
    </row>
    <row r="35" spans="1:4" x14ac:dyDescent="0.2">
      <c r="A35" s="43"/>
      <c r="B35" s="44"/>
      <c r="C35" s="42"/>
      <c r="D35" s="172"/>
    </row>
    <row r="36" spans="1:4" x14ac:dyDescent="0.2">
      <c r="A36" s="43"/>
      <c r="B36" s="44"/>
      <c r="C36" s="42"/>
      <c r="D36" s="172"/>
    </row>
    <row r="37" spans="1:4" x14ac:dyDescent="0.2">
      <c r="A37" s="43"/>
      <c r="B37" s="44"/>
      <c r="C37" s="42"/>
      <c r="D37" s="172"/>
    </row>
    <row r="38" spans="1:4" x14ac:dyDescent="0.2">
      <c r="A38" s="16"/>
      <c r="B38" s="46"/>
      <c r="C38" s="50"/>
      <c r="D38" s="172"/>
    </row>
    <row r="39" spans="1:4" x14ac:dyDescent="0.2">
      <c r="A39" s="43"/>
      <c r="B39" s="44"/>
      <c r="C39" s="42"/>
      <c r="D39" s="172"/>
    </row>
    <row r="40" spans="1:4" x14ac:dyDescent="0.2">
      <c r="A40" s="43"/>
      <c r="B40" s="44"/>
      <c r="C40" s="42"/>
      <c r="D40" s="172"/>
    </row>
    <row r="41" spans="1:4" x14ac:dyDescent="0.2">
      <c r="A41" s="43"/>
      <c r="B41" s="44"/>
      <c r="C41" s="42"/>
      <c r="D41" s="172"/>
    </row>
    <row r="42" spans="1:4" x14ac:dyDescent="0.2">
      <c r="A42" s="43"/>
      <c r="B42" s="44"/>
      <c r="C42" s="42"/>
      <c r="D42" s="172"/>
    </row>
    <row r="43" spans="1:4" x14ac:dyDescent="0.2">
      <c r="A43" s="43"/>
      <c r="B43" s="44"/>
      <c r="C43" s="42"/>
      <c r="D43" s="172"/>
    </row>
    <row r="44" spans="1:4" x14ac:dyDescent="0.2">
      <c r="A44" s="43"/>
      <c r="B44" s="44"/>
      <c r="C44" s="42"/>
      <c r="D44" s="172"/>
    </row>
    <row r="45" spans="1:4" x14ac:dyDescent="0.2">
      <c r="A45" s="43"/>
      <c r="B45" s="44"/>
      <c r="C45" s="42"/>
      <c r="D45" s="172"/>
    </row>
    <row r="46" spans="1:4" x14ac:dyDescent="0.2">
      <c r="A46" s="43"/>
      <c r="B46" s="44"/>
      <c r="C46" s="47"/>
      <c r="D46" s="172"/>
    </row>
    <row r="47" spans="1:4" ht="13.5" thickBot="1" x14ac:dyDescent="0.25">
      <c r="A47" s="6"/>
      <c r="B47" s="13"/>
      <c r="C47" s="26"/>
      <c r="D47" s="172"/>
    </row>
    <row r="48" spans="1:4" ht="20.100000000000001" customHeight="1" x14ac:dyDescent="0.2">
      <c r="A48" s="15">
        <v>7.53</v>
      </c>
      <c r="B48" s="19">
        <v>791.55</v>
      </c>
      <c r="C48" s="14" t="s">
        <v>9</v>
      </c>
      <c r="D48" s="173" t="s">
        <v>6</v>
      </c>
    </row>
    <row r="49" spans="1:5" ht="20.100000000000001" customHeight="1" thickBot="1" x14ac:dyDescent="0.25">
      <c r="A49" s="28">
        <v>27.1</v>
      </c>
      <c r="B49" s="33">
        <v>791.55</v>
      </c>
      <c r="C49" s="17" t="s">
        <v>10</v>
      </c>
      <c r="D49" s="173"/>
    </row>
    <row r="50" spans="1:5" ht="20.100000000000001" customHeight="1" thickBot="1" x14ac:dyDescent="0.25">
      <c r="A50" s="34">
        <v>27</v>
      </c>
      <c r="B50" s="35">
        <v>786.45500000000004</v>
      </c>
      <c r="C50" s="21" t="s">
        <v>8</v>
      </c>
      <c r="D50" s="173"/>
    </row>
    <row r="51" spans="1:5" ht="20.100000000000001" customHeight="1" thickBot="1" x14ac:dyDescent="0.25">
      <c r="A51" s="20">
        <v>27</v>
      </c>
      <c r="B51" s="36">
        <v>789.45500000000004</v>
      </c>
      <c r="C51" s="22" t="s">
        <v>8</v>
      </c>
      <c r="D51" s="173"/>
    </row>
    <row r="52" spans="1:5" ht="20.100000000000001" customHeight="1" x14ac:dyDescent="0.2">
      <c r="A52" s="15">
        <v>28</v>
      </c>
      <c r="B52" s="19">
        <v>788.85</v>
      </c>
      <c r="C52" s="23" t="s">
        <v>2</v>
      </c>
      <c r="D52" s="173"/>
    </row>
    <row r="53" spans="1:5" ht="20.100000000000001" customHeight="1" thickBot="1" x14ac:dyDescent="0.25">
      <c r="A53" s="28">
        <v>28</v>
      </c>
      <c r="B53" s="33">
        <v>790.37</v>
      </c>
      <c r="C53" s="8" t="s">
        <v>2</v>
      </c>
      <c r="D53" s="173"/>
    </row>
    <row r="54" spans="1:5" ht="13.5" thickBot="1" x14ac:dyDescent="0.25">
      <c r="A54" s="15">
        <v>0</v>
      </c>
      <c r="B54" s="27">
        <v>794.82</v>
      </c>
      <c r="C54" s="9" t="s">
        <v>7</v>
      </c>
      <c r="D54" s="1"/>
    </row>
    <row r="55" spans="1:5" ht="13.5" thickBot="1" x14ac:dyDescent="0.25">
      <c r="A55" s="28">
        <v>27.1</v>
      </c>
      <c r="B55" s="29">
        <v>799.87</v>
      </c>
      <c r="C55" s="9" t="s">
        <v>7</v>
      </c>
      <c r="D55" s="1"/>
    </row>
    <row r="56" spans="1:5" ht="16.5" thickBot="1" x14ac:dyDescent="0.3">
      <c r="A56" s="24" t="s">
        <v>12</v>
      </c>
      <c r="B56" s="4"/>
      <c r="C56" s="30">
        <v>0.6</v>
      </c>
      <c r="D56" s="1"/>
    </row>
    <row r="57" spans="1:5" ht="16.5" thickBot="1" x14ac:dyDescent="0.3">
      <c r="A57" s="10" t="s">
        <v>11</v>
      </c>
      <c r="B57" s="4"/>
      <c r="C57" s="18">
        <f>B50</f>
        <v>786.45500000000004</v>
      </c>
      <c r="D57" s="1"/>
    </row>
    <row r="58" spans="1:5" ht="20.25" customHeight="1" thickBot="1" x14ac:dyDescent="0.3">
      <c r="A58" s="10" t="s">
        <v>14</v>
      </c>
      <c r="C58" s="31">
        <f>B3</f>
        <v>796.38</v>
      </c>
      <c r="D58" s="1"/>
    </row>
    <row r="59" spans="1:5" ht="15.75" thickBot="1" x14ac:dyDescent="0.3">
      <c r="A59" s="24" t="s">
        <v>13</v>
      </c>
      <c r="C59" s="32"/>
      <c r="D59" s="1"/>
    </row>
    <row r="60" spans="1:5" x14ac:dyDescent="0.2">
      <c r="A60" s="3"/>
      <c r="B60" s="4"/>
      <c r="C60" s="5"/>
      <c r="D60" s="1"/>
    </row>
    <row r="61" spans="1:5" x14ac:dyDescent="0.2">
      <c r="A61" s="3"/>
      <c r="B61" s="4"/>
      <c r="C61" s="5"/>
      <c r="D61" s="1"/>
    </row>
    <row r="62" spans="1:5" x14ac:dyDescent="0.2">
      <c r="A62" s="3"/>
      <c r="B62" s="4"/>
      <c r="C62" s="5"/>
      <c r="D62" s="1"/>
    </row>
    <row r="63" spans="1:5" x14ac:dyDescent="0.2">
      <c r="A63" s="3"/>
      <c r="B63" s="4"/>
      <c r="C63" s="5"/>
      <c r="D63" s="1"/>
    </row>
    <row r="64" spans="1:5" ht="18" x14ac:dyDescent="0.25">
      <c r="C64" s="49" t="s">
        <v>16</v>
      </c>
      <c r="D64" s="48"/>
      <c r="E64" s="48"/>
    </row>
  </sheetData>
  <mergeCells count="3">
    <mergeCell ref="A1:Q1"/>
    <mergeCell ref="D2:D47"/>
    <mergeCell ref="D48:D53"/>
  </mergeCells>
  <phoneticPr fontId="18" type="noConversion"/>
  <pageMargins left="0.75" right="0.75" top="1" bottom="1" header="0" footer="0"/>
  <headerFooter alignWithMargins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T46"/>
  <sheetViews>
    <sheetView showGridLines="0" topLeftCell="A7" zoomScale="75" workbookViewId="0">
      <selection activeCell="C5" sqref="C5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3</v>
      </c>
      <c r="B4" s="41">
        <v>791.48</v>
      </c>
      <c r="C4" s="42" t="s">
        <v>4</v>
      </c>
      <c r="D4" s="172"/>
    </row>
    <row r="5" spans="1:20" x14ac:dyDescent="0.2">
      <c r="A5" s="43">
        <v>5</v>
      </c>
      <c r="B5" s="44">
        <v>790.67</v>
      </c>
      <c r="C5" s="50"/>
      <c r="D5" s="172"/>
    </row>
    <row r="6" spans="1:20" x14ac:dyDescent="0.2">
      <c r="A6" s="43">
        <v>5.7</v>
      </c>
      <c r="B6" s="44">
        <v>790.35</v>
      </c>
      <c r="C6" s="42"/>
      <c r="D6" s="172"/>
    </row>
    <row r="7" spans="1:20" x14ac:dyDescent="0.2">
      <c r="A7" s="43">
        <v>6</v>
      </c>
      <c r="B7" s="44">
        <v>788.96</v>
      </c>
      <c r="C7" s="42"/>
      <c r="D7" s="172"/>
    </row>
    <row r="8" spans="1:20" x14ac:dyDescent="0.2">
      <c r="A8" s="43">
        <v>9</v>
      </c>
      <c r="B8" s="44">
        <v>788.41</v>
      </c>
      <c r="C8" s="45"/>
      <c r="D8" s="172"/>
    </row>
    <row r="9" spans="1:20" x14ac:dyDescent="0.2">
      <c r="A9" s="43">
        <v>9.3000000000000007</v>
      </c>
      <c r="B9" s="44">
        <v>787.42</v>
      </c>
      <c r="C9" s="42"/>
      <c r="D9" s="172"/>
    </row>
    <row r="10" spans="1:20" x14ac:dyDescent="0.2">
      <c r="A10" s="16">
        <v>14</v>
      </c>
      <c r="B10" s="46">
        <v>786.94</v>
      </c>
      <c r="C10" s="50" t="s">
        <v>9</v>
      </c>
      <c r="D10" s="172"/>
    </row>
    <row r="11" spans="1:20" x14ac:dyDescent="0.2">
      <c r="A11" s="43">
        <v>16</v>
      </c>
      <c r="B11" s="44">
        <v>786.59</v>
      </c>
      <c r="C11" s="45"/>
      <c r="D11" s="172"/>
    </row>
    <row r="12" spans="1:20" x14ac:dyDescent="0.2">
      <c r="A12" s="43">
        <v>17</v>
      </c>
      <c r="B12" s="44">
        <v>786.33</v>
      </c>
      <c r="C12" s="42"/>
      <c r="D12" s="172"/>
    </row>
    <row r="13" spans="1:20" x14ac:dyDescent="0.2">
      <c r="A13" s="43">
        <v>18</v>
      </c>
      <c r="B13" s="44">
        <v>786.17</v>
      </c>
      <c r="C13" s="42"/>
      <c r="D13" s="172"/>
    </row>
    <row r="14" spans="1:20" x14ac:dyDescent="0.2">
      <c r="A14" s="43">
        <v>19</v>
      </c>
      <c r="B14" s="44">
        <v>786.02</v>
      </c>
      <c r="C14" s="42"/>
      <c r="D14" s="172"/>
    </row>
    <row r="15" spans="1:20" x14ac:dyDescent="0.2">
      <c r="A15" s="43">
        <v>20</v>
      </c>
      <c r="B15" s="44">
        <v>785.76</v>
      </c>
      <c r="C15" s="42"/>
      <c r="D15" s="172"/>
    </row>
    <row r="16" spans="1:20" x14ac:dyDescent="0.2">
      <c r="A16" s="43">
        <v>21</v>
      </c>
      <c r="B16" s="44">
        <v>785.59</v>
      </c>
      <c r="C16" s="42"/>
      <c r="D16" s="172"/>
    </row>
    <row r="17" spans="1:4" x14ac:dyDescent="0.2">
      <c r="A17" s="43">
        <v>22</v>
      </c>
      <c r="B17" s="44">
        <v>785.64</v>
      </c>
      <c r="C17" s="42"/>
      <c r="D17" s="172"/>
    </row>
    <row r="18" spans="1:4" x14ac:dyDescent="0.2">
      <c r="A18" s="43">
        <v>23</v>
      </c>
      <c r="B18" s="44">
        <v>785.49</v>
      </c>
      <c r="C18" s="42"/>
      <c r="D18" s="172"/>
    </row>
    <row r="19" spans="1:4" x14ac:dyDescent="0.2">
      <c r="A19" s="43">
        <v>24</v>
      </c>
      <c r="B19" s="44">
        <v>785.4</v>
      </c>
      <c r="C19" s="42"/>
      <c r="D19" s="172"/>
    </row>
    <row r="20" spans="1:4" x14ac:dyDescent="0.2">
      <c r="A20" s="43">
        <v>25</v>
      </c>
      <c r="B20" s="44">
        <v>784.84</v>
      </c>
      <c r="C20" s="42"/>
      <c r="D20" s="172"/>
    </row>
    <row r="21" spans="1:4" x14ac:dyDescent="0.2">
      <c r="A21" s="43">
        <v>26</v>
      </c>
      <c r="B21" s="44">
        <v>785.04</v>
      </c>
      <c r="C21" s="42"/>
      <c r="D21" s="172"/>
    </row>
    <row r="22" spans="1:4" x14ac:dyDescent="0.2">
      <c r="A22" s="43">
        <v>27</v>
      </c>
      <c r="B22" s="44">
        <v>785.04</v>
      </c>
      <c r="C22" s="42"/>
      <c r="D22" s="172"/>
    </row>
    <row r="23" spans="1:4" x14ac:dyDescent="0.2">
      <c r="A23" s="16">
        <v>28</v>
      </c>
      <c r="B23" s="46">
        <v>786.94</v>
      </c>
      <c r="C23" s="50" t="s">
        <v>10</v>
      </c>
      <c r="D23" s="172"/>
    </row>
    <row r="24" spans="1:4" x14ac:dyDescent="0.2">
      <c r="A24" s="43">
        <v>27.4</v>
      </c>
      <c r="B24" s="44">
        <v>789.44</v>
      </c>
      <c r="C24" s="45"/>
      <c r="D24" s="172"/>
    </row>
    <row r="25" spans="1:4" x14ac:dyDescent="0.2">
      <c r="A25" s="43">
        <v>29</v>
      </c>
      <c r="B25" s="44">
        <v>790.48</v>
      </c>
      <c r="C25" s="42" t="s">
        <v>5</v>
      </c>
      <c r="D25" s="172"/>
    </row>
    <row r="26" spans="1:4" s="7" customFormat="1" x14ac:dyDescent="0.2">
      <c r="A26" s="43"/>
      <c r="B26" s="44"/>
      <c r="C26" s="45"/>
      <c r="D26" s="172"/>
    </row>
    <row r="27" spans="1:4" x14ac:dyDescent="0.2">
      <c r="A27" s="43"/>
      <c r="B27" s="44"/>
      <c r="C27" s="45"/>
      <c r="D27" s="172"/>
    </row>
    <row r="28" spans="1:4" x14ac:dyDescent="0.2">
      <c r="A28" s="43"/>
      <c r="B28" s="44"/>
      <c r="C28" s="47"/>
      <c r="D28" s="172"/>
    </row>
    <row r="29" spans="1:4" ht="13.5" thickBot="1" x14ac:dyDescent="0.25">
      <c r="A29" s="6"/>
      <c r="B29" s="13"/>
      <c r="C29" s="26"/>
      <c r="D29" s="172"/>
    </row>
    <row r="30" spans="1:4" ht="20.100000000000001" customHeight="1" x14ac:dyDescent="0.2">
      <c r="A30" s="15">
        <v>14</v>
      </c>
      <c r="B30" s="19">
        <v>786.94</v>
      </c>
      <c r="C30" s="14" t="s">
        <v>9</v>
      </c>
      <c r="D30" s="173" t="s">
        <v>6</v>
      </c>
    </row>
    <row r="31" spans="1:4" ht="20.100000000000001" customHeight="1" thickBot="1" x14ac:dyDescent="0.25">
      <c r="A31" s="28">
        <v>28</v>
      </c>
      <c r="B31" s="33">
        <v>786.94</v>
      </c>
      <c r="C31" s="17" t="s">
        <v>10</v>
      </c>
      <c r="D31" s="173"/>
    </row>
    <row r="32" spans="1:4" ht="20.100000000000001" customHeight="1" thickBot="1" x14ac:dyDescent="0.25">
      <c r="A32" s="34">
        <v>27</v>
      </c>
      <c r="B32" s="35">
        <v>786.45500000000004</v>
      </c>
      <c r="C32" s="21" t="s">
        <v>8</v>
      </c>
      <c r="D32" s="173"/>
    </row>
    <row r="33" spans="1:5" ht="20.100000000000001" customHeight="1" thickBot="1" x14ac:dyDescent="0.25">
      <c r="A33" s="20">
        <v>27</v>
      </c>
      <c r="B33" s="36">
        <v>789.45500000000004</v>
      </c>
      <c r="C33" s="22" t="s">
        <v>8</v>
      </c>
      <c r="D33" s="173"/>
    </row>
    <row r="34" spans="1:5" ht="20.100000000000001" customHeight="1" x14ac:dyDescent="0.2">
      <c r="A34" s="15">
        <v>28</v>
      </c>
      <c r="B34" s="19">
        <v>788.85</v>
      </c>
      <c r="C34" s="23" t="s">
        <v>2</v>
      </c>
      <c r="D34" s="173"/>
    </row>
    <row r="35" spans="1:5" ht="20.100000000000001" customHeight="1" thickBot="1" x14ac:dyDescent="0.25">
      <c r="A35" s="28">
        <v>28</v>
      </c>
      <c r="B35" s="33">
        <v>790.37</v>
      </c>
      <c r="C35" s="8" t="s">
        <v>2</v>
      </c>
      <c r="D35" s="173"/>
    </row>
    <row r="36" spans="1:5" ht="13.5" thickBot="1" x14ac:dyDescent="0.25">
      <c r="A36" s="15">
        <v>0</v>
      </c>
      <c r="B36" s="27">
        <v>791.48</v>
      </c>
      <c r="C36" s="9" t="s">
        <v>7</v>
      </c>
      <c r="D36" s="1"/>
    </row>
    <row r="37" spans="1:5" ht="13.5" thickBot="1" x14ac:dyDescent="0.25">
      <c r="A37" s="28">
        <v>29</v>
      </c>
      <c r="B37" s="29">
        <v>790.48</v>
      </c>
      <c r="C37" s="9" t="s">
        <v>7</v>
      </c>
      <c r="D37" s="1"/>
    </row>
    <row r="38" spans="1:5" ht="16.5" thickBot="1" x14ac:dyDescent="0.3">
      <c r="A38" s="24" t="s">
        <v>12</v>
      </c>
      <c r="B38" s="4"/>
      <c r="C38" s="30">
        <v>0.51</v>
      </c>
      <c r="D38" s="1"/>
    </row>
    <row r="39" spans="1:5" ht="16.5" thickBot="1" x14ac:dyDescent="0.3">
      <c r="A39" s="10" t="s">
        <v>11</v>
      </c>
      <c r="B39" s="4"/>
      <c r="C39" s="18">
        <f>B32</f>
        <v>786.45500000000004</v>
      </c>
      <c r="D39" s="1"/>
    </row>
    <row r="40" spans="1:5" ht="20.25" customHeight="1" thickBot="1" x14ac:dyDescent="0.3">
      <c r="A40" s="10" t="s">
        <v>14</v>
      </c>
      <c r="C40" s="31">
        <f>B3</f>
        <v>791.2</v>
      </c>
      <c r="D40" s="1"/>
    </row>
    <row r="41" spans="1:5" ht="15.75" thickBot="1" x14ac:dyDescent="0.3">
      <c r="A41" s="24" t="s">
        <v>13</v>
      </c>
      <c r="C41" s="32"/>
      <c r="D41" s="1"/>
    </row>
    <row r="42" spans="1:5" x14ac:dyDescent="0.2">
      <c r="A42" s="3"/>
      <c r="B42" s="4"/>
      <c r="C42" s="5"/>
      <c r="D42" s="1"/>
    </row>
    <row r="43" spans="1:5" x14ac:dyDescent="0.2">
      <c r="A43" s="3"/>
      <c r="B43" s="4"/>
      <c r="C43" s="5"/>
      <c r="D43" s="1"/>
    </row>
    <row r="44" spans="1:5" x14ac:dyDescent="0.2">
      <c r="A44" s="3"/>
      <c r="B44" s="4"/>
      <c r="C44" s="5"/>
      <c r="D44" s="1"/>
    </row>
    <row r="45" spans="1:5" x14ac:dyDescent="0.2">
      <c r="A45" s="3"/>
      <c r="B45" s="4"/>
      <c r="C45" s="5"/>
      <c r="D45" s="1"/>
    </row>
    <row r="46" spans="1:5" ht="18" x14ac:dyDescent="0.25">
      <c r="C46" s="49" t="s">
        <v>16</v>
      </c>
      <c r="D46" s="48"/>
      <c r="E46" s="48"/>
    </row>
  </sheetData>
  <mergeCells count="3">
    <mergeCell ref="A1:Q1"/>
    <mergeCell ref="D2:D29"/>
    <mergeCell ref="D30:D35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T52"/>
  <sheetViews>
    <sheetView showGridLines="0" topLeftCell="A15" zoomScale="75" workbookViewId="0">
      <selection activeCell="B36" sqref="B36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51">
        <v>5</v>
      </c>
      <c r="B4" s="52">
        <v>790.51</v>
      </c>
      <c r="C4" s="42" t="s">
        <v>4</v>
      </c>
      <c r="D4" s="172"/>
    </row>
    <row r="5" spans="1:20" x14ac:dyDescent="0.2">
      <c r="A5" s="43">
        <v>6</v>
      </c>
      <c r="B5" s="44">
        <v>790.3</v>
      </c>
      <c r="C5" s="50"/>
      <c r="D5" s="172"/>
    </row>
    <row r="6" spans="1:20" x14ac:dyDescent="0.2">
      <c r="A6" s="43">
        <v>6</v>
      </c>
      <c r="B6" s="44">
        <v>789.01</v>
      </c>
      <c r="C6" s="42"/>
      <c r="D6" s="172"/>
    </row>
    <row r="7" spans="1:20" x14ac:dyDescent="0.2">
      <c r="A7" s="43">
        <v>8</v>
      </c>
      <c r="B7" s="44">
        <v>788.83</v>
      </c>
      <c r="C7" s="42"/>
      <c r="D7" s="172"/>
    </row>
    <row r="8" spans="1:20" x14ac:dyDescent="0.2">
      <c r="A8" s="43">
        <v>8</v>
      </c>
      <c r="B8" s="44">
        <v>788.18</v>
      </c>
      <c r="C8" s="45"/>
      <c r="D8" s="172"/>
    </row>
    <row r="9" spans="1:20" x14ac:dyDescent="0.2">
      <c r="A9" s="43">
        <v>9</v>
      </c>
      <c r="B9" s="44">
        <v>787.55</v>
      </c>
      <c r="C9" s="42"/>
      <c r="D9" s="172"/>
    </row>
    <row r="10" spans="1:20" x14ac:dyDescent="0.2">
      <c r="A10" s="16">
        <v>12</v>
      </c>
      <c r="B10" s="46">
        <v>786.98</v>
      </c>
      <c r="C10" s="50" t="s">
        <v>9</v>
      </c>
      <c r="D10" s="172"/>
    </row>
    <row r="11" spans="1:20" x14ac:dyDescent="0.2">
      <c r="A11" s="43">
        <v>16.5</v>
      </c>
      <c r="B11" s="44">
        <v>786.35</v>
      </c>
      <c r="C11" s="45"/>
      <c r="D11" s="172"/>
    </row>
    <row r="12" spans="1:20" x14ac:dyDescent="0.2">
      <c r="A12" s="43">
        <v>17.5</v>
      </c>
      <c r="B12" s="44">
        <v>786.13</v>
      </c>
      <c r="C12" s="42"/>
      <c r="D12" s="172"/>
    </row>
    <row r="13" spans="1:20" x14ac:dyDescent="0.2">
      <c r="A13" s="43">
        <v>18.5</v>
      </c>
      <c r="B13" s="44">
        <v>786.05</v>
      </c>
      <c r="C13" s="42"/>
      <c r="D13" s="172"/>
    </row>
    <row r="14" spans="1:20" x14ac:dyDescent="0.2">
      <c r="A14" s="43">
        <v>19.5</v>
      </c>
      <c r="B14" s="44">
        <v>785.88</v>
      </c>
      <c r="C14" s="42"/>
      <c r="D14" s="172"/>
    </row>
    <row r="15" spans="1:20" x14ac:dyDescent="0.2">
      <c r="A15" s="43">
        <v>20.5</v>
      </c>
      <c r="B15" s="44">
        <v>785.81</v>
      </c>
      <c r="C15" s="42"/>
      <c r="D15" s="172"/>
    </row>
    <row r="16" spans="1:20" x14ac:dyDescent="0.2">
      <c r="A16" s="43">
        <v>21.5</v>
      </c>
      <c r="B16" s="44">
        <v>785.68</v>
      </c>
      <c r="C16" s="42"/>
      <c r="D16" s="172"/>
    </row>
    <row r="17" spans="1:4" x14ac:dyDescent="0.2">
      <c r="A17" s="43">
        <v>22.5</v>
      </c>
      <c r="B17" s="44">
        <v>785.56</v>
      </c>
      <c r="C17" s="42"/>
      <c r="D17" s="172"/>
    </row>
    <row r="18" spans="1:4" x14ac:dyDescent="0.2">
      <c r="A18" s="43">
        <v>23.5</v>
      </c>
      <c r="B18" s="44">
        <v>785.5</v>
      </c>
      <c r="C18" s="42"/>
      <c r="D18" s="172"/>
    </row>
    <row r="19" spans="1:4" x14ac:dyDescent="0.2">
      <c r="A19" s="43">
        <v>24.5</v>
      </c>
      <c r="B19" s="44">
        <v>785.27</v>
      </c>
      <c r="C19" s="42"/>
      <c r="D19" s="172"/>
    </row>
    <row r="20" spans="1:4" x14ac:dyDescent="0.2">
      <c r="A20" s="43">
        <v>25.5</v>
      </c>
      <c r="B20" s="44">
        <v>785.1</v>
      </c>
      <c r="C20" s="42"/>
      <c r="D20" s="172"/>
    </row>
    <row r="21" spans="1:4" x14ac:dyDescent="0.2">
      <c r="A21" s="43">
        <v>26.5</v>
      </c>
      <c r="B21" s="44">
        <v>785</v>
      </c>
      <c r="C21" s="50"/>
      <c r="D21" s="172"/>
    </row>
    <row r="22" spans="1:4" x14ac:dyDescent="0.2">
      <c r="A22" s="43">
        <v>27</v>
      </c>
      <c r="B22" s="44">
        <v>786.77</v>
      </c>
      <c r="C22" s="42"/>
      <c r="D22" s="172"/>
    </row>
    <row r="23" spans="1:4" x14ac:dyDescent="0.2">
      <c r="A23" s="16">
        <v>27</v>
      </c>
      <c r="B23" s="46">
        <v>786.98</v>
      </c>
      <c r="C23" s="50" t="s">
        <v>10</v>
      </c>
      <c r="D23" s="172"/>
    </row>
    <row r="24" spans="1:4" x14ac:dyDescent="0.2">
      <c r="A24" s="43">
        <v>27</v>
      </c>
      <c r="B24" s="44">
        <v>790.03</v>
      </c>
      <c r="C24" s="42"/>
      <c r="D24" s="172"/>
    </row>
    <row r="25" spans="1:4" s="7" customFormat="1" x14ac:dyDescent="0.2">
      <c r="A25" s="43">
        <v>28.7</v>
      </c>
      <c r="B25" s="44">
        <v>788.42</v>
      </c>
      <c r="C25" s="45" t="s">
        <v>5</v>
      </c>
      <c r="D25" s="172"/>
    </row>
    <row r="26" spans="1:4" x14ac:dyDescent="0.2">
      <c r="A26" s="43"/>
      <c r="B26" s="44"/>
      <c r="C26" s="45"/>
      <c r="D26" s="172"/>
    </row>
    <row r="27" spans="1:4" x14ac:dyDescent="0.2">
      <c r="A27" s="43"/>
      <c r="B27" s="44"/>
      <c r="C27" s="42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12</v>
      </c>
      <c r="B36" s="46">
        <v>786.98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</v>
      </c>
      <c r="B37" s="46">
        <v>786.98</v>
      </c>
      <c r="C37" s="17" t="s">
        <v>10</v>
      </c>
      <c r="D37" s="173"/>
    </row>
    <row r="38" spans="1:4" ht="20.100000000000001" customHeight="1" thickBot="1" x14ac:dyDescent="0.25">
      <c r="A38" s="34">
        <v>25</v>
      </c>
      <c r="B38" s="35">
        <v>786.43799999999999</v>
      </c>
      <c r="C38" s="21" t="s">
        <v>8</v>
      </c>
      <c r="D38" s="173"/>
    </row>
    <row r="39" spans="1:4" ht="20.100000000000001" customHeight="1" thickBot="1" x14ac:dyDescent="0.25">
      <c r="A39" s="20">
        <v>25</v>
      </c>
      <c r="B39" s="36">
        <v>789.45500000000004</v>
      </c>
      <c r="C39" s="22" t="s">
        <v>8</v>
      </c>
      <c r="D39" s="173"/>
    </row>
    <row r="40" spans="1:4" ht="20.100000000000001" customHeight="1" x14ac:dyDescent="0.2">
      <c r="A40" s="15">
        <v>27</v>
      </c>
      <c r="B40" s="19">
        <v>788.85699999999997</v>
      </c>
      <c r="C40" s="23" t="s">
        <v>2</v>
      </c>
      <c r="D40" s="173"/>
    </row>
    <row r="41" spans="1:4" ht="20.100000000000001" customHeight="1" thickBot="1" x14ac:dyDescent="0.25">
      <c r="A41" s="28">
        <v>27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1.2</v>
      </c>
      <c r="B42" s="52">
        <v>793.58</v>
      </c>
      <c r="C42" s="9" t="s">
        <v>7</v>
      </c>
      <c r="D42" s="1"/>
    </row>
    <row r="43" spans="1:4" ht="13.5" thickBot="1" x14ac:dyDescent="0.25">
      <c r="A43" s="16">
        <v>29.2</v>
      </c>
      <c r="B43" s="46">
        <v>793.94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0.62</v>
      </c>
      <c r="D44" s="1"/>
    </row>
    <row r="45" spans="1:4" ht="16.5" thickBot="1" x14ac:dyDescent="0.3">
      <c r="A45" s="10" t="s">
        <v>11</v>
      </c>
      <c r="B45" s="4"/>
      <c r="C45" s="18">
        <f>B38</f>
        <v>786.43799999999999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T52"/>
  <sheetViews>
    <sheetView showGridLines="0" topLeftCell="A4" zoomScale="75" workbookViewId="0">
      <selection activeCell="A36" sqref="A36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51">
        <v>0</v>
      </c>
      <c r="B4" s="52">
        <v>793.15</v>
      </c>
      <c r="C4" s="42" t="s">
        <v>4</v>
      </c>
      <c r="D4" s="172"/>
    </row>
    <row r="5" spans="1:20" x14ac:dyDescent="0.2">
      <c r="A5" s="43">
        <v>0.75</v>
      </c>
      <c r="B5" s="44">
        <v>791.97</v>
      </c>
      <c r="C5" s="50"/>
      <c r="D5" s="172"/>
    </row>
    <row r="6" spans="1:20" x14ac:dyDescent="0.2">
      <c r="A6" s="43">
        <v>1.3</v>
      </c>
      <c r="B6" s="44">
        <v>792.18</v>
      </c>
      <c r="C6" s="42"/>
      <c r="D6" s="172"/>
    </row>
    <row r="7" spans="1:20" x14ac:dyDescent="0.2">
      <c r="A7" s="43">
        <v>2</v>
      </c>
      <c r="B7" s="44">
        <v>791.3</v>
      </c>
      <c r="C7" s="42"/>
      <c r="D7" s="172"/>
    </row>
    <row r="8" spans="1:20" x14ac:dyDescent="0.2">
      <c r="A8" s="43">
        <v>5.0999999999999996</v>
      </c>
      <c r="B8" s="44">
        <v>790.7</v>
      </c>
      <c r="C8" s="45"/>
      <c r="D8" s="172"/>
    </row>
    <row r="9" spans="1:20" x14ac:dyDescent="0.2">
      <c r="A9" s="43">
        <v>6</v>
      </c>
      <c r="B9" s="44">
        <v>789.97</v>
      </c>
      <c r="C9" s="42"/>
      <c r="D9" s="172"/>
    </row>
    <row r="10" spans="1:20" x14ac:dyDescent="0.2">
      <c r="A10" s="43">
        <v>6</v>
      </c>
      <c r="B10" s="44">
        <v>788.9</v>
      </c>
      <c r="C10" s="50"/>
      <c r="D10" s="172"/>
    </row>
    <row r="11" spans="1:20" x14ac:dyDescent="0.2">
      <c r="A11" s="43">
        <v>7.3</v>
      </c>
      <c r="B11" s="44">
        <v>788.07</v>
      </c>
      <c r="C11" s="45"/>
      <c r="D11" s="172"/>
    </row>
    <row r="12" spans="1:20" x14ac:dyDescent="0.2">
      <c r="A12" s="43">
        <v>9.6999999999999993</v>
      </c>
      <c r="B12" s="44">
        <v>787.32</v>
      </c>
      <c r="C12" s="42"/>
      <c r="D12" s="172"/>
    </row>
    <row r="13" spans="1:20" x14ac:dyDescent="0.2">
      <c r="A13" s="16">
        <v>13.7</v>
      </c>
      <c r="B13" s="46">
        <v>786.92</v>
      </c>
      <c r="C13" s="42" t="s">
        <v>9</v>
      </c>
      <c r="D13" s="172"/>
    </row>
    <row r="14" spans="1:20" x14ac:dyDescent="0.2">
      <c r="A14" s="43">
        <v>18</v>
      </c>
      <c r="B14" s="44">
        <v>786.42</v>
      </c>
      <c r="C14" s="42"/>
      <c r="D14" s="172"/>
    </row>
    <row r="15" spans="1:20" x14ac:dyDescent="0.2">
      <c r="A15" s="43">
        <v>19</v>
      </c>
      <c r="B15" s="44">
        <v>786.22</v>
      </c>
      <c r="C15" s="42"/>
      <c r="D15" s="172"/>
    </row>
    <row r="16" spans="1:20" x14ac:dyDescent="0.2">
      <c r="A16" s="43">
        <v>20</v>
      </c>
      <c r="B16" s="44">
        <v>786.01</v>
      </c>
      <c r="C16" s="42"/>
      <c r="D16" s="172"/>
    </row>
    <row r="17" spans="1:4" x14ac:dyDescent="0.2">
      <c r="A17" s="43">
        <v>21</v>
      </c>
      <c r="B17" s="44">
        <v>785.96</v>
      </c>
      <c r="C17" s="42"/>
      <c r="D17" s="172"/>
    </row>
    <row r="18" spans="1:4" x14ac:dyDescent="0.2">
      <c r="A18" s="43">
        <v>22</v>
      </c>
      <c r="B18" s="44">
        <v>785.74</v>
      </c>
      <c r="C18" s="42"/>
      <c r="D18" s="172"/>
    </row>
    <row r="19" spans="1:4" x14ac:dyDescent="0.2">
      <c r="A19" s="43">
        <v>23</v>
      </c>
      <c r="B19" s="44">
        <v>785.63</v>
      </c>
      <c r="C19" s="42"/>
      <c r="D19" s="172"/>
    </row>
    <row r="20" spans="1:4" x14ac:dyDescent="0.2">
      <c r="A20" s="43">
        <v>24</v>
      </c>
      <c r="B20" s="44">
        <v>785.4</v>
      </c>
      <c r="C20" s="42"/>
      <c r="D20" s="172"/>
    </row>
    <row r="21" spans="1:4" x14ac:dyDescent="0.2">
      <c r="A21" s="43">
        <v>25</v>
      </c>
      <c r="B21" s="44">
        <v>785.22</v>
      </c>
      <c r="C21" s="50"/>
      <c r="D21" s="172"/>
    </row>
    <row r="22" spans="1:4" x14ac:dyDescent="0.2">
      <c r="A22" s="43">
        <v>26</v>
      </c>
      <c r="B22" s="44">
        <v>785</v>
      </c>
      <c r="C22" s="42"/>
      <c r="D22" s="172"/>
    </row>
    <row r="23" spans="1:4" x14ac:dyDescent="0.2">
      <c r="A23" s="16">
        <v>27.7</v>
      </c>
      <c r="B23" s="46">
        <v>786.92</v>
      </c>
      <c r="C23" s="50" t="s">
        <v>10</v>
      </c>
      <c r="D23" s="172"/>
    </row>
    <row r="24" spans="1:4" x14ac:dyDescent="0.2">
      <c r="A24" s="43">
        <v>27.7</v>
      </c>
      <c r="B24" s="44">
        <v>789</v>
      </c>
      <c r="C24" s="42"/>
      <c r="D24" s="172"/>
    </row>
    <row r="25" spans="1:4" s="7" customFormat="1" x14ac:dyDescent="0.2">
      <c r="A25" s="43">
        <v>27.7</v>
      </c>
      <c r="B25" s="44">
        <v>789.15</v>
      </c>
      <c r="C25" s="45"/>
      <c r="D25" s="172"/>
    </row>
    <row r="26" spans="1:4" x14ac:dyDescent="0.2">
      <c r="A26" s="43">
        <v>28.8</v>
      </c>
      <c r="B26" s="44">
        <v>790.28</v>
      </c>
      <c r="C26" s="45"/>
      <c r="D26" s="172"/>
    </row>
    <row r="27" spans="1:4" x14ac:dyDescent="0.2">
      <c r="A27" s="43">
        <v>29.8</v>
      </c>
      <c r="B27" s="44">
        <v>791.45</v>
      </c>
      <c r="C27" s="42"/>
      <c r="D27" s="172"/>
    </row>
    <row r="28" spans="1:4" x14ac:dyDescent="0.2">
      <c r="A28" s="43">
        <v>30.7</v>
      </c>
      <c r="B28" s="44">
        <v>791.85</v>
      </c>
      <c r="C28" s="42"/>
      <c r="D28" s="172"/>
    </row>
    <row r="29" spans="1:4" x14ac:dyDescent="0.2">
      <c r="A29" s="43">
        <v>31.2</v>
      </c>
      <c r="B29" s="44">
        <v>792.33</v>
      </c>
      <c r="C29" s="42"/>
      <c r="D29" s="172"/>
    </row>
    <row r="30" spans="1:4" x14ac:dyDescent="0.2">
      <c r="A30" s="43">
        <v>31.2</v>
      </c>
      <c r="B30" s="44">
        <v>791.86</v>
      </c>
      <c r="C30" s="42" t="s">
        <v>5</v>
      </c>
      <c r="D30" s="172"/>
    </row>
    <row r="31" spans="1:4" x14ac:dyDescent="0.2">
      <c r="A31" s="43">
        <v>31.2</v>
      </c>
      <c r="B31" s="44">
        <v>795.56</v>
      </c>
      <c r="C31" s="42" t="s">
        <v>24</v>
      </c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13.7</v>
      </c>
      <c r="B36" s="46">
        <v>786.92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27.7</v>
      </c>
      <c r="B37" s="46">
        <v>786.92</v>
      </c>
      <c r="C37" s="17" t="s">
        <v>10</v>
      </c>
      <c r="D37" s="173"/>
    </row>
    <row r="38" spans="1:4" ht="20.100000000000001" customHeight="1" thickBot="1" x14ac:dyDescent="0.25">
      <c r="A38" s="34">
        <v>26.8</v>
      </c>
      <c r="B38" s="35">
        <v>786.41399999999999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789.45500000000004</v>
      </c>
      <c r="C39" s="22" t="s">
        <v>8</v>
      </c>
      <c r="D39" s="173"/>
    </row>
    <row r="40" spans="1:4" ht="20.100000000000001" customHeight="1" x14ac:dyDescent="0.2">
      <c r="A40" s="15">
        <v>27</v>
      </c>
      <c r="B40" s="19">
        <v>788.85</v>
      </c>
      <c r="C40" s="23" t="s">
        <v>2</v>
      </c>
      <c r="D40" s="173"/>
    </row>
    <row r="41" spans="1:4" ht="20.100000000000001" customHeight="1" thickBot="1" x14ac:dyDescent="0.25">
      <c r="A41" s="28">
        <v>27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1.2</v>
      </c>
      <c r="B42" s="52">
        <v>793.58</v>
      </c>
      <c r="C42" s="9" t="s">
        <v>7</v>
      </c>
      <c r="D42" s="1"/>
    </row>
    <row r="43" spans="1:4" ht="13.5" thickBot="1" x14ac:dyDescent="0.25">
      <c r="A43" s="16">
        <v>29.2</v>
      </c>
      <c r="B43" s="46">
        <v>793.94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0.36</v>
      </c>
      <c r="D44" s="1"/>
    </row>
    <row r="45" spans="1:4" ht="16.5" thickBot="1" x14ac:dyDescent="0.3">
      <c r="A45" s="10" t="s">
        <v>11</v>
      </c>
      <c r="B45" s="4"/>
      <c r="C45" s="18">
        <f>B38</f>
        <v>786.41399999999999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T52"/>
  <sheetViews>
    <sheetView showGridLines="0" topLeftCell="A7" zoomScale="75" workbookViewId="0">
      <selection activeCell="C44" sqref="C4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3</v>
      </c>
      <c r="B4" s="41">
        <v>791.57</v>
      </c>
      <c r="C4" s="42" t="s">
        <v>4</v>
      </c>
      <c r="D4" s="172"/>
    </row>
    <row r="5" spans="1:20" x14ac:dyDescent="0.2">
      <c r="A5" s="43">
        <v>3.6</v>
      </c>
      <c r="B5" s="44">
        <v>791.04</v>
      </c>
      <c r="C5" s="50"/>
      <c r="D5" s="172"/>
    </row>
    <row r="6" spans="1:20" x14ac:dyDescent="0.2">
      <c r="A6" s="43">
        <v>6.6</v>
      </c>
      <c r="B6" s="44">
        <v>790.35</v>
      </c>
      <c r="C6" s="42"/>
      <c r="D6" s="172"/>
    </row>
    <row r="7" spans="1:20" x14ac:dyDescent="0.2">
      <c r="A7" s="43">
        <v>6.6</v>
      </c>
      <c r="B7" s="44">
        <v>789.09</v>
      </c>
      <c r="C7" s="42"/>
      <c r="D7" s="172"/>
    </row>
    <row r="8" spans="1:20" x14ac:dyDescent="0.2">
      <c r="A8" s="43">
        <v>9.6</v>
      </c>
      <c r="B8" s="44">
        <v>788.21</v>
      </c>
      <c r="C8" s="45"/>
      <c r="D8" s="172"/>
    </row>
    <row r="9" spans="1:20" x14ac:dyDescent="0.2">
      <c r="A9" s="16">
        <v>13</v>
      </c>
      <c r="B9" s="46">
        <v>786.81</v>
      </c>
      <c r="C9" s="53" t="s">
        <v>9</v>
      </c>
      <c r="D9" s="172"/>
    </row>
    <row r="10" spans="1:20" x14ac:dyDescent="0.2">
      <c r="A10" s="43">
        <v>15</v>
      </c>
      <c r="B10" s="44">
        <v>786.53</v>
      </c>
      <c r="C10" s="50"/>
      <c r="D10" s="172"/>
    </row>
    <row r="11" spans="1:20" x14ac:dyDescent="0.2">
      <c r="A11" s="43">
        <v>16</v>
      </c>
      <c r="B11" s="44">
        <v>786.51</v>
      </c>
      <c r="C11" s="45"/>
      <c r="D11" s="172"/>
    </row>
    <row r="12" spans="1:20" x14ac:dyDescent="0.2">
      <c r="A12" s="43">
        <v>17</v>
      </c>
      <c r="B12" s="44">
        <v>786.4</v>
      </c>
      <c r="C12" s="42"/>
      <c r="D12" s="172"/>
    </row>
    <row r="13" spans="1:20" x14ac:dyDescent="0.2">
      <c r="A13" s="43">
        <v>18</v>
      </c>
      <c r="B13" s="44">
        <v>786.11</v>
      </c>
      <c r="C13" s="42"/>
      <c r="D13" s="172"/>
    </row>
    <row r="14" spans="1:20" x14ac:dyDescent="0.2">
      <c r="A14" s="43">
        <v>19</v>
      </c>
      <c r="B14" s="44">
        <v>785.91</v>
      </c>
      <c r="C14" s="42"/>
      <c r="D14" s="172"/>
    </row>
    <row r="15" spans="1:20" x14ac:dyDescent="0.2">
      <c r="A15" s="43">
        <v>20</v>
      </c>
      <c r="B15" s="44">
        <v>785.69</v>
      </c>
      <c r="C15" s="42"/>
      <c r="D15" s="172"/>
    </row>
    <row r="16" spans="1:20" x14ac:dyDescent="0.2">
      <c r="A16" s="43">
        <v>21</v>
      </c>
      <c r="B16" s="44">
        <v>785.61</v>
      </c>
      <c r="C16" s="42"/>
      <c r="D16" s="172"/>
    </row>
    <row r="17" spans="1:4" x14ac:dyDescent="0.2">
      <c r="A17" s="43">
        <v>22</v>
      </c>
      <c r="B17" s="44">
        <v>785.51</v>
      </c>
      <c r="C17" s="42"/>
      <c r="D17" s="172"/>
    </row>
    <row r="18" spans="1:4" x14ac:dyDescent="0.2">
      <c r="A18" s="43">
        <v>23</v>
      </c>
      <c r="B18" s="44">
        <v>785.47</v>
      </c>
      <c r="C18" s="42"/>
      <c r="D18" s="172"/>
    </row>
    <row r="19" spans="1:4" x14ac:dyDescent="0.2">
      <c r="A19" s="43">
        <v>24</v>
      </c>
      <c r="B19" s="44">
        <v>785.36</v>
      </c>
      <c r="C19" s="42"/>
      <c r="D19" s="172"/>
    </row>
    <row r="20" spans="1:4" x14ac:dyDescent="0.2">
      <c r="A20" s="43">
        <v>25</v>
      </c>
      <c r="B20" s="44">
        <v>785.31</v>
      </c>
      <c r="C20" s="42"/>
      <c r="D20" s="172"/>
    </row>
    <row r="21" spans="1:4" x14ac:dyDescent="0.2">
      <c r="A21" s="43">
        <v>26</v>
      </c>
      <c r="B21" s="44">
        <v>785.05</v>
      </c>
      <c r="C21" s="50"/>
      <c r="D21" s="172"/>
    </row>
    <row r="22" spans="1:4" x14ac:dyDescent="0.2">
      <c r="A22" s="43">
        <v>27</v>
      </c>
      <c r="B22" s="44">
        <v>786.51</v>
      </c>
      <c r="C22" s="42"/>
      <c r="D22" s="172"/>
    </row>
    <row r="23" spans="1:4" x14ac:dyDescent="0.2">
      <c r="A23" s="16">
        <v>27</v>
      </c>
      <c r="B23" s="46">
        <v>786.81</v>
      </c>
      <c r="C23" s="53" t="s">
        <v>10</v>
      </c>
      <c r="D23" s="172"/>
    </row>
    <row r="24" spans="1:4" x14ac:dyDescent="0.2">
      <c r="A24" s="43">
        <v>28.7</v>
      </c>
      <c r="B24" s="44">
        <v>791.21</v>
      </c>
      <c r="C24" s="42" t="s">
        <v>5</v>
      </c>
      <c r="D24" s="172"/>
    </row>
    <row r="25" spans="1:4" s="7" customFormat="1" x14ac:dyDescent="0.2">
      <c r="A25" s="43"/>
      <c r="B25" s="44"/>
      <c r="C25" s="45"/>
      <c r="D25" s="172"/>
    </row>
    <row r="26" spans="1:4" x14ac:dyDescent="0.2">
      <c r="A26" s="43"/>
      <c r="B26" s="44"/>
      <c r="C26" s="42"/>
      <c r="D26" s="172"/>
    </row>
    <row r="27" spans="1:4" x14ac:dyDescent="0.2">
      <c r="A27" s="43"/>
      <c r="B27" s="44"/>
      <c r="C27" s="42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13</v>
      </c>
      <c r="B36" s="46">
        <v>786.81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</v>
      </c>
      <c r="B37" s="46">
        <v>786.81</v>
      </c>
      <c r="C37" s="17" t="s">
        <v>10</v>
      </c>
      <c r="D37" s="173"/>
    </row>
    <row r="38" spans="1:4" ht="20.100000000000001" customHeight="1" thickBot="1" x14ac:dyDescent="0.25">
      <c r="A38" s="34">
        <v>25.8</v>
      </c>
      <c r="B38" s="35">
        <v>786.39</v>
      </c>
      <c r="C38" s="21" t="s">
        <v>8</v>
      </c>
      <c r="D38" s="173"/>
    </row>
    <row r="39" spans="1:4" ht="20.100000000000001" customHeight="1" thickBot="1" x14ac:dyDescent="0.25">
      <c r="A39" s="20">
        <v>25.8</v>
      </c>
      <c r="B39" s="36">
        <v>789.39</v>
      </c>
      <c r="C39" s="22" t="s">
        <v>8</v>
      </c>
      <c r="D39" s="173"/>
    </row>
    <row r="40" spans="1:4" ht="20.100000000000001" customHeight="1" x14ac:dyDescent="0.2">
      <c r="A40" s="15">
        <v>27</v>
      </c>
      <c r="B40" s="19">
        <v>788.82</v>
      </c>
      <c r="C40" s="23" t="s">
        <v>2</v>
      </c>
      <c r="D40" s="173"/>
    </row>
    <row r="41" spans="1:4" ht="20.100000000000001" customHeight="1" thickBot="1" x14ac:dyDescent="0.25">
      <c r="A41" s="28">
        <v>27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1.2</v>
      </c>
      <c r="B42" s="52">
        <v>793.58</v>
      </c>
      <c r="C42" s="9" t="s">
        <v>7</v>
      </c>
      <c r="D42" s="1"/>
    </row>
    <row r="43" spans="1:4" ht="13.5" thickBot="1" x14ac:dyDescent="0.25">
      <c r="A43" s="16">
        <v>29.2</v>
      </c>
      <c r="B43" s="46">
        <v>793.94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0.52</v>
      </c>
      <c r="D44" s="1"/>
    </row>
    <row r="45" spans="1:4" ht="16.5" thickBot="1" x14ac:dyDescent="0.3">
      <c r="A45" s="10" t="s">
        <v>11</v>
      </c>
      <c r="B45" s="4"/>
      <c r="C45" s="18">
        <f>B38</f>
        <v>786.39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T52"/>
  <sheetViews>
    <sheetView showGridLines="0"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5</v>
      </c>
      <c r="B4" s="41">
        <v>790.6</v>
      </c>
      <c r="C4" s="42" t="s">
        <v>4</v>
      </c>
      <c r="D4" s="172"/>
    </row>
    <row r="5" spans="1:20" x14ac:dyDescent="0.2">
      <c r="A5" s="43">
        <v>6</v>
      </c>
      <c r="B5" s="44">
        <v>790.3</v>
      </c>
      <c r="C5" s="50"/>
      <c r="D5" s="172"/>
    </row>
    <row r="6" spans="1:20" x14ac:dyDescent="0.2">
      <c r="A6" s="43">
        <v>6</v>
      </c>
      <c r="B6" s="44">
        <v>789</v>
      </c>
      <c r="C6" s="42"/>
      <c r="D6" s="172"/>
    </row>
    <row r="7" spans="1:20" x14ac:dyDescent="0.2">
      <c r="A7" s="43">
        <v>8</v>
      </c>
      <c r="B7" s="44">
        <v>788.87</v>
      </c>
      <c r="C7" s="42"/>
      <c r="D7" s="172"/>
    </row>
    <row r="8" spans="1:20" x14ac:dyDescent="0.2">
      <c r="A8" s="43">
        <v>8</v>
      </c>
      <c r="B8" s="44">
        <v>788.07</v>
      </c>
      <c r="C8" s="45"/>
      <c r="D8" s="172"/>
    </row>
    <row r="9" spans="1:20" x14ac:dyDescent="0.2">
      <c r="A9" s="43">
        <v>9</v>
      </c>
      <c r="B9" s="44">
        <v>787.57</v>
      </c>
      <c r="C9" s="42"/>
      <c r="D9" s="172"/>
    </row>
    <row r="10" spans="1:20" x14ac:dyDescent="0.2">
      <c r="A10" s="16">
        <v>13</v>
      </c>
      <c r="B10" s="46">
        <v>787.16</v>
      </c>
      <c r="C10" s="50" t="s">
        <v>9</v>
      </c>
      <c r="D10" s="172"/>
    </row>
    <row r="11" spans="1:20" x14ac:dyDescent="0.2">
      <c r="A11" s="43">
        <v>13</v>
      </c>
      <c r="B11" s="44">
        <v>786.76</v>
      </c>
      <c r="C11" s="45"/>
      <c r="D11" s="172"/>
    </row>
    <row r="12" spans="1:20" x14ac:dyDescent="0.2">
      <c r="A12" s="43">
        <v>14</v>
      </c>
      <c r="B12" s="44">
        <v>786.66</v>
      </c>
      <c r="C12" s="42"/>
      <c r="D12" s="172"/>
    </row>
    <row r="13" spans="1:20" x14ac:dyDescent="0.2">
      <c r="A13" s="43">
        <v>15</v>
      </c>
      <c r="B13" s="44">
        <v>786.52</v>
      </c>
      <c r="C13" s="42"/>
      <c r="D13" s="172"/>
    </row>
    <row r="14" spans="1:20" x14ac:dyDescent="0.2">
      <c r="A14" s="43">
        <v>16</v>
      </c>
      <c r="B14" s="44">
        <v>786.46</v>
      </c>
      <c r="C14" s="42"/>
      <c r="D14" s="172"/>
    </row>
    <row r="15" spans="1:20" x14ac:dyDescent="0.2">
      <c r="A15" s="43">
        <v>17</v>
      </c>
      <c r="B15" s="44">
        <v>786.41</v>
      </c>
      <c r="C15" s="42"/>
      <c r="D15" s="172"/>
    </row>
    <row r="16" spans="1:20" x14ac:dyDescent="0.2">
      <c r="A16" s="43">
        <v>18</v>
      </c>
      <c r="B16" s="44">
        <v>786.25</v>
      </c>
      <c r="C16" s="42"/>
      <c r="D16" s="172"/>
    </row>
    <row r="17" spans="1:4" x14ac:dyDescent="0.2">
      <c r="A17" s="43">
        <v>19</v>
      </c>
      <c r="B17" s="44">
        <v>786.07</v>
      </c>
      <c r="C17" s="42"/>
      <c r="D17" s="172"/>
    </row>
    <row r="18" spans="1:4" x14ac:dyDescent="0.2">
      <c r="A18" s="43">
        <v>20</v>
      </c>
      <c r="B18" s="44">
        <v>785.86</v>
      </c>
      <c r="C18" s="42"/>
      <c r="D18" s="172"/>
    </row>
    <row r="19" spans="1:4" x14ac:dyDescent="0.2">
      <c r="A19" s="43">
        <v>21</v>
      </c>
      <c r="B19" s="44">
        <v>785.71</v>
      </c>
      <c r="C19" s="42"/>
      <c r="D19" s="172"/>
    </row>
    <row r="20" spans="1:4" x14ac:dyDescent="0.2">
      <c r="A20" s="43">
        <v>22</v>
      </c>
      <c r="B20" s="44">
        <v>785.71</v>
      </c>
      <c r="C20" s="42"/>
      <c r="D20" s="172"/>
    </row>
    <row r="21" spans="1:4" x14ac:dyDescent="0.2">
      <c r="A21" s="43">
        <v>23</v>
      </c>
      <c r="B21" s="44">
        <v>785.41</v>
      </c>
      <c r="C21" s="50"/>
      <c r="D21" s="172"/>
    </row>
    <row r="22" spans="1:4" x14ac:dyDescent="0.2">
      <c r="A22" s="43">
        <v>24</v>
      </c>
      <c r="B22" s="44">
        <v>785.35</v>
      </c>
      <c r="C22" s="42"/>
      <c r="D22" s="172"/>
    </row>
    <row r="23" spans="1:4" x14ac:dyDescent="0.2">
      <c r="A23" s="43">
        <v>26.8</v>
      </c>
      <c r="B23" s="44">
        <v>785.61</v>
      </c>
      <c r="C23" s="50"/>
      <c r="D23" s="172"/>
    </row>
    <row r="24" spans="1:4" x14ac:dyDescent="0.2">
      <c r="A24" s="16">
        <v>26.8</v>
      </c>
      <c r="B24" s="46">
        <v>787.16</v>
      </c>
      <c r="C24" s="53" t="s">
        <v>10</v>
      </c>
      <c r="D24" s="172"/>
    </row>
    <row r="25" spans="1:4" s="7" customFormat="1" x14ac:dyDescent="0.2">
      <c r="A25" s="43">
        <v>27</v>
      </c>
      <c r="B25" s="44">
        <v>787.92</v>
      </c>
      <c r="C25" s="45"/>
      <c r="D25" s="172"/>
    </row>
    <row r="26" spans="1:4" x14ac:dyDescent="0.2">
      <c r="A26" s="43">
        <v>29</v>
      </c>
      <c r="B26" s="44">
        <v>791.08</v>
      </c>
      <c r="C26" s="42" t="s">
        <v>5</v>
      </c>
      <c r="D26" s="172"/>
    </row>
    <row r="27" spans="1:4" x14ac:dyDescent="0.2">
      <c r="A27" s="43"/>
      <c r="B27" s="44"/>
      <c r="C27" s="42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13</v>
      </c>
      <c r="B36" s="46">
        <v>787.16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26.8</v>
      </c>
      <c r="B37" s="46">
        <v>787.16</v>
      </c>
      <c r="C37" s="17" t="s">
        <v>10</v>
      </c>
      <c r="D37" s="173"/>
    </row>
    <row r="38" spans="1:4" ht="20.100000000000001" customHeight="1" thickBot="1" x14ac:dyDescent="0.25">
      <c r="A38" s="34">
        <v>25.8</v>
      </c>
      <c r="B38" s="35">
        <v>786.43</v>
      </c>
      <c r="C38" s="21" t="s">
        <v>8</v>
      </c>
      <c r="D38" s="173"/>
    </row>
    <row r="39" spans="1:4" ht="20.100000000000001" customHeight="1" thickBot="1" x14ac:dyDescent="0.25">
      <c r="A39" s="20">
        <v>25.8</v>
      </c>
      <c r="B39" s="36">
        <v>788.43</v>
      </c>
      <c r="C39" s="22" t="s">
        <v>8</v>
      </c>
      <c r="D39" s="173"/>
    </row>
    <row r="40" spans="1:4" ht="20.100000000000001" customHeight="1" x14ac:dyDescent="0.2">
      <c r="A40" s="15">
        <v>27</v>
      </c>
      <c r="B40" s="19">
        <v>788.85299999999995</v>
      </c>
      <c r="C40" s="23" t="s">
        <v>2</v>
      </c>
      <c r="D40" s="173"/>
    </row>
    <row r="41" spans="1:4" ht="20.100000000000001" customHeight="1" thickBot="1" x14ac:dyDescent="0.25">
      <c r="A41" s="28">
        <v>27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1.2</v>
      </c>
      <c r="B42" s="52">
        <v>793.58</v>
      </c>
      <c r="C42" s="9" t="s">
        <v>7</v>
      </c>
      <c r="D42" s="1"/>
    </row>
    <row r="43" spans="1:4" ht="13.5" thickBot="1" x14ac:dyDescent="0.25">
      <c r="A43" s="16">
        <v>29.2</v>
      </c>
      <c r="B43" s="46">
        <v>793.94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0.72</v>
      </c>
      <c r="D44" s="1"/>
    </row>
    <row r="45" spans="1:4" ht="16.5" thickBot="1" x14ac:dyDescent="0.3">
      <c r="A45" s="10" t="s">
        <v>11</v>
      </c>
      <c r="B45" s="4"/>
      <c r="C45" s="18">
        <f>B38</f>
        <v>786.43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T52"/>
  <sheetViews>
    <sheetView showGridLines="0"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791.85</v>
      </c>
      <c r="C3" s="39" t="s">
        <v>17</v>
      </c>
      <c r="D3" s="172"/>
    </row>
    <row r="4" spans="1:20" x14ac:dyDescent="0.2">
      <c r="A4" s="40">
        <v>1.5</v>
      </c>
      <c r="B4" s="41">
        <v>793.1</v>
      </c>
      <c r="C4" s="42" t="s">
        <v>4</v>
      </c>
      <c r="D4" s="172"/>
    </row>
    <row r="5" spans="1:20" x14ac:dyDescent="0.2">
      <c r="A5" s="43">
        <v>2.8</v>
      </c>
      <c r="B5" s="44">
        <v>792.37</v>
      </c>
      <c r="C5" s="50"/>
      <c r="D5" s="172"/>
    </row>
    <row r="6" spans="1:20" x14ac:dyDescent="0.2">
      <c r="A6" s="43">
        <v>3.1</v>
      </c>
      <c r="B6" s="44">
        <v>791.42</v>
      </c>
      <c r="C6" s="42"/>
      <c r="D6" s="172"/>
    </row>
    <row r="7" spans="1:20" x14ac:dyDescent="0.2">
      <c r="A7" s="43">
        <v>5.0999999999999996</v>
      </c>
      <c r="B7" s="44">
        <v>790.65</v>
      </c>
      <c r="C7" s="42"/>
      <c r="D7" s="172"/>
    </row>
    <row r="8" spans="1:20" x14ac:dyDescent="0.2">
      <c r="A8" s="43">
        <v>6.6</v>
      </c>
      <c r="B8" s="44">
        <v>789.71</v>
      </c>
      <c r="C8" s="45"/>
      <c r="D8" s="172"/>
    </row>
    <row r="9" spans="1:20" x14ac:dyDescent="0.2">
      <c r="A9" s="43">
        <v>6.6</v>
      </c>
      <c r="B9" s="44">
        <v>788.83</v>
      </c>
      <c r="C9" s="42"/>
      <c r="D9" s="172"/>
    </row>
    <row r="10" spans="1:20" x14ac:dyDescent="0.2">
      <c r="A10" s="43">
        <v>8.6</v>
      </c>
      <c r="B10" s="44">
        <v>788.48</v>
      </c>
      <c r="C10" s="50"/>
      <c r="D10" s="172"/>
    </row>
    <row r="11" spans="1:20" x14ac:dyDescent="0.2">
      <c r="A11" s="43">
        <v>8.6</v>
      </c>
      <c r="B11" s="44">
        <v>787.48</v>
      </c>
      <c r="C11" s="45"/>
      <c r="D11" s="172"/>
    </row>
    <row r="12" spans="1:20" x14ac:dyDescent="0.2">
      <c r="A12" s="16">
        <v>11.1</v>
      </c>
      <c r="B12" s="46">
        <v>787.2</v>
      </c>
      <c r="C12" s="50" t="s">
        <v>9</v>
      </c>
      <c r="D12" s="172"/>
    </row>
    <row r="13" spans="1:20" x14ac:dyDescent="0.2">
      <c r="A13" s="43">
        <v>13.1</v>
      </c>
      <c r="B13" s="44">
        <v>786.7</v>
      </c>
      <c r="C13" s="42"/>
      <c r="D13" s="172"/>
    </row>
    <row r="14" spans="1:20" x14ac:dyDescent="0.2">
      <c r="A14" s="43">
        <v>14.6</v>
      </c>
      <c r="B14" s="44">
        <v>786.6</v>
      </c>
      <c r="C14" s="42"/>
      <c r="D14" s="172"/>
    </row>
    <row r="15" spans="1:20" x14ac:dyDescent="0.2">
      <c r="A15" s="43">
        <v>16.100000000000001</v>
      </c>
      <c r="B15" s="44">
        <v>786.39</v>
      </c>
      <c r="C15" s="42"/>
      <c r="D15" s="172"/>
    </row>
    <row r="16" spans="1:20" x14ac:dyDescent="0.2">
      <c r="A16" s="43">
        <v>17.100000000000001</v>
      </c>
      <c r="B16" s="44">
        <v>786.25</v>
      </c>
      <c r="C16" s="42"/>
      <c r="D16" s="172"/>
    </row>
    <row r="17" spans="1:4" x14ac:dyDescent="0.2">
      <c r="A17" s="43">
        <v>18.100000000000001</v>
      </c>
      <c r="B17" s="44">
        <v>786.2</v>
      </c>
      <c r="C17" s="42"/>
      <c r="D17" s="172"/>
    </row>
    <row r="18" spans="1:4" x14ac:dyDescent="0.2">
      <c r="A18" s="43">
        <v>19.100000000000001</v>
      </c>
      <c r="B18" s="44">
        <v>785.99</v>
      </c>
      <c r="C18" s="42"/>
      <c r="D18" s="172"/>
    </row>
    <row r="19" spans="1:4" x14ac:dyDescent="0.2">
      <c r="A19" s="43">
        <v>20.100000000000001</v>
      </c>
      <c r="B19" s="44">
        <v>785.85</v>
      </c>
      <c r="C19" s="42"/>
      <c r="D19" s="172"/>
    </row>
    <row r="20" spans="1:4" x14ac:dyDescent="0.2">
      <c r="A20" s="43">
        <v>21.1</v>
      </c>
      <c r="B20" s="44">
        <v>785.65</v>
      </c>
      <c r="C20" s="42"/>
      <c r="D20" s="172"/>
    </row>
    <row r="21" spans="1:4" x14ac:dyDescent="0.2">
      <c r="A21" s="43">
        <v>22.1</v>
      </c>
      <c r="B21" s="44">
        <v>785.6</v>
      </c>
      <c r="C21" s="50"/>
      <c r="D21" s="172"/>
    </row>
    <row r="22" spans="1:4" x14ac:dyDescent="0.2">
      <c r="A22" s="43">
        <v>23.1</v>
      </c>
      <c r="B22" s="44">
        <v>785.35</v>
      </c>
      <c r="C22" s="42"/>
      <c r="D22" s="172"/>
    </row>
    <row r="23" spans="1:4" x14ac:dyDescent="0.2">
      <c r="A23" s="43">
        <v>24.1</v>
      </c>
      <c r="B23" s="44">
        <v>785.12</v>
      </c>
      <c r="C23" s="50"/>
      <c r="D23" s="172"/>
    </row>
    <row r="24" spans="1:4" x14ac:dyDescent="0.2">
      <c r="A24" s="43">
        <v>25.1</v>
      </c>
      <c r="B24" s="44">
        <v>785.05</v>
      </c>
      <c r="C24" s="53"/>
      <c r="D24" s="172"/>
    </row>
    <row r="25" spans="1:4" s="7" customFormat="1" x14ac:dyDescent="0.2">
      <c r="A25" s="43">
        <v>26.1</v>
      </c>
      <c r="B25" s="44">
        <v>784.95</v>
      </c>
      <c r="C25" s="45"/>
      <c r="D25" s="172"/>
    </row>
    <row r="26" spans="1:4" x14ac:dyDescent="0.2">
      <c r="A26" s="43">
        <v>27.1</v>
      </c>
      <c r="B26" s="44">
        <v>785.7</v>
      </c>
      <c r="C26" s="42"/>
      <c r="D26" s="172"/>
    </row>
    <row r="27" spans="1:4" x14ac:dyDescent="0.2">
      <c r="A27" s="16">
        <v>27.1</v>
      </c>
      <c r="B27" s="46">
        <v>787.2</v>
      </c>
      <c r="C27" s="50" t="s">
        <v>10</v>
      </c>
      <c r="D27" s="172"/>
    </row>
    <row r="28" spans="1:4" x14ac:dyDescent="0.2">
      <c r="A28" s="43">
        <v>27.1</v>
      </c>
      <c r="B28" s="44">
        <v>790.07</v>
      </c>
      <c r="C28" s="42" t="s">
        <v>5</v>
      </c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11.1</v>
      </c>
      <c r="B36" s="46">
        <v>787.2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27.1</v>
      </c>
      <c r="B37" s="46">
        <v>787.2</v>
      </c>
      <c r="C37" s="17" t="s">
        <v>10</v>
      </c>
      <c r="D37" s="173"/>
    </row>
    <row r="38" spans="1:4" ht="20.100000000000001" customHeight="1" thickBot="1" x14ac:dyDescent="0.25">
      <c r="A38" s="34">
        <v>26.8</v>
      </c>
      <c r="B38" s="35">
        <v>786.41600000000005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788.41600000000005</v>
      </c>
      <c r="C39" s="22" t="s">
        <v>8</v>
      </c>
      <c r="D39" s="173"/>
    </row>
    <row r="40" spans="1:4" ht="20.100000000000001" customHeight="1" x14ac:dyDescent="0.2">
      <c r="A40" s="15">
        <v>26.8</v>
      </c>
      <c r="B40" s="19">
        <v>788.85</v>
      </c>
      <c r="C40" s="23" t="s">
        <v>2</v>
      </c>
      <c r="D40" s="173"/>
    </row>
    <row r="41" spans="1:4" ht="20.100000000000001" customHeight="1" thickBot="1" x14ac:dyDescent="0.25">
      <c r="A41" s="28">
        <v>26.8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1.5</v>
      </c>
      <c r="B42" s="52">
        <v>793.1</v>
      </c>
      <c r="C42" s="9" t="s">
        <v>7</v>
      </c>
      <c r="D42" s="1"/>
    </row>
    <row r="43" spans="1:4" ht="13.5" thickBot="1" x14ac:dyDescent="0.25">
      <c r="A43" s="16">
        <v>27.1</v>
      </c>
      <c r="B43" s="46">
        <v>790.07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0.7</v>
      </c>
      <c r="D44" s="1"/>
    </row>
    <row r="45" spans="1:4" ht="16.5" thickBot="1" x14ac:dyDescent="0.3">
      <c r="A45" s="10" t="s">
        <v>11</v>
      </c>
      <c r="B45" s="4"/>
      <c r="C45" s="18">
        <f>B38</f>
        <v>786.41600000000005</v>
      </c>
      <c r="D45" s="1"/>
    </row>
    <row r="46" spans="1:4" ht="20.25" customHeight="1" thickBot="1" x14ac:dyDescent="0.3">
      <c r="A46" s="10" t="s">
        <v>14</v>
      </c>
      <c r="C46" s="31">
        <f>B3</f>
        <v>791.85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T52"/>
  <sheetViews>
    <sheetView showGridLines="0" topLeftCell="C4" zoomScale="75" workbookViewId="0">
      <selection activeCell="C9" sqref="C9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x14ac:dyDescent="0.3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x14ac:dyDescent="0.2">
      <c r="A2" s="58" t="s">
        <v>0</v>
      </c>
      <c r="B2" s="59" t="s">
        <v>1</v>
      </c>
      <c r="C2" s="58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2">
      <c r="A3" s="60"/>
      <c r="B3" s="61">
        <v>791.2</v>
      </c>
      <c r="C3" s="62" t="s">
        <v>17</v>
      </c>
      <c r="D3" s="172"/>
    </row>
    <row r="4" spans="1:20" x14ac:dyDescent="0.2">
      <c r="A4" s="63">
        <v>3</v>
      </c>
      <c r="B4" s="64">
        <v>791.97</v>
      </c>
      <c r="C4" s="62" t="s">
        <v>4</v>
      </c>
      <c r="D4" s="172"/>
    </row>
    <row r="5" spans="1:20" x14ac:dyDescent="0.2">
      <c r="A5" s="60">
        <v>4</v>
      </c>
      <c r="B5" s="65">
        <v>791.15</v>
      </c>
      <c r="C5" s="66"/>
      <c r="D5" s="172"/>
    </row>
    <row r="6" spans="1:20" x14ac:dyDescent="0.2">
      <c r="A6" s="60">
        <v>6</v>
      </c>
      <c r="B6" s="65">
        <v>790.25</v>
      </c>
      <c r="C6" s="62"/>
      <c r="D6" s="172"/>
    </row>
    <row r="7" spans="1:20" x14ac:dyDescent="0.2">
      <c r="A7" s="60">
        <v>6</v>
      </c>
      <c r="B7" s="65">
        <v>789.1</v>
      </c>
      <c r="C7" s="62"/>
      <c r="D7" s="172"/>
    </row>
    <row r="8" spans="1:20" x14ac:dyDescent="0.2">
      <c r="A8" s="60">
        <v>7</v>
      </c>
      <c r="B8" s="65">
        <v>788.93</v>
      </c>
      <c r="C8" s="67"/>
      <c r="D8" s="172"/>
    </row>
    <row r="9" spans="1:20" x14ac:dyDescent="0.2">
      <c r="A9" s="60">
        <v>9</v>
      </c>
      <c r="B9" s="65">
        <v>787.62</v>
      </c>
      <c r="C9" s="62"/>
      <c r="D9" s="172"/>
    </row>
    <row r="10" spans="1:20" x14ac:dyDescent="0.2">
      <c r="A10" s="63">
        <v>13</v>
      </c>
      <c r="B10" s="64">
        <v>786.65</v>
      </c>
      <c r="C10" s="68" t="s">
        <v>9</v>
      </c>
      <c r="D10" s="172"/>
    </row>
    <row r="11" spans="1:20" x14ac:dyDescent="0.2">
      <c r="A11" s="60">
        <v>16</v>
      </c>
      <c r="B11" s="65">
        <v>786.26</v>
      </c>
      <c r="C11" s="67"/>
      <c r="D11" s="172"/>
    </row>
    <row r="12" spans="1:20" x14ac:dyDescent="0.2">
      <c r="A12" s="60">
        <v>17</v>
      </c>
      <c r="B12" s="65">
        <v>786.15</v>
      </c>
      <c r="C12" s="69"/>
      <c r="D12" s="172"/>
    </row>
    <row r="13" spans="1:20" x14ac:dyDescent="0.2">
      <c r="A13" s="60">
        <v>18</v>
      </c>
      <c r="B13" s="65">
        <v>786.07</v>
      </c>
      <c r="C13" s="62"/>
      <c r="D13" s="172"/>
    </row>
    <row r="14" spans="1:20" x14ac:dyDescent="0.2">
      <c r="A14" s="60">
        <v>19</v>
      </c>
      <c r="B14" s="65">
        <v>785.95</v>
      </c>
      <c r="C14" s="62"/>
      <c r="D14" s="172"/>
    </row>
    <row r="15" spans="1:20" x14ac:dyDescent="0.2">
      <c r="A15" s="60">
        <v>20</v>
      </c>
      <c r="B15" s="65">
        <v>785.88</v>
      </c>
      <c r="C15" s="62"/>
      <c r="D15" s="172"/>
    </row>
    <row r="16" spans="1:20" x14ac:dyDescent="0.2">
      <c r="A16" s="60">
        <v>20.7</v>
      </c>
      <c r="B16" s="65">
        <v>785.69</v>
      </c>
      <c r="C16" s="62"/>
      <c r="D16" s="172"/>
    </row>
    <row r="17" spans="1:4" x14ac:dyDescent="0.2">
      <c r="A17" s="60">
        <v>21.4</v>
      </c>
      <c r="B17" s="65">
        <v>785.67</v>
      </c>
      <c r="C17" s="62"/>
      <c r="D17" s="172"/>
    </row>
    <row r="18" spans="1:4" x14ac:dyDescent="0.2">
      <c r="A18" s="60">
        <v>22.1</v>
      </c>
      <c r="B18" s="65">
        <v>785.55</v>
      </c>
      <c r="C18" s="62"/>
      <c r="D18" s="172"/>
    </row>
    <row r="19" spans="1:4" x14ac:dyDescent="0.2">
      <c r="A19" s="60">
        <v>22.8</v>
      </c>
      <c r="B19" s="65">
        <v>785.49</v>
      </c>
      <c r="C19" s="62"/>
      <c r="D19" s="172"/>
    </row>
    <row r="20" spans="1:4" x14ac:dyDescent="0.2">
      <c r="A20" s="60">
        <v>23.5</v>
      </c>
      <c r="B20" s="65">
        <v>785.25</v>
      </c>
      <c r="C20" s="62"/>
      <c r="D20" s="172"/>
    </row>
    <row r="21" spans="1:4" x14ac:dyDescent="0.2">
      <c r="A21" s="60">
        <v>24.2</v>
      </c>
      <c r="B21" s="65">
        <v>785.21</v>
      </c>
      <c r="C21" s="66"/>
      <c r="D21" s="172"/>
    </row>
    <row r="22" spans="1:4" x14ac:dyDescent="0.2">
      <c r="A22" s="60">
        <v>24.9</v>
      </c>
      <c r="B22" s="65">
        <v>785.19</v>
      </c>
      <c r="C22" s="62"/>
      <c r="D22" s="172"/>
    </row>
    <row r="23" spans="1:4" x14ac:dyDescent="0.2">
      <c r="A23" s="60">
        <v>25.6</v>
      </c>
      <c r="B23" s="65">
        <v>785.15</v>
      </c>
      <c r="C23" s="66"/>
      <c r="D23" s="172"/>
    </row>
    <row r="24" spans="1:4" x14ac:dyDescent="0.2">
      <c r="A24" s="60">
        <v>26.3</v>
      </c>
      <c r="B24" s="65">
        <v>785.65</v>
      </c>
      <c r="C24" s="70"/>
      <c r="D24" s="172"/>
    </row>
    <row r="25" spans="1:4" s="7" customFormat="1" x14ac:dyDescent="0.2">
      <c r="A25" s="63">
        <v>27.7</v>
      </c>
      <c r="B25" s="64">
        <v>786.65</v>
      </c>
      <c r="C25" s="68" t="s">
        <v>10</v>
      </c>
      <c r="D25" s="172"/>
    </row>
    <row r="26" spans="1:4" x14ac:dyDescent="0.2">
      <c r="A26" s="63">
        <v>29</v>
      </c>
      <c r="B26" s="64">
        <v>791.07</v>
      </c>
      <c r="C26" s="62" t="s">
        <v>5</v>
      </c>
      <c r="D26" s="172"/>
    </row>
    <row r="27" spans="1:4" x14ac:dyDescent="0.2">
      <c r="A27" s="63"/>
      <c r="B27" s="64"/>
      <c r="C27" s="69"/>
      <c r="D27" s="172"/>
    </row>
    <row r="28" spans="1:4" x14ac:dyDescent="0.2">
      <c r="A28" s="60"/>
      <c r="B28" s="65"/>
      <c r="C28" s="69"/>
      <c r="D28" s="172"/>
    </row>
    <row r="29" spans="1:4" x14ac:dyDescent="0.2">
      <c r="A29" s="60"/>
      <c r="B29" s="65"/>
      <c r="C29" s="62"/>
      <c r="D29" s="172"/>
    </row>
    <row r="30" spans="1:4" x14ac:dyDescent="0.2">
      <c r="A30" s="60"/>
      <c r="B30" s="65"/>
      <c r="C30" s="62"/>
      <c r="D30" s="172"/>
    </row>
    <row r="31" spans="1:4" x14ac:dyDescent="0.2">
      <c r="A31" s="60"/>
      <c r="B31" s="65"/>
      <c r="C31" s="62"/>
      <c r="D31" s="172"/>
    </row>
    <row r="32" spans="1:4" x14ac:dyDescent="0.2">
      <c r="A32" s="60"/>
      <c r="B32" s="65"/>
      <c r="C32" s="62"/>
      <c r="D32" s="172"/>
    </row>
    <row r="33" spans="1:4" x14ac:dyDescent="0.2">
      <c r="A33" s="60"/>
      <c r="B33" s="65"/>
      <c r="C33" s="62"/>
      <c r="D33" s="172"/>
    </row>
    <row r="34" spans="1:4" x14ac:dyDescent="0.2">
      <c r="A34" s="60"/>
      <c r="B34" s="65"/>
      <c r="C34" s="65"/>
      <c r="D34" s="172"/>
    </row>
    <row r="35" spans="1:4" x14ac:dyDescent="0.2">
      <c r="A35" s="71"/>
      <c r="B35" s="72"/>
      <c r="C35" s="73"/>
      <c r="D35" s="172"/>
    </row>
    <row r="36" spans="1:4" ht="20.100000000000001" customHeight="1" x14ac:dyDescent="0.2">
      <c r="A36" s="51">
        <v>13</v>
      </c>
      <c r="B36" s="52">
        <v>786.65</v>
      </c>
      <c r="C36" s="57" t="s">
        <v>9</v>
      </c>
      <c r="D36" s="173" t="s">
        <v>6</v>
      </c>
    </row>
    <row r="37" spans="1:4" ht="20.100000000000001" customHeight="1" thickBot="1" x14ac:dyDescent="0.25">
      <c r="A37" s="16">
        <v>27.7</v>
      </c>
      <c r="B37" s="46">
        <v>786.65</v>
      </c>
      <c r="C37" s="55" t="s">
        <v>10</v>
      </c>
      <c r="D37" s="173"/>
    </row>
    <row r="38" spans="1:4" ht="20.100000000000001" customHeight="1" thickBot="1" x14ac:dyDescent="0.25">
      <c r="A38" s="34">
        <v>26.8</v>
      </c>
      <c r="B38" s="35">
        <v>786.36500000000001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788.36500000000001</v>
      </c>
      <c r="C39" s="22" t="s">
        <v>8</v>
      </c>
      <c r="D39" s="173"/>
    </row>
    <row r="40" spans="1:4" ht="20.100000000000001" customHeight="1" x14ac:dyDescent="0.2">
      <c r="A40" s="15">
        <v>26.8</v>
      </c>
      <c r="B40" s="19">
        <v>788.80499999999995</v>
      </c>
      <c r="C40" s="23" t="s">
        <v>2</v>
      </c>
      <c r="D40" s="173"/>
    </row>
    <row r="41" spans="1:4" ht="20.100000000000001" customHeight="1" thickBot="1" x14ac:dyDescent="0.25">
      <c r="A41" s="28">
        <v>26.8</v>
      </c>
      <c r="B41" s="33">
        <v>790.30499999999995</v>
      </c>
      <c r="C41" s="8" t="s">
        <v>2</v>
      </c>
      <c r="D41" s="173"/>
    </row>
    <row r="42" spans="1:4" ht="13.5" thickBot="1" x14ac:dyDescent="0.25">
      <c r="A42" s="51">
        <v>3</v>
      </c>
      <c r="B42" s="52">
        <v>791.97</v>
      </c>
      <c r="C42" s="54" t="s">
        <v>7</v>
      </c>
      <c r="D42" s="1"/>
    </row>
    <row r="43" spans="1:4" ht="13.5" thickBot="1" x14ac:dyDescent="0.25">
      <c r="A43" s="16">
        <v>29</v>
      </c>
      <c r="B43" s="46">
        <v>791.07</v>
      </c>
      <c r="C43" s="54" t="s">
        <v>7</v>
      </c>
      <c r="D43" s="1"/>
    </row>
    <row r="44" spans="1:4" ht="16.5" thickBot="1" x14ac:dyDescent="0.3">
      <c r="A44" s="24" t="s">
        <v>12</v>
      </c>
      <c r="B44" s="4"/>
      <c r="C44" s="56">
        <v>0.24</v>
      </c>
      <c r="D44" s="1"/>
    </row>
    <row r="45" spans="1:4" ht="16.5" thickBot="1" x14ac:dyDescent="0.3">
      <c r="A45" s="10" t="s">
        <v>11</v>
      </c>
      <c r="B45" s="4"/>
      <c r="C45" s="18">
        <f>B38</f>
        <v>786.36500000000001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T52"/>
  <sheetViews>
    <sheetView showGridLines="0" zoomScale="75" workbookViewId="0">
      <selection activeCell="B40" sqref="B4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2.5</v>
      </c>
      <c r="B4" s="41">
        <v>791.87</v>
      </c>
      <c r="C4" s="42" t="s">
        <v>4</v>
      </c>
      <c r="D4" s="172"/>
    </row>
    <row r="5" spans="1:20" x14ac:dyDescent="0.2">
      <c r="A5" s="43">
        <v>4</v>
      </c>
      <c r="B5" s="44">
        <v>791.07</v>
      </c>
      <c r="C5" s="50"/>
      <c r="D5" s="172"/>
    </row>
    <row r="6" spans="1:20" x14ac:dyDescent="0.2">
      <c r="A6" s="43">
        <v>5.9</v>
      </c>
      <c r="B6" s="44">
        <v>790.17</v>
      </c>
      <c r="C6" s="42"/>
      <c r="D6" s="172"/>
    </row>
    <row r="7" spans="1:20" x14ac:dyDescent="0.2">
      <c r="A7" s="43">
        <v>5.9</v>
      </c>
      <c r="B7" s="44">
        <v>789.01</v>
      </c>
      <c r="C7" s="42"/>
      <c r="D7" s="172"/>
    </row>
    <row r="8" spans="1:20" x14ac:dyDescent="0.2">
      <c r="A8" s="43">
        <v>7</v>
      </c>
      <c r="B8" s="44">
        <v>788.83</v>
      </c>
      <c r="C8" s="45"/>
      <c r="D8" s="172"/>
    </row>
    <row r="9" spans="1:20" x14ac:dyDescent="0.2">
      <c r="A9" s="43">
        <v>10</v>
      </c>
      <c r="B9" s="44">
        <v>787.59</v>
      </c>
      <c r="C9" s="42"/>
      <c r="D9" s="172"/>
    </row>
    <row r="10" spans="1:20" x14ac:dyDescent="0.2">
      <c r="A10" s="16">
        <v>15</v>
      </c>
      <c r="B10" s="46">
        <v>786.73</v>
      </c>
      <c r="C10" s="50" t="s">
        <v>9</v>
      </c>
      <c r="D10" s="172"/>
    </row>
    <row r="11" spans="1:20" x14ac:dyDescent="0.2">
      <c r="A11" s="43">
        <v>18</v>
      </c>
      <c r="B11" s="44">
        <v>786.15</v>
      </c>
      <c r="C11" s="45"/>
      <c r="D11" s="172"/>
    </row>
    <row r="12" spans="1:20" x14ac:dyDescent="0.2">
      <c r="A12" s="43">
        <v>19</v>
      </c>
      <c r="B12" s="44">
        <v>785.93</v>
      </c>
      <c r="C12" s="50"/>
      <c r="D12" s="172"/>
    </row>
    <row r="13" spans="1:20" x14ac:dyDescent="0.2">
      <c r="A13" s="43">
        <v>21</v>
      </c>
      <c r="B13" s="44">
        <v>785.43</v>
      </c>
      <c r="C13" s="42"/>
      <c r="D13" s="172"/>
    </row>
    <row r="14" spans="1:20" x14ac:dyDescent="0.2">
      <c r="A14" s="43">
        <v>22</v>
      </c>
      <c r="B14" s="44">
        <v>785.33</v>
      </c>
      <c r="C14" s="42"/>
      <c r="D14" s="172"/>
    </row>
    <row r="15" spans="1:20" x14ac:dyDescent="0.2">
      <c r="A15" s="43">
        <v>23</v>
      </c>
      <c r="B15" s="44">
        <v>785.28</v>
      </c>
      <c r="C15" s="42"/>
      <c r="D15" s="172"/>
    </row>
    <row r="16" spans="1:20" x14ac:dyDescent="0.2">
      <c r="A16" s="43">
        <v>23.5</v>
      </c>
      <c r="B16" s="44">
        <v>785.31</v>
      </c>
      <c r="C16" s="42"/>
      <c r="D16" s="172"/>
    </row>
    <row r="17" spans="1:4" x14ac:dyDescent="0.2">
      <c r="A17" s="43">
        <v>24</v>
      </c>
      <c r="B17" s="44">
        <v>785.16</v>
      </c>
      <c r="C17" s="42"/>
      <c r="D17" s="172"/>
    </row>
    <row r="18" spans="1:4" x14ac:dyDescent="0.2">
      <c r="A18" s="43">
        <v>24.5</v>
      </c>
      <c r="B18" s="44">
        <v>785.07</v>
      </c>
      <c r="C18" s="42"/>
      <c r="D18" s="172"/>
    </row>
    <row r="19" spans="1:4" x14ac:dyDescent="0.2">
      <c r="A19" s="43">
        <v>25</v>
      </c>
      <c r="B19" s="44">
        <v>785.05</v>
      </c>
      <c r="C19" s="42"/>
      <c r="D19" s="172"/>
    </row>
    <row r="20" spans="1:4" x14ac:dyDescent="0.2">
      <c r="A20" s="43">
        <v>25.5</v>
      </c>
      <c r="B20" s="44">
        <v>784.98</v>
      </c>
      <c r="C20" s="42"/>
      <c r="D20" s="172"/>
    </row>
    <row r="21" spans="1:4" x14ac:dyDescent="0.2">
      <c r="A21" s="43">
        <v>26</v>
      </c>
      <c r="B21" s="44">
        <v>784.86</v>
      </c>
      <c r="C21" s="50"/>
      <c r="D21" s="172"/>
    </row>
    <row r="22" spans="1:4" x14ac:dyDescent="0.2">
      <c r="A22" s="43">
        <v>26.5</v>
      </c>
      <c r="B22" s="44">
        <v>784.8</v>
      </c>
      <c r="C22" s="42"/>
      <c r="D22" s="172"/>
    </row>
    <row r="23" spans="1:4" x14ac:dyDescent="0.2">
      <c r="A23" s="43">
        <v>27</v>
      </c>
      <c r="B23" s="44">
        <v>784.96</v>
      </c>
      <c r="C23" s="50"/>
      <c r="D23" s="172"/>
    </row>
    <row r="24" spans="1:4" x14ac:dyDescent="0.2">
      <c r="A24" s="16">
        <v>27.5</v>
      </c>
      <c r="B24" s="46">
        <v>786.73</v>
      </c>
      <c r="C24" s="53" t="s">
        <v>10</v>
      </c>
      <c r="D24" s="172"/>
    </row>
    <row r="25" spans="1:4" s="7" customFormat="1" x14ac:dyDescent="0.2">
      <c r="A25" s="43">
        <v>27.5</v>
      </c>
      <c r="B25" s="44">
        <v>788.38</v>
      </c>
      <c r="C25" s="45" t="s">
        <v>25</v>
      </c>
      <c r="D25" s="172"/>
    </row>
    <row r="26" spans="1:4" x14ac:dyDescent="0.2">
      <c r="A26" s="43">
        <v>27.5</v>
      </c>
      <c r="B26" s="44">
        <v>788.82</v>
      </c>
      <c r="C26" s="42"/>
      <c r="D26" s="172"/>
    </row>
    <row r="27" spans="1:4" x14ac:dyDescent="0.2">
      <c r="A27" s="43">
        <v>28.5</v>
      </c>
      <c r="B27" s="44">
        <v>789.51</v>
      </c>
      <c r="C27" s="50"/>
      <c r="D27" s="172"/>
    </row>
    <row r="28" spans="1:4" x14ac:dyDescent="0.2">
      <c r="A28" s="43">
        <v>30.2</v>
      </c>
      <c r="B28" s="44">
        <v>791.31</v>
      </c>
      <c r="C28" s="42" t="s">
        <v>5</v>
      </c>
      <c r="D28" s="172"/>
    </row>
    <row r="29" spans="1:4" x14ac:dyDescent="0.2">
      <c r="A29" s="43">
        <v>30.2</v>
      </c>
      <c r="B29" s="44">
        <v>791.21</v>
      </c>
      <c r="C29" s="42" t="s">
        <v>17</v>
      </c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15</v>
      </c>
      <c r="B36" s="46">
        <v>786.73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27.5</v>
      </c>
      <c r="B37" s="46">
        <v>786.73</v>
      </c>
      <c r="C37" s="17" t="s">
        <v>10</v>
      </c>
      <c r="D37" s="173"/>
    </row>
    <row r="38" spans="1:4" ht="20.100000000000001" customHeight="1" thickBot="1" x14ac:dyDescent="0.25">
      <c r="A38" s="34">
        <v>26.8</v>
      </c>
      <c r="B38" s="35">
        <v>786.36500000000001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788.41600000000005</v>
      </c>
      <c r="C39" s="22" t="s">
        <v>8</v>
      </c>
      <c r="D39" s="173"/>
    </row>
    <row r="40" spans="1:4" ht="20.100000000000001" customHeight="1" x14ac:dyDescent="0.2">
      <c r="A40" s="15">
        <v>26.8</v>
      </c>
      <c r="B40" s="19">
        <v>788.80499999999995</v>
      </c>
      <c r="C40" s="23" t="s">
        <v>2</v>
      </c>
      <c r="D40" s="173"/>
    </row>
    <row r="41" spans="1:4" ht="20.100000000000001" customHeight="1" thickBot="1" x14ac:dyDescent="0.25">
      <c r="A41" s="28">
        <v>26.8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1.5</v>
      </c>
      <c r="B42" s="52">
        <v>793.1</v>
      </c>
      <c r="C42" s="9" t="s">
        <v>7</v>
      </c>
      <c r="D42" s="1"/>
    </row>
    <row r="43" spans="1:4" ht="13.5" thickBot="1" x14ac:dyDescent="0.25">
      <c r="A43" s="16">
        <v>27.1</v>
      </c>
      <c r="B43" s="46">
        <v>790.07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0.32</v>
      </c>
      <c r="D44" s="1"/>
    </row>
    <row r="45" spans="1:4" ht="16.5" thickBot="1" x14ac:dyDescent="0.3">
      <c r="A45" s="10" t="s">
        <v>11</v>
      </c>
      <c r="B45" s="4"/>
      <c r="C45" s="18">
        <f>B38</f>
        <v>786.36500000000001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T52"/>
  <sheetViews>
    <sheetView showGridLines="0" zoomScale="75" workbookViewId="0">
      <selection activeCell="B28" sqref="B2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2.5</v>
      </c>
      <c r="B4" s="41">
        <v>791.8</v>
      </c>
      <c r="C4" s="42" t="s">
        <v>4</v>
      </c>
      <c r="D4" s="172"/>
    </row>
    <row r="5" spans="1:20" x14ac:dyDescent="0.2">
      <c r="A5" s="43">
        <v>4</v>
      </c>
      <c r="B5" s="44">
        <v>791</v>
      </c>
      <c r="C5" s="50"/>
      <c r="D5" s="172"/>
    </row>
    <row r="6" spans="1:20" x14ac:dyDescent="0.2">
      <c r="A6" s="43">
        <v>6</v>
      </c>
      <c r="B6" s="44">
        <v>790.17</v>
      </c>
      <c r="C6" s="42"/>
      <c r="D6" s="172"/>
    </row>
    <row r="7" spans="1:20" x14ac:dyDescent="0.2">
      <c r="A7" s="43">
        <v>6</v>
      </c>
      <c r="B7" s="44">
        <v>789.01</v>
      </c>
      <c r="C7" s="42"/>
      <c r="D7" s="172"/>
    </row>
    <row r="8" spans="1:20" x14ac:dyDescent="0.2">
      <c r="A8" s="43">
        <v>7</v>
      </c>
      <c r="B8" s="44">
        <v>788.83</v>
      </c>
      <c r="C8" s="45"/>
      <c r="D8" s="172"/>
    </row>
    <row r="9" spans="1:20" x14ac:dyDescent="0.2">
      <c r="A9" s="43">
        <v>7</v>
      </c>
      <c r="B9" s="44">
        <v>788.9</v>
      </c>
      <c r="C9" s="42" t="s">
        <v>26</v>
      </c>
      <c r="D9" s="172"/>
    </row>
    <row r="10" spans="1:20" x14ac:dyDescent="0.2">
      <c r="A10" s="16">
        <v>9</v>
      </c>
      <c r="B10" s="46">
        <v>787.59</v>
      </c>
      <c r="C10" s="50"/>
      <c r="D10" s="172"/>
    </row>
    <row r="11" spans="1:20" x14ac:dyDescent="0.2">
      <c r="A11" s="43">
        <v>13</v>
      </c>
      <c r="B11" s="44">
        <v>786.73</v>
      </c>
      <c r="C11" s="45" t="s">
        <v>9</v>
      </c>
      <c r="D11" s="172"/>
    </row>
    <row r="12" spans="1:20" x14ac:dyDescent="0.2">
      <c r="A12" s="43">
        <v>20</v>
      </c>
      <c r="B12" s="44">
        <v>785.56</v>
      </c>
      <c r="C12" s="50"/>
      <c r="D12" s="172"/>
    </row>
    <row r="13" spans="1:20" x14ac:dyDescent="0.2">
      <c r="A13" s="43">
        <v>20.8</v>
      </c>
      <c r="B13" s="44">
        <v>785.73</v>
      </c>
      <c r="C13" s="42"/>
      <c r="D13" s="172"/>
    </row>
    <row r="14" spans="1:20" x14ac:dyDescent="0.2">
      <c r="A14" s="43">
        <v>21.6</v>
      </c>
      <c r="B14" s="44">
        <v>785.53</v>
      </c>
      <c r="C14" s="42"/>
      <c r="D14" s="172"/>
    </row>
    <row r="15" spans="1:20" x14ac:dyDescent="0.2">
      <c r="A15" s="43">
        <v>22.4</v>
      </c>
      <c r="B15" s="44">
        <v>785.53</v>
      </c>
      <c r="C15" s="42"/>
      <c r="D15" s="172"/>
    </row>
    <row r="16" spans="1:20" x14ac:dyDescent="0.2">
      <c r="A16" s="43">
        <v>23.2</v>
      </c>
      <c r="B16" s="44">
        <v>785.39</v>
      </c>
      <c r="C16" s="42"/>
      <c r="D16" s="172"/>
    </row>
    <row r="17" spans="1:4" x14ac:dyDescent="0.2">
      <c r="A17" s="43">
        <v>24</v>
      </c>
      <c r="B17" s="44">
        <v>785.38</v>
      </c>
      <c r="C17" s="42"/>
      <c r="D17" s="172"/>
    </row>
    <row r="18" spans="1:4" x14ac:dyDescent="0.2">
      <c r="A18" s="43">
        <v>24.8</v>
      </c>
      <c r="B18" s="44">
        <v>785.31</v>
      </c>
      <c r="C18" s="42"/>
      <c r="D18" s="172"/>
    </row>
    <row r="19" spans="1:4" x14ac:dyDescent="0.2">
      <c r="A19" s="43">
        <v>25.6</v>
      </c>
      <c r="B19" s="44">
        <v>785.21</v>
      </c>
      <c r="C19" s="42"/>
      <c r="D19" s="172"/>
    </row>
    <row r="20" spans="1:4" x14ac:dyDescent="0.2">
      <c r="A20" s="43">
        <v>26.4</v>
      </c>
      <c r="B20" s="44">
        <v>785.83</v>
      </c>
      <c r="C20" s="42"/>
      <c r="D20" s="172"/>
    </row>
    <row r="21" spans="1:4" x14ac:dyDescent="0.2">
      <c r="A21" s="43">
        <v>27</v>
      </c>
      <c r="B21" s="44">
        <v>786.33</v>
      </c>
      <c r="C21" s="50"/>
      <c r="D21" s="172"/>
    </row>
    <row r="22" spans="1:4" x14ac:dyDescent="0.2">
      <c r="A22" s="43">
        <v>27</v>
      </c>
      <c r="B22" s="44">
        <v>786.73</v>
      </c>
      <c r="C22" s="42" t="s">
        <v>10</v>
      </c>
      <c r="D22" s="172"/>
    </row>
    <row r="23" spans="1:4" x14ac:dyDescent="0.2">
      <c r="A23" s="43">
        <v>27.5</v>
      </c>
      <c r="B23" s="44">
        <v>789.38</v>
      </c>
      <c r="C23" s="50"/>
      <c r="D23" s="172"/>
    </row>
    <row r="24" spans="1:4" x14ac:dyDescent="0.2">
      <c r="A24" s="16">
        <v>27.5</v>
      </c>
      <c r="B24" s="46">
        <v>788.88</v>
      </c>
      <c r="C24" s="53" t="s">
        <v>27</v>
      </c>
      <c r="D24" s="172"/>
    </row>
    <row r="25" spans="1:4" s="7" customFormat="1" x14ac:dyDescent="0.2">
      <c r="A25" s="43">
        <v>27.5</v>
      </c>
      <c r="B25" s="44">
        <v>789.32</v>
      </c>
      <c r="C25" s="45" t="s">
        <v>28</v>
      </c>
      <c r="D25" s="172"/>
    </row>
    <row r="26" spans="1:4" x14ac:dyDescent="0.2">
      <c r="A26" s="43">
        <v>27.5</v>
      </c>
      <c r="B26" s="44">
        <v>788.5</v>
      </c>
      <c r="C26" s="42" t="s">
        <v>29</v>
      </c>
      <c r="D26" s="172"/>
    </row>
    <row r="27" spans="1:4" x14ac:dyDescent="0.2">
      <c r="A27" s="43">
        <v>29.3</v>
      </c>
      <c r="B27" s="44">
        <v>791.3</v>
      </c>
      <c r="C27" s="50" t="s">
        <v>5</v>
      </c>
      <c r="D27" s="172"/>
    </row>
    <row r="28" spans="1:4" x14ac:dyDescent="0.2">
      <c r="A28" s="43">
        <v>29.3</v>
      </c>
      <c r="B28" s="44">
        <v>791.71</v>
      </c>
      <c r="C28" s="42" t="s">
        <v>17</v>
      </c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13</v>
      </c>
      <c r="B36" s="46">
        <v>786.73400000000004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</v>
      </c>
      <c r="B37" s="46">
        <v>786.721</v>
      </c>
      <c r="C37" s="17" t="s">
        <v>10</v>
      </c>
      <c r="D37" s="173"/>
    </row>
    <row r="38" spans="1:4" ht="20.100000000000001" customHeight="1" thickBot="1" x14ac:dyDescent="0.25">
      <c r="A38" s="34">
        <v>26.8</v>
      </c>
      <c r="B38" s="35">
        <v>786.36500000000001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788.41600000000005</v>
      </c>
      <c r="C39" s="22" t="s">
        <v>8</v>
      </c>
      <c r="D39" s="173"/>
    </row>
    <row r="40" spans="1:4" ht="20.100000000000001" customHeight="1" x14ac:dyDescent="0.2">
      <c r="A40" s="15">
        <v>26.8</v>
      </c>
      <c r="B40" s="19">
        <v>788.80499999999995</v>
      </c>
      <c r="C40" s="23" t="s">
        <v>2</v>
      </c>
      <c r="D40" s="173"/>
    </row>
    <row r="41" spans="1:4" ht="20.100000000000001" customHeight="1" thickBot="1" x14ac:dyDescent="0.25">
      <c r="A41" s="28">
        <v>26.8</v>
      </c>
      <c r="B41" s="33">
        <v>790.37</v>
      </c>
      <c r="C41" s="8" t="s">
        <v>2</v>
      </c>
      <c r="D41" s="173"/>
    </row>
    <row r="42" spans="1:4" ht="13.5" thickBot="1" x14ac:dyDescent="0.25">
      <c r="A42" s="51">
        <v>2.5</v>
      </c>
      <c r="B42" s="52">
        <v>791.8</v>
      </c>
      <c r="C42" s="9" t="s">
        <v>7</v>
      </c>
      <c r="D42" s="1"/>
    </row>
    <row r="43" spans="1:4" ht="13.5" thickBot="1" x14ac:dyDescent="0.25">
      <c r="A43" s="16">
        <v>29.3</v>
      </c>
      <c r="B43" s="46">
        <v>791.3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0.32</v>
      </c>
      <c r="D44" s="1"/>
    </row>
    <row r="45" spans="1:4" ht="16.5" thickBot="1" x14ac:dyDescent="0.3">
      <c r="A45" s="10" t="s">
        <v>11</v>
      </c>
      <c r="B45" s="4"/>
      <c r="C45" s="18">
        <f>B38</f>
        <v>786.36500000000001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18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T52"/>
  <sheetViews>
    <sheetView showGridLines="0" zoomScale="75" workbookViewId="0">
      <selection activeCell="B38" sqref="B3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74">
        <v>0</v>
      </c>
      <c r="B3" s="75">
        <v>791.2</v>
      </c>
      <c r="C3" s="39" t="s">
        <v>17</v>
      </c>
      <c r="D3" s="172"/>
    </row>
    <row r="4" spans="1:20" x14ac:dyDescent="0.2">
      <c r="A4" s="76">
        <v>2.5</v>
      </c>
      <c r="B4" s="77">
        <v>791.8</v>
      </c>
      <c r="C4" s="42" t="s">
        <v>4</v>
      </c>
      <c r="D4" s="172"/>
    </row>
    <row r="5" spans="1:20" x14ac:dyDescent="0.2">
      <c r="A5" s="78">
        <v>4</v>
      </c>
      <c r="B5" s="79">
        <v>791.02</v>
      </c>
      <c r="C5" s="42"/>
      <c r="D5" s="172"/>
    </row>
    <row r="6" spans="1:20" x14ac:dyDescent="0.2">
      <c r="A6" s="78">
        <v>6</v>
      </c>
      <c r="B6" s="79">
        <v>790.21</v>
      </c>
      <c r="C6" s="42"/>
      <c r="D6" s="172"/>
    </row>
    <row r="7" spans="1:20" x14ac:dyDescent="0.2">
      <c r="A7" s="78">
        <v>6</v>
      </c>
      <c r="B7" s="79">
        <v>789.02</v>
      </c>
      <c r="C7" s="42"/>
      <c r="D7" s="172"/>
    </row>
    <row r="8" spans="1:20" x14ac:dyDescent="0.2">
      <c r="A8" s="78">
        <v>7</v>
      </c>
      <c r="B8" s="79">
        <v>788.83</v>
      </c>
      <c r="C8" s="42"/>
      <c r="D8" s="172"/>
    </row>
    <row r="9" spans="1:20" x14ac:dyDescent="0.2">
      <c r="A9" s="78">
        <v>9</v>
      </c>
      <c r="B9" s="79">
        <v>787.59</v>
      </c>
      <c r="C9" s="42"/>
      <c r="D9" s="172"/>
    </row>
    <row r="10" spans="1:20" x14ac:dyDescent="0.2">
      <c r="A10" s="16">
        <v>12.5</v>
      </c>
      <c r="B10" s="46">
        <v>786.65</v>
      </c>
      <c r="C10" s="42" t="s">
        <v>9</v>
      </c>
      <c r="D10" s="172"/>
    </row>
    <row r="11" spans="1:20" x14ac:dyDescent="0.2">
      <c r="A11" s="78">
        <v>12.5</v>
      </c>
      <c r="B11" s="79">
        <v>786.65</v>
      </c>
      <c r="C11" s="42"/>
      <c r="D11" s="172"/>
    </row>
    <row r="12" spans="1:20" x14ac:dyDescent="0.2">
      <c r="A12" s="78">
        <v>14</v>
      </c>
      <c r="B12" s="79">
        <v>786.32</v>
      </c>
      <c r="C12" s="42"/>
      <c r="D12" s="172"/>
    </row>
    <row r="13" spans="1:20" x14ac:dyDescent="0.2">
      <c r="A13" s="78">
        <v>14.6</v>
      </c>
      <c r="B13" s="79">
        <v>786.2</v>
      </c>
      <c r="C13" s="42"/>
      <c r="D13" s="172"/>
    </row>
    <row r="14" spans="1:20" x14ac:dyDescent="0.2">
      <c r="A14" s="78">
        <v>16.600000000000001</v>
      </c>
      <c r="B14" s="79">
        <v>786.22</v>
      </c>
      <c r="C14" s="42"/>
      <c r="D14" s="172"/>
    </row>
    <row r="15" spans="1:20" x14ac:dyDescent="0.2">
      <c r="A15" s="78">
        <v>17.399999999999999</v>
      </c>
      <c r="B15" s="79">
        <v>786.01</v>
      </c>
      <c r="C15" s="42"/>
      <c r="D15" s="172"/>
    </row>
    <row r="16" spans="1:20" x14ac:dyDescent="0.2">
      <c r="A16" s="78">
        <v>18</v>
      </c>
      <c r="B16" s="79">
        <v>785.84</v>
      </c>
      <c r="C16" s="42"/>
      <c r="D16" s="172"/>
    </row>
    <row r="17" spans="1:4" x14ac:dyDescent="0.2">
      <c r="A17" s="78">
        <v>20</v>
      </c>
      <c r="B17" s="79">
        <v>785.4</v>
      </c>
      <c r="C17" s="42"/>
      <c r="D17" s="172"/>
    </row>
    <row r="18" spans="1:4" x14ac:dyDescent="0.2">
      <c r="A18" s="78">
        <v>20.8</v>
      </c>
      <c r="B18" s="79">
        <v>785.57</v>
      </c>
      <c r="C18" s="42"/>
      <c r="D18" s="172"/>
    </row>
    <row r="19" spans="1:4" x14ac:dyDescent="0.2">
      <c r="A19" s="78">
        <v>21.6</v>
      </c>
      <c r="B19" s="79">
        <v>785.37</v>
      </c>
      <c r="C19" s="42"/>
      <c r="D19" s="172"/>
    </row>
    <row r="20" spans="1:4" x14ac:dyDescent="0.2">
      <c r="A20" s="78">
        <v>22.4</v>
      </c>
      <c r="B20" s="79">
        <v>785.37</v>
      </c>
      <c r="C20" s="42"/>
      <c r="D20" s="172"/>
    </row>
    <row r="21" spans="1:4" x14ac:dyDescent="0.2">
      <c r="A21" s="78">
        <v>23.2</v>
      </c>
      <c r="B21" s="79">
        <v>785.23</v>
      </c>
      <c r="C21" s="42"/>
      <c r="D21" s="172"/>
    </row>
    <row r="22" spans="1:4" x14ac:dyDescent="0.2">
      <c r="A22" s="78">
        <v>24</v>
      </c>
      <c r="B22" s="79">
        <v>785.22</v>
      </c>
      <c r="C22" s="42"/>
      <c r="D22" s="172"/>
    </row>
    <row r="23" spans="1:4" x14ac:dyDescent="0.2">
      <c r="A23" s="78">
        <v>24.8</v>
      </c>
      <c r="B23" s="79">
        <v>785.15</v>
      </c>
      <c r="C23" s="42"/>
      <c r="D23" s="172"/>
    </row>
    <row r="24" spans="1:4" x14ac:dyDescent="0.2">
      <c r="A24" s="78">
        <v>25.6</v>
      </c>
      <c r="B24" s="79">
        <v>785.05</v>
      </c>
      <c r="C24" s="42"/>
      <c r="D24" s="172"/>
    </row>
    <row r="25" spans="1:4" s="7" customFormat="1" x14ac:dyDescent="0.2">
      <c r="A25" s="78">
        <v>26.4</v>
      </c>
      <c r="B25" s="79">
        <v>785.67</v>
      </c>
      <c r="C25" s="42"/>
      <c r="D25" s="172"/>
    </row>
    <row r="26" spans="1:4" x14ac:dyDescent="0.2">
      <c r="A26" s="78">
        <v>27</v>
      </c>
      <c r="B26" s="79">
        <v>786.25</v>
      </c>
      <c r="C26" s="42"/>
      <c r="D26" s="172"/>
    </row>
    <row r="27" spans="1:4" x14ac:dyDescent="0.2">
      <c r="A27" s="16">
        <v>27</v>
      </c>
      <c r="B27" s="46">
        <v>786.65</v>
      </c>
      <c r="C27" s="42" t="s">
        <v>10</v>
      </c>
      <c r="D27" s="172"/>
    </row>
    <row r="28" spans="1:4" x14ac:dyDescent="0.2">
      <c r="A28" s="78">
        <v>27.5</v>
      </c>
      <c r="B28" s="79">
        <v>788.81</v>
      </c>
      <c r="C28" s="42"/>
      <c r="D28" s="172"/>
    </row>
    <row r="29" spans="1:4" x14ac:dyDescent="0.2">
      <c r="A29" s="78">
        <v>29.5</v>
      </c>
      <c r="B29" s="79">
        <v>791.53</v>
      </c>
      <c r="C29" s="42" t="s">
        <v>5</v>
      </c>
      <c r="D29" s="172"/>
    </row>
    <row r="30" spans="1:4" x14ac:dyDescent="0.2">
      <c r="A30" s="78">
        <v>29.5</v>
      </c>
      <c r="B30" s="79">
        <v>791.2</v>
      </c>
      <c r="C30" s="42" t="s">
        <v>24</v>
      </c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12.5</v>
      </c>
      <c r="B36" s="46">
        <v>786.65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</v>
      </c>
      <c r="B37" s="46">
        <v>786.65</v>
      </c>
      <c r="C37" s="17" t="s">
        <v>10</v>
      </c>
      <c r="D37" s="173"/>
    </row>
    <row r="38" spans="1:4" ht="20.100000000000001" customHeight="1" thickBot="1" x14ac:dyDescent="0.25">
      <c r="A38" s="34">
        <v>26.8</v>
      </c>
      <c r="B38" s="35">
        <v>786.36300000000006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788.48299999999995</v>
      </c>
      <c r="C39" s="22" t="s">
        <v>8</v>
      </c>
      <c r="D39" s="173"/>
    </row>
    <row r="40" spans="1:4" ht="20.100000000000001" customHeight="1" x14ac:dyDescent="0.2">
      <c r="A40" s="15">
        <v>26.8</v>
      </c>
      <c r="B40" s="19">
        <v>788.80700000000002</v>
      </c>
      <c r="C40" s="23" t="s">
        <v>2</v>
      </c>
      <c r="D40" s="173"/>
    </row>
    <row r="41" spans="1:4" ht="20.100000000000001" customHeight="1" thickBot="1" x14ac:dyDescent="0.25">
      <c r="A41" s="28">
        <v>26.8</v>
      </c>
      <c r="B41" s="33">
        <v>790.10699999999997</v>
      </c>
      <c r="C41" s="8" t="s">
        <v>2</v>
      </c>
      <c r="D41" s="173"/>
    </row>
    <row r="42" spans="1:4" ht="13.5" thickBot="1" x14ac:dyDescent="0.25">
      <c r="A42" s="51">
        <v>2.5</v>
      </c>
      <c r="B42" s="52">
        <v>791.8</v>
      </c>
      <c r="C42" s="9" t="s">
        <v>7</v>
      </c>
      <c r="D42" s="1"/>
    </row>
    <row r="43" spans="1:4" ht="13.5" thickBot="1" x14ac:dyDescent="0.25">
      <c r="A43" s="16">
        <v>29.5</v>
      </c>
      <c r="B43" s="46">
        <v>791.53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0.4</v>
      </c>
      <c r="D44" s="1"/>
    </row>
    <row r="45" spans="1:4" ht="16.5" thickBot="1" x14ac:dyDescent="0.3">
      <c r="A45" s="10" t="s">
        <v>11</v>
      </c>
      <c r="B45" s="4"/>
      <c r="C45" s="18">
        <f>B38</f>
        <v>786.36300000000006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21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T52"/>
  <sheetViews>
    <sheetView showGridLines="0" topLeftCell="A7" zoomScale="75" workbookViewId="0">
      <selection activeCell="A3" sqref="A3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4.5</v>
      </c>
      <c r="B4" s="41">
        <v>790.41</v>
      </c>
      <c r="C4" s="42" t="s">
        <v>4</v>
      </c>
      <c r="D4" s="172"/>
    </row>
    <row r="5" spans="1:20" x14ac:dyDescent="0.2">
      <c r="A5" s="43">
        <v>4.5</v>
      </c>
      <c r="B5" s="44">
        <v>789.03</v>
      </c>
      <c r="C5" s="50"/>
      <c r="D5" s="172"/>
    </row>
    <row r="6" spans="1:20" x14ac:dyDescent="0.2">
      <c r="A6" s="43">
        <v>6.5</v>
      </c>
      <c r="B6" s="44">
        <v>788.18</v>
      </c>
      <c r="C6" s="42"/>
      <c r="D6" s="172"/>
    </row>
    <row r="7" spans="1:20" x14ac:dyDescent="0.2">
      <c r="A7" s="43">
        <v>8.5</v>
      </c>
      <c r="B7" s="44">
        <v>788.41</v>
      </c>
      <c r="C7" s="42"/>
      <c r="D7" s="172"/>
    </row>
    <row r="8" spans="1:20" x14ac:dyDescent="0.2">
      <c r="A8" s="43">
        <v>8.5</v>
      </c>
      <c r="B8" s="44">
        <v>787.52</v>
      </c>
      <c r="C8" s="45"/>
      <c r="D8" s="172"/>
    </row>
    <row r="9" spans="1:20" x14ac:dyDescent="0.2">
      <c r="A9" s="16">
        <v>12.5</v>
      </c>
      <c r="B9" s="46">
        <v>786.93</v>
      </c>
      <c r="C9" s="45" t="s">
        <v>9</v>
      </c>
      <c r="D9" s="172"/>
    </row>
    <row r="10" spans="1:20" x14ac:dyDescent="0.2">
      <c r="A10" s="43">
        <v>17</v>
      </c>
      <c r="B10" s="44">
        <v>786.3</v>
      </c>
      <c r="C10" s="50"/>
      <c r="D10" s="172"/>
    </row>
    <row r="11" spans="1:20" x14ac:dyDescent="0.2">
      <c r="A11" s="43">
        <v>18</v>
      </c>
      <c r="B11" s="44">
        <v>786</v>
      </c>
      <c r="C11" s="45"/>
      <c r="D11" s="172"/>
    </row>
    <row r="12" spans="1:20" x14ac:dyDescent="0.2">
      <c r="A12" s="43">
        <v>19</v>
      </c>
      <c r="B12" s="44">
        <v>786.03</v>
      </c>
      <c r="C12" s="50"/>
      <c r="D12" s="172"/>
    </row>
    <row r="13" spans="1:20" x14ac:dyDescent="0.2">
      <c r="A13" s="43">
        <v>20</v>
      </c>
      <c r="B13" s="44">
        <v>785.64</v>
      </c>
      <c r="C13" s="42"/>
      <c r="D13" s="172"/>
    </row>
    <row r="14" spans="1:20" x14ac:dyDescent="0.2">
      <c r="A14" s="43">
        <v>21</v>
      </c>
      <c r="B14" s="44">
        <v>785.43</v>
      </c>
      <c r="C14" s="42"/>
      <c r="D14" s="172"/>
    </row>
    <row r="15" spans="1:20" x14ac:dyDescent="0.2">
      <c r="A15" s="43">
        <v>22</v>
      </c>
      <c r="B15" s="44">
        <v>785.43</v>
      </c>
      <c r="C15" s="42"/>
      <c r="D15" s="172"/>
    </row>
    <row r="16" spans="1:20" x14ac:dyDescent="0.2">
      <c r="A16" s="43">
        <v>22.6</v>
      </c>
      <c r="B16" s="44">
        <v>785.4</v>
      </c>
      <c r="C16" s="42"/>
      <c r="D16" s="172"/>
    </row>
    <row r="17" spans="1:4" x14ac:dyDescent="0.2">
      <c r="A17" s="43">
        <v>23.2</v>
      </c>
      <c r="B17" s="44">
        <v>785.17</v>
      </c>
      <c r="C17" s="42"/>
      <c r="D17" s="172"/>
    </row>
    <row r="18" spans="1:4" x14ac:dyDescent="0.2">
      <c r="A18" s="43">
        <v>23.8</v>
      </c>
      <c r="B18" s="44">
        <v>785.31</v>
      </c>
      <c r="C18" s="42"/>
      <c r="D18" s="172"/>
    </row>
    <row r="19" spans="1:4" x14ac:dyDescent="0.2">
      <c r="A19" s="43">
        <v>24.4</v>
      </c>
      <c r="B19" s="44">
        <v>785.13</v>
      </c>
      <c r="C19" s="42"/>
      <c r="D19" s="172"/>
    </row>
    <row r="20" spans="1:4" x14ac:dyDescent="0.2">
      <c r="A20" s="43">
        <v>25</v>
      </c>
      <c r="B20" s="44">
        <v>784.98</v>
      </c>
      <c r="C20" s="42"/>
      <c r="D20" s="172"/>
    </row>
    <row r="21" spans="1:4" x14ac:dyDescent="0.2">
      <c r="A21" s="43">
        <v>25.6</v>
      </c>
      <c r="B21" s="44">
        <v>784.83</v>
      </c>
      <c r="C21" s="50"/>
      <c r="D21" s="172"/>
    </row>
    <row r="22" spans="1:4" x14ac:dyDescent="0.2">
      <c r="A22" s="43">
        <v>26.2</v>
      </c>
      <c r="B22" s="44">
        <v>784.82</v>
      </c>
      <c r="C22" s="42"/>
      <c r="D22" s="172"/>
    </row>
    <row r="23" spans="1:4" x14ac:dyDescent="0.2">
      <c r="A23" s="43">
        <v>27</v>
      </c>
      <c r="B23" s="44">
        <v>786.88</v>
      </c>
      <c r="C23" s="50"/>
      <c r="D23" s="172"/>
    </row>
    <row r="24" spans="1:4" x14ac:dyDescent="0.2">
      <c r="A24" s="16">
        <v>27</v>
      </c>
      <c r="B24" s="46">
        <v>786.93</v>
      </c>
      <c r="C24" s="45" t="s">
        <v>10</v>
      </c>
      <c r="D24" s="172"/>
    </row>
    <row r="25" spans="1:4" s="7" customFormat="1" x14ac:dyDescent="0.2">
      <c r="A25" s="43">
        <v>28</v>
      </c>
      <c r="B25" s="44">
        <v>790.6</v>
      </c>
      <c r="C25" s="45"/>
      <c r="D25" s="172"/>
    </row>
    <row r="26" spans="1:4" x14ac:dyDescent="0.2">
      <c r="A26" s="43">
        <v>29</v>
      </c>
      <c r="B26" s="44">
        <v>791.69</v>
      </c>
      <c r="C26" s="42" t="s">
        <v>5</v>
      </c>
      <c r="D26" s="172"/>
    </row>
    <row r="27" spans="1:4" x14ac:dyDescent="0.2">
      <c r="A27" s="43"/>
      <c r="B27" s="44"/>
      <c r="C27" s="50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2"/>
      <c r="D32" s="172"/>
    </row>
    <row r="33" spans="1:4" x14ac:dyDescent="0.2">
      <c r="A33" s="43"/>
      <c r="B33" s="44"/>
      <c r="C33" s="42"/>
      <c r="D33" s="172"/>
    </row>
    <row r="34" spans="1:4" x14ac:dyDescent="0.2">
      <c r="A34" s="43"/>
      <c r="B34" s="44"/>
      <c r="C34" s="47"/>
      <c r="D34" s="172"/>
    </row>
    <row r="35" spans="1:4" ht="13.5" thickBot="1" x14ac:dyDescent="0.25">
      <c r="A35" s="6"/>
      <c r="B35" s="13"/>
      <c r="C35" s="26"/>
      <c r="D35" s="172"/>
    </row>
    <row r="36" spans="1:4" ht="20.100000000000001" customHeight="1" x14ac:dyDescent="0.2">
      <c r="A36" s="16">
        <v>12.5</v>
      </c>
      <c r="B36" s="46">
        <v>786.93</v>
      </c>
      <c r="C36" s="14" t="s">
        <v>9</v>
      </c>
      <c r="D36" s="173" t="s">
        <v>6</v>
      </c>
    </row>
    <row r="37" spans="1:4" ht="20.100000000000001" customHeight="1" thickBot="1" x14ac:dyDescent="0.25">
      <c r="A37" s="16">
        <v>27</v>
      </c>
      <c r="B37" s="46">
        <v>786.93</v>
      </c>
      <c r="C37" s="17" t="s">
        <v>10</v>
      </c>
      <c r="D37" s="173"/>
    </row>
    <row r="38" spans="1:4" ht="20.100000000000001" customHeight="1" thickBot="1" x14ac:dyDescent="0.25">
      <c r="A38" s="34">
        <v>26.8</v>
      </c>
      <c r="B38" s="35">
        <v>786.48299999999995</v>
      </c>
      <c r="C38" s="21" t="s">
        <v>8</v>
      </c>
      <c r="D38" s="173"/>
    </row>
    <row r="39" spans="1:4" ht="20.100000000000001" customHeight="1" thickBot="1" x14ac:dyDescent="0.25">
      <c r="A39" s="20">
        <v>26.8</v>
      </c>
      <c r="B39" s="36">
        <v>788.48299999999995</v>
      </c>
      <c r="C39" s="22" t="s">
        <v>8</v>
      </c>
      <c r="D39" s="173"/>
    </row>
    <row r="40" spans="1:4" ht="20.100000000000001" customHeight="1" x14ac:dyDescent="0.2">
      <c r="A40" s="15">
        <v>26.8</v>
      </c>
      <c r="B40" s="19">
        <v>788.85699999999997</v>
      </c>
      <c r="C40" s="23" t="s">
        <v>2</v>
      </c>
      <c r="D40" s="173"/>
    </row>
    <row r="41" spans="1:4" ht="20.100000000000001" customHeight="1" thickBot="1" x14ac:dyDescent="0.25">
      <c r="A41" s="28">
        <v>26.8</v>
      </c>
      <c r="B41" s="33">
        <v>790.35699999999997</v>
      </c>
      <c r="C41" s="8" t="s">
        <v>2</v>
      </c>
      <c r="D41" s="173"/>
    </row>
    <row r="42" spans="1:4" ht="13.5" thickBot="1" x14ac:dyDescent="0.25">
      <c r="A42" s="51">
        <v>4.5</v>
      </c>
      <c r="B42" s="52">
        <v>790.41</v>
      </c>
      <c r="C42" s="9" t="s">
        <v>7</v>
      </c>
      <c r="D42" s="1"/>
    </row>
    <row r="43" spans="1:4" ht="13.5" thickBot="1" x14ac:dyDescent="0.25">
      <c r="A43" s="16">
        <v>29</v>
      </c>
      <c r="B43" s="46">
        <v>791.69</v>
      </c>
      <c r="C43" s="9" t="s">
        <v>7</v>
      </c>
      <c r="D43" s="1"/>
    </row>
    <row r="44" spans="1:4" ht="16.5" thickBot="1" x14ac:dyDescent="0.3">
      <c r="A44" s="24" t="s">
        <v>12</v>
      </c>
      <c r="B44" s="4"/>
      <c r="C44" s="30">
        <v>0.34</v>
      </c>
      <c r="D44" s="1"/>
    </row>
    <row r="45" spans="1:4" ht="16.5" thickBot="1" x14ac:dyDescent="0.3">
      <c r="A45" s="10" t="s">
        <v>11</v>
      </c>
      <c r="B45" s="4"/>
      <c r="C45" s="18">
        <f>B38</f>
        <v>786.48299999999995</v>
      </c>
      <c r="D45" s="1"/>
    </row>
    <row r="46" spans="1:4" ht="20.25" customHeight="1" thickBot="1" x14ac:dyDescent="0.3">
      <c r="A46" s="10" t="s">
        <v>14</v>
      </c>
      <c r="C46" s="31">
        <f>B3</f>
        <v>791.2</v>
      </c>
      <c r="D46" s="1"/>
    </row>
    <row r="47" spans="1:4" ht="15.75" thickBot="1" x14ac:dyDescent="0.3">
      <c r="A47" s="24" t="s">
        <v>13</v>
      </c>
      <c r="C47" s="32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x14ac:dyDescent="0.2">
      <c r="A50" s="3"/>
      <c r="B50" s="4"/>
      <c r="C50" s="5"/>
      <c r="D50" s="1"/>
    </row>
    <row r="51" spans="1:5" x14ac:dyDescent="0.2">
      <c r="A51" s="3"/>
      <c r="B51" s="4"/>
      <c r="C51" s="5"/>
      <c r="D51" s="1"/>
    </row>
    <row r="52" spans="1:5" ht="18" x14ac:dyDescent="0.25">
      <c r="C52" s="49" t="s">
        <v>16</v>
      </c>
      <c r="D52" s="48"/>
      <c r="E52" s="48"/>
    </row>
  </sheetData>
  <mergeCells count="3">
    <mergeCell ref="A1:Q1"/>
    <mergeCell ref="D2:D35"/>
    <mergeCell ref="D36:D41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T50"/>
  <sheetViews>
    <sheetView showGridLines="0" topLeftCell="A7" zoomScale="75" workbookViewId="0">
      <selection activeCell="C17" sqref="C17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37">
        <v>0</v>
      </c>
      <c r="B3" s="38">
        <v>791.2</v>
      </c>
      <c r="C3" s="39" t="s">
        <v>17</v>
      </c>
      <c r="D3" s="172"/>
    </row>
    <row r="4" spans="1:20" x14ac:dyDescent="0.2">
      <c r="A4" s="40">
        <v>0</v>
      </c>
      <c r="B4" s="41">
        <v>791.19799999999998</v>
      </c>
      <c r="C4" s="42" t="s">
        <v>4</v>
      </c>
      <c r="D4" s="172"/>
    </row>
    <row r="5" spans="1:20" x14ac:dyDescent="0.2">
      <c r="A5" s="43">
        <v>1.7</v>
      </c>
      <c r="B5" s="44">
        <v>790.553</v>
      </c>
      <c r="C5" s="50"/>
      <c r="D5" s="172"/>
    </row>
    <row r="6" spans="1:20" x14ac:dyDescent="0.2">
      <c r="A6" s="43">
        <v>1.7</v>
      </c>
      <c r="B6" s="44">
        <v>790.33</v>
      </c>
      <c r="C6" s="42"/>
      <c r="D6" s="172"/>
    </row>
    <row r="7" spans="1:20" x14ac:dyDescent="0.2">
      <c r="A7" s="43">
        <v>3.7</v>
      </c>
      <c r="B7" s="44">
        <v>788.755</v>
      </c>
      <c r="C7" s="45"/>
      <c r="D7" s="172"/>
    </row>
    <row r="8" spans="1:20" x14ac:dyDescent="0.2">
      <c r="A8" s="78">
        <v>4.7</v>
      </c>
      <c r="B8" s="79">
        <v>788.62300000000005</v>
      </c>
      <c r="C8" s="45"/>
      <c r="D8" s="172"/>
    </row>
    <row r="9" spans="1:20" x14ac:dyDescent="0.2">
      <c r="A9" s="43">
        <v>5.7</v>
      </c>
      <c r="B9" s="44">
        <v>786.78800000000001</v>
      </c>
      <c r="C9" s="50"/>
      <c r="D9" s="172"/>
    </row>
    <row r="10" spans="1:20" x14ac:dyDescent="0.2">
      <c r="A10" s="16">
        <v>7.7</v>
      </c>
      <c r="B10" s="46">
        <v>786.92</v>
      </c>
      <c r="C10" s="42" t="s">
        <v>9</v>
      </c>
      <c r="D10" s="172"/>
    </row>
    <row r="11" spans="1:20" x14ac:dyDescent="0.2">
      <c r="A11" s="43">
        <v>11.7</v>
      </c>
      <c r="B11" s="44">
        <v>786.03</v>
      </c>
      <c r="C11" s="50"/>
      <c r="D11" s="172"/>
    </row>
    <row r="12" spans="1:20" x14ac:dyDescent="0.2">
      <c r="A12" s="43">
        <v>13.2</v>
      </c>
      <c r="B12" s="44">
        <v>785.62</v>
      </c>
      <c r="C12" s="42"/>
      <c r="D12" s="172"/>
    </row>
    <row r="13" spans="1:20" x14ac:dyDescent="0.2">
      <c r="A13" s="43">
        <v>14.7</v>
      </c>
      <c r="B13" s="44">
        <v>785.49</v>
      </c>
      <c r="C13" s="42"/>
      <c r="D13" s="172"/>
    </row>
    <row r="14" spans="1:20" x14ac:dyDescent="0.2">
      <c r="A14" s="43">
        <v>16.2</v>
      </c>
      <c r="B14" s="44">
        <v>785.53</v>
      </c>
      <c r="C14" s="42"/>
      <c r="D14" s="172"/>
    </row>
    <row r="15" spans="1:20" x14ac:dyDescent="0.2">
      <c r="A15" s="43">
        <v>17.7</v>
      </c>
      <c r="B15" s="44">
        <v>785.42</v>
      </c>
      <c r="C15" s="42"/>
      <c r="D15" s="172"/>
    </row>
    <row r="16" spans="1:20" x14ac:dyDescent="0.2">
      <c r="A16" s="43">
        <v>18.7</v>
      </c>
      <c r="B16" s="44">
        <v>785.33</v>
      </c>
      <c r="C16" s="42"/>
      <c r="D16" s="172"/>
    </row>
    <row r="17" spans="1:4" x14ac:dyDescent="0.2">
      <c r="A17" s="43">
        <v>19.7</v>
      </c>
      <c r="B17" s="44">
        <v>785.22</v>
      </c>
      <c r="C17" s="42"/>
      <c r="D17" s="172"/>
    </row>
    <row r="18" spans="1:4" x14ac:dyDescent="0.2">
      <c r="A18" s="43">
        <v>20.7</v>
      </c>
      <c r="B18" s="44">
        <v>785.37</v>
      </c>
      <c r="C18" s="42"/>
      <c r="D18" s="172"/>
    </row>
    <row r="19" spans="1:4" x14ac:dyDescent="0.2">
      <c r="A19" s="43">
        <v>21.7</v>
      </c>
      <c r="B19" s="44">
        <v>784.94</v>
      </c>
      <c r="C19" s="42"/>
      <c r="D19" s="172"/>
    </row>
    <row r="20" spans="1:4" x14ac:dyDescent="0.2">
      <c r="A20" s="43">
        <v>22.7</v>
      </c>
      <c r="B20" s="44">
        <v>784.92</v>
      </c>
      <c r="C20" s="50"/>
      <c r="D20" s="172"/>
    </row>
    <row r="21" spans="1:4" x14ac:dyDescent="0.2">
      <c r="A21" s="16">
        <v>22.7</v>
      </c>
      <c r="B21" s="46">
        <v>786.91800000000001</v>
      </c>
      <c r="C21" s="42" t="s">
        <v>10</v>
      </c>
      <c r="D21" s="172"/>
    </row>
    <row r="22" spans="1:4" x14ac:dyDescent="0.2">
      <c r="A22" s="78">
        <v>22.7</v>
      </c>
      <c r="B22" s="79">
        <v>788.82</v>
      </c>
      <c r="C22" s="45"/>
      <c r="D22" s="172"/>
    </row>
    <row r="23" spans="1:4" s="7" customFormat="1" x14ac:dyDescent="0.2">
      <c r="A23" s="43">
        <v>23.7</v>
      </c>
      <c r="B23" s="44">
        <v>790.11</v>
      </c>
      <c r="C23" s="45"/>
      <c r="D23" s="172"/>
    </row>
    <row r="24" spans="1:4" x14ac:dyDescent="0.2">
      <c r="A24" s="43">
        <v>24.7</v>
      </c>
      <c r="B24" s="44">
        <v>791.41</v>
      </c>
      <c r="C24" s="42"/>
      <c r="D24" s="172"/>
    </row>
    <row r="25" spans="1:4" x14ac:dyDescent="0.2">
      <c r="A25" s="43">
        <v>25.7</v>
      </c>
      <c r="B25" s="44">
        <v>792.7</v>
      </c>
      <c r="C25" s="42" t="s">
        <v>4</v>
      </c>
      <c r="D25" s="172"/>
    </row>
    <row r="26" spans="1:4" x14ac:dyDescent="0.2">
      <c r="A26" s="43"/>
      <c r="B26" s="44"/>
      <c r="C26" s="42"/>
      <c r="D26" s="172"/>
    </row>
    <row r="27" spans="1:4" x14ac:dyDescent="0.2">
      <c r="A27" s="43"/>
      <c r="B27" s="44"/>
      <c r="C27" s="42"/>
      <c r="D27" s="172"/>
    </row>
    <row r="28" spans="1:4" x14ac:dyDescent="0.2">
      <c r="A28" s="43"/>
      <c r="B28" s="44"/>
      <c r="C28" s="42"/>
      <c r="D28" s="172"/>
    </row>
    <row r="29" spans="1:4" x14ac:dyDescent="0.2">
      <c r="A29" s="43"/>
      <c r="B29" s="44"/>
      <c r="C29" s="42"/>
      <c r="D29" s="172"/>
    </row>
    <row r="30" spans="1:4" x14ac:dyDescent="0.2">
      <c r="A30" s="43"/>
      <c r="B30" s="44"/>
      <c r="C30" s="42"/>
      <c r="D30" s="172"/>
    </row>
    <row r="31" spans="1:4" x14ac:dyDescent="0.2">
      <c r="A31" s="43"/>
      <c r="B31" s="44"/>
      <c r="C31" s="42"/>
      <c r="D31" s="172"/>
    </row>
    <row r="32" spans="1:4" x14ac:dyDescent="0.2">
      <c r="A32" s="43"/>
      <c r="B32" s="44"/>
      <c r="C32" s="47"/>
      <c r="D32" s="172"/>
    </row>
    <row r="33" spans="1:4" ht="13.5" thickBot="1" x14ac:dyDescent="0.25">
      <c r="A33" s="6"/>
      <c r="B33" s="13"/>
      <c r="C33" s="26"/>
      <c r="D33" s="172"/>
    </row>
    <row r="34" spans="1:4" ht="20.100000000000001" customHeight="1" x14ac:dyDescent="0.2">
      <c r="A34" s="16">
        <v>7.7</v>
      </c>
      <c r="B34" s="46">
        <v>786.93</v>
      </c>
      <c r="C34" s="14" t="s">
        <v>9</v>
      </c>
      <c r="D34" s="173" t="s">
        <v>6</v>
      </c>
    </row>
    <row r="35" spans="1:4" ht="20.100000000000001" customHeight="1" thickBot="1" x14ac:dyDescent="0.25">
      <c r="A35" s="16">
        <v>22.7</v>
      </c>
      <c r="B35" s="46">
        <v>786.91800000000001</v>
      </c>
      <c r="C35" s="17" t="s">
        <v>10</v>
      </c>
      <c r="D35" s="173"/>
    </row>
    <row r="36" spans="1:4" ht="20.100000000000001" customHeight="1" thickBot="1" x14ac:dyDescent="0.25">
      <c r="A36" s="34">
        <v>21</v>
      </c>
      <c r="B36" s="35">
        <v>786.48299999999995</v>
      </c>
      <c r="C36" s="21" t="s">
        <v>8</v>
      </c>
      <c r="D36" s="173"/>
    </row>
    <row r="37" spans="1:4" ht="20.100000000000001" customHeight="1" thickBot="1" x14ac:dyDescent="0.25">
      <c r="A37" s="20">
        <v>21</v>
      </c>
      <c r="B37" s="36">
        <v>788.48299999999995</v>
      </c>
      <c r="C37" s="22" t="s">
        <v>8</v>
      </c>
      <c r="D37" s="173"/>
    </row>
    <row r="38" spans="1:4" ht="20.100000000000001" customHeight="1" x14ac:dyDescent="0.2">
      <c r="A38" s="15">
        <v>21.5</v>
      </c>
      <c r="B38" s="19">
        <v>788.85699999999997</v>
      </c>
      <c r="C38" s="23" t="s">
        <v>2</v>
      </c>
      <c r="D38" s="173"/>
    </row>
    <row r="39" spans="1:4" ht="20.100000000000001" customHeight="1" thickBot="1" x14ac:dyDescent="0.25">
      <c r="A39" s="28">
        <v>21.5</v>
      </c>
      <c r="B39" s="33">
        <v>790.35699999999997</v>
      </c>
      <c r="C39" s="8" t="s">
        <v>2</v>
      </c>
      <c r="D39" s="173"/>
    </row>
    <row r="40" spans="1:4" ht="13.5" thickBot="1" x14ac:dyDescent="0.25">
      <c r="A40" s="51">
        <v>0</v>
      </c>
      <c r="B40" s="52">
        <v>791.19799999999998</v>
      </c>
      <c r="C40" s="9" t="s">
        <v>7</v>
      </c>
      <c r="D40" s="1"/>
    </row>
    <row r="41" spans="1:4" ht="13.5" thickBot="1" x14ac:dyDescent="0.25">
      <c r="A41" s="16">
        <v>25.7</v>
      </c>
      <c r="B41" s="46">
        <v>792.7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0.44</v>
      </c>
      <c r="D42" s="1"/>
    </row>
    <row r="43" spans="1:4" ht="16.5" thickBot="1" x14ac:dyDescent="0.3">
      <c r="A43" s="10" t="s">
        <v>11</v>
      </c>
      <c r="B43" s="4"/>
      <c r="C43" s="18">
        <v>786.48</v>
      </c>
      <c r="D43" s="1"/>
    </row>
    <row r="44" spans="1:4" ht="20.25" customHeight="1" thickBot="1" x14ac:dyDescent="0.3">
      <c r="A44" s="10" t="s">
        <v>14</v>
      </c>
      <c r="C44" s="31">
        <f>B3</f>
        <v>791.2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49" t="s">
        <v>16</v>
      </c>
      <c r="D50" s="48"/>
      <c r="E50" s="48"/>
    </row>
  </sheetData>
  <mergeCells count="3">
    <mergeCell ref="A1:Q1"/>
    <mergeCell ref="D2:D33"/>
    <mergeCell ref="D34:D39"/>
  </mergeCells>
  <phoneticPr fontId="21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T50"/>
  <sheetViews>
    <sheetView showGridLines="0" zoomScale="75" workbookViewId="0">
      <selection activeCell="R54" sqref="R5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74">
        <v>0</v>
      </c>
      <c r="B3" s="75">
        <v>791.2</v>
      </c>
      <c r="C3" s="39" t="s">
        <v>17</v>
      </c>
      <c r="D3" s="172"/>
    </row>
    <row r="4" spans="1:20" x14ac:dyDescent="0.2">
      <c r="A4" s="76">
        <v>0</v>
      </c>
      <c r="B4" s="77">
        <v>792.5</v>
      </c>
      <c r="C4" s="42" t="s">
        <v>4</v>
      </c>
      <c r="D4" s="172"/>
    </row>
    <row r="5" spans="1:20" x14ac:dyDescent="0.2">
      <c r="A5" s="78">
        <v>0.3</v>
      </c>
      <c r="B5" s="79">
        <v>790.46</v>
      </c>
      <c r="C5" s="50"/>
      <c r="D5" s="172"/>
    </row>
    <row r="6" spans="1:20" x14ac:dyDescent="0.2">
      <c r="A6" s="78">
        <v>4.3</v>
      </c>
      <c r="B6" s="79">
        <v>786.66</v>
      </c>
      <c r="C6" s="42"/>
      <c r="D6" s="172"/>
    </row>
    <row r="7" spans="1:20" x14ac:dyDescent="0.2">
      <c r="A7" s="16">
        <v>10</v>
      </c>
      <c r="B7" s="46">
        <v>786.04</v>
      </c>
      <c r="C7" s="45" t="s">
        <v>9</v>
      </c>
      <c r="D7" s="172"/>
    </row>
    <row r="8" spans="1:20" x14ac:dyDescent="0.2">
      <c r="A8" s="78">
        <v>12</v>
      </c>
      <c r="B8" s="79">
        <v>785.54</v>
      </c>
      <c r="C8" s="45"/>
      <c r="D8" s="172"/>
    </row>
    <row r="9" spans="1:20" x14ac:dyDescent="0.2">
      <c r="A9" s="78">
        <v>13</v>
      </c>
      <c r="B9" s="79">
        <v>785.39</v>
      </c>
      <c r="C9" s="50"/>
      <c r="D9" s="172"/>
    </row>
    <row r="10" spans="1:20" x14ac:dyDescent="0.2">
      <c r="A10" s="78">
        <v>14</v>
      </c>
      <c r="B10" s="79">
        <v>785.32</v>
      </c>
      <c r="C10" s="42"/>
      <c r="D10" s="172"/>
    </row>
    <row r="11" spans="1:20" x14ac:dyDescent="0.2">
      <c r="A11" s="78">
        <v>15</v>
      </c>
      <c r="B11" s="79">
        <v>785.37</v>
      </c>
      <c r="C11" s="50"/>
      <c r="D11" s="172"/>
    </row>
    <row r="12" spans="1:20" x14ac:dyDescent="0.2">
      <c r="A12" s="78">
        <v>16</v>
      </c>
      <c r="B12" s="79">
        <v>785.34</v>
      </c>
      <c r="C12" s="42"/>
      <c r="D12" s="172"/>
    </row>
    <row r="13" spans="1:20" x14ac:dyDescent="0.2">
      <c r="A13" s="78">
        <v>17</v>
      </c>
      <c r="B13" s="79">
        <v>785.19</v>
      </c>
      <c r="C13" s="42"/>
      <c r="D13" s="172"/>
    </row>
    <row r="14" spans="1:20" x14ac:dyDescent="0.2">
      <c r="A14" s="78">
        <v>17.5</v>
      </c>
      <c r="B14" s="79">
        <v>785.19</v>
      </c>
      <c r="C14" s="42"/>
      <c r="D14" s="172"/>
    </row>
    <row r="15" spans="1:20" x14ac:dyDescent="0.2">
      <c r="A15" s="78">
        <v>18</v>
      </c>
      <c r="B15" s="79">
        <v>785.09</v>
      </c>
      <c r="C15" s="42"/>
      <c r="D15" s="172"/>
    </row>
    <row r="16" spans="1:20" x14ac:dyDescent="0.2">
      <c r="A16" s="78">
        <v>18.5</v>
      </c>
      <c r="B16" s="79">
        <v>784.94</v>
      </c>
      <c r="C16" s="42"/>
      <c r="D16" s="172"/>
    </row>
    <row r="17" spans="1:4" x14ac:dyDescent="0.2">
      <c r="A17" s="78">
        <v>19</v>
      </c>
      <c r="B17" s="79">
        <v>784.94</v>
      </c>
      <c r="C17" s="42"/>
      <c r="D17" s="172"/>
    </row>
    <row r="18" spans="1:4" x14ac:dyDescent="0.2">
      <c r="A18" s="78">
        <v>19.5</v>
      </c>
      <c r="B18" s="79">
        <v>784.74</v>
      </c>
      <c r="C18" s="42"/>
      <c r="D18" s="172"/>
    </row>
    <row r="19" spans="1:4" x14ac:dyDescent="0.2">
      <c r="A19" s="78">
        <v>20</v>
      </c>
      <c r="B19" s="79">
        <v>784.74</v>
      </c>
      <c r="C19" s="42"/>
      <c r="D19" s="172"/>
    </row>
    <row r="20" spans="1:4" x14ac:dyDescent="0.2">
      <c r="A20" s="78">
        <v>20.5</v>
      </c>
      <c r="B20" s="79">
        <v>784.49</v>
      </c>
      <c r="C20" s="50"/>
      <c r="D20" s="172"/>
    </row>
    <row r="21" spans="1:4" x14ac:dyDescent="0.2">
      <c r="A21" s="78">
        <v>21</v>
      </c>
      <c r="B21" s="79">
        <v>784.47</v>
      </c>
      <c r="C21" s="42"/>
      <c r="D21" s="172"/>
    </row>
    <row r="22" spans="1:4" x14ac:dyDescent="0.2">
      <c r="A22" s="78">
        <v>21.5</v>
      </c>
      <c r="B22" s="79">
        <v>784.34</v>
      </c>
      <c r="C22" s="45"/>
      <c r="D22" s="172"/>
    </row>
    <row r="23" spans="1:4" s="80" customFormat="1" x14ac:dyDescent="0.2">
      <c r="A23" s="78">
        <v>22</v>
      </c>
      <c r="B23" s="79">
        <v>784.29</v>
      </c>
      <c r="C23" s="45"/>
      <c r="D23" s="172"/>
    </row>
    <row r="24" spans="1:4" x14ac:dyDescent="0.2">
      <c r="A24" s="78">
        <v>22.5</v>
      </c>
      <c r="B24" s="79">
        <v>784.04</v>
      </c>
      <c r="C24" s="42"/>
      <c r="D24" s="172"/>
    </row>
    <row r="25" spans="1:4" x14ac:dyDescent="0.2">
      <c r="A25" s="78">
        <v>23</v>
      </c>
      <c r="B25" s="79">
        <v>783.94</v>
      </c>
      <c r="C25" s="42"/>
      <c r="D25" s="172"/>
    </row>
    <row r="26" spans="1:4" x14ac:dyDescent="0.2">
      <c r="A26" s="78">
        <v>23.8</v>
      </c>
      <c r="B26" s="79">
        <v>784.29</v>
      </c>
      <c r="C26" s="42"/>
      <c r="D26" s="172"/>
    </row>
    <row r="27" spans="1:4" x14ac:dyDescent="0.2">
      <c r="A27" s="16">
        <v>23.8</v>
      </c>
      <c r="B27" s="46">
        <v>786.04</v>
      </c>
      <c r="C27" s="42" t="s">
        <v>10</v>
      </c>
      <c r="D27" s="172"/>
    </row>
    <row r="28" spans="1:4" x14ac:dyDescent="0.2">
      <c r="A28" s="78">
        <v>23.8</v>
      </c>
      <c r="B28" s="79">
        <v>788.83</v>
      </c>
      <c r="C28" s="42"/>
      <c r="D28" s="172"/>
    </row>
    <row r="29" spans="1:4" x14ac:dyDescent="0.2">
      <c r="A29" s="78">
        <v>25</v>
      </c>
      <c r="B29" s="79">
        <v>790.27</v>
      </c>
      <c r="C29" s="42"/>
      <c r="D29" s="172"/>
    </row>
    <row r="30" spans="1:4" x14ac:dyDescent="0.2">
      <c r="A30" s="78">
        <v>27</v>
      </c>
      <c r="B30" s="79">
        <v>792.3</v>
      </c>
      <c r="C30" s="42" t="s">
        <v>5</v>
      </c>
      <c r="D30" s="172"/>
    </row>
    <row r="31" spans="1:4" x14ac:dyDescent="0.2">
      <c r="A31" s="78">
        <v>27</v>
      </c>
      <c r="B31" s="79">
        <v>791.2</v>
      </c>
      <c r="C31" s="42" t="s">
        <v>17</v>
      </c>
      <c r="D31" s="172"/>
    </row>
    <row r="32" spans="1:4" x14ac:dyDescent="0.2">
      <c r="A32" s="78"/>
      <c r="B32" s="79"/>
      <c r="C32" s="81"/>
      <c r="D32" s="172"/>
    </row>
    <row r="33" spans="1:4" ht="13.5" thickBot="1" x14ac:dyDescent="0.25">
      <c r="A33" s="6"/>
      <c r="B33" s="13"/>
      <c r="C33" s="26"/>
      <c r="D33" s="172"/>
    </row>
    <row r="34" spans="1:4" ht="20.100000000000001" customHeight="1" x14ac:dyDescent="0.2">
      <c r="A34" s="16">
        <v>10</v>
      </c>
      <c r="B34" s="46">
        <v>786.04</v>
      </c>
      <c r="C34" s="14" t="s">
        <v>9</v>
      </c>
      <c r="D34" s="173" t="s">
        <v>6</v>
      </c>
    </row>
    <row r="35" spans="1:4" ht="20.100000000000001" customHeight="1" thickBot="1" x14ac:dyDescent="0.25">
      <c r="A35" s="16">
        <v>23.8</v>
      </c>
      <c r="B35" s="46">
        <v>786.04</v>
      </c>
      <c r="C35" s="17" t="s">
        <v>10</v>
      </c>
      <c r="D35" s="173"/>
    </row>
    <row r="36" spans="1:4" ht="20.100000000000001" customHeight="1" thickBot="1" x14ac:dyDescent="0.25">
      <c r="A36" s="34">
        <v>21</v>
      </c>
      <c r="B36" s="35">
        <v>785.79100000000005</v>
      </c>
      <c r="C36" s="21" t="s">
        <v>8</v>
      </c>
      <c r="D36" s="173"/>
    </row>
    <row r="37" spans="1:4" ht="20.100000000000001" customHeight="1" thickBot="1" x14ac:dyDescent="0.25">
      <c r="A37" s="20">
        <v>21</v>
      </c>
      <c r="B37" s="36">
        <v>788.48299999999995</v>
      </c>
      <c r="C37" s="22" t="s">
        <v>8</v>
      </c>
      <c r="D37" s="173"/>
    </row>
    <row r="38" spans="1:4" ht="20.100000000000001" customHeight="1" x14ac:dyDescent="0.2">
      <c r="A38" s="15">
        <v>21.5</v>
      </c>
      <c r="B38" s="19">
        <v>788.85699999999997</v>
      </c>
      <c r="C38" s="23" t="s">
        <v>2</v>
      </c>
      <c r="D38" s="173"/>
    </row>
    <row r="39" spans="1:4" ht="20.100000000000001" customHeight="1" thickBot="1" x14ac:dyDescent="0.25">
      <c r="A39" s="28">
        <v>21.5</v>
      </c>
      <c r="B39" s="33">
        <v>790.35699999999997</v>
      </c>
      <c r="C39" s="8" t="s">
        <v>2</v>
      </c>
      <c r="D39" s="173"/>
    </row>
    <row r="40" spans="1:4" ht="13.5" thickBot="1" x14ac:dyDescent="0.25">
      <c r="A40" s="51">
        <v>0</v>
      </c>
      <c r="B40" s="52">
        <v>791.19799999999998</v>
      </c>
      <c r="C40" s="9" t="s">
        <v>7</v>
      </c>
      <c r="D40" s="1"/>
    </row>
    <row r="41" spans="1:4" ht="13.5" thickBot="1" x14ac:dyDescent="0.25">
      <c r="A41" s="16">
        <v>25.7</v>
      </c>
      <c r="B41" s="46">
        <v>792.7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0.25</v>
      </c>
      <c r="D42" s="1"/>
    </row>
    <row r="43" spans="1:4" ht="16.5" thickBot="1" x14ac:dyDescent="0.3">
      <c r="A43" s="10" t="s">
        <v>11</v>
      </c>
      <c r="B43" s="4"/>
      <c r="C43" s="18">
        <v>786.48</v>
      </c>
      <c r="D43" s="1"/>
    </row>
    <row r="44" spans="1:4" ht="20.25" customHeight="1" thickBot="1" x14ac:dyDescent="0.3">
      <c r="A44" s="10" t="s">
        <v>14</v>
      </c>
      <c r="C44" s="31">
        <f>B3</f>
        <v>791.2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49" t="s">
        <v>16</v>
      </c>
      <c r="D50" s="48"/>
      <c r="E50" s="48"/>
    </row>
  </sheetData>
  <mergeCells count="3">
    <mergeCell ref="A1:Q1"/>
    <mergeCell ref="D2:D33"/>
    <mergeCell ref="D34:D39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T50"/>
  <sheetViews>
    <sheetView showGridLines="0" zoomScale="75" workbookViewId="0">
      <selection activeCell="O50" sqref="O50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74">
        <v>0</v>
      </c>
      <c r="B3" s="75">
        <v>791.2</v>
      </c>
      <c r="C3" s="39" t="s">
        <v>17</v>
      </c>
      <c r="D3" s="172"/>
    </row>
    <row r="4" spans="1:20" x14ac:dyDescent="0.2">
      <c r="A4" s="76">
        <v>0</v>
      </c>
      <c r="B4" s="77">
        <v>790.63</v>
      </c>
      <c r="C4" s="42" t="s">
        <v>4</v>
      </c>
      <c r="D4" s="172"/>
    </row>
    <row r="5" spans="1:20" x14ac:dyDescent="0.2">
      <c r="A5" s="78">
        <v>0.4</v>
      </c>
      <c r="B5" s="79">
        <v>789.25</v>
      </c>
      <c r="C5" s="50"/>
      <c r="D5" s="172"/>
    </row>
    <row r="6" spans="1:20" x14ac:dyDescent="0.2">
      <c r="A6" s="78">
        <v>5.4</v>
      </c>
      <c r="B6" s="79">
        <v>786.65</v>
      </c>
      <c r="C6" s="42"/>
      <c r="D6" s="172"/>
    </row>
    <row r="7" spans="1:20" x14ac:dyDescent="0.2">
      <c r="A7" s="16">
        <v>10.4</v>
      </c>
      <c r="B7" s="46">
        <v>786.04</v>
      </c>
      <c r="C7" s="45" t="s">
        <v>9</v>
      </c>
      <c r="D7" s="172"/>
    </row>
    <row r="8" spans="1:20" x14ac:dyDescent="0.2">
      <c r="A8" s="78">
        <v>11.4</v>
      </c>
      <c r="B8" s="79">
        <v>785.24</v>
      </c>
      <c r="C8" s="45"/>
      <c r="D8" s="172"/>
    </row>
    <row r="9" spans="1:20" x14ac:dyDescent="0.2">
      <c r="A9" s="78">
        <v>12.4</v>
      </c>
      <c r="B9" s="79">
        <v>785.07</v>
      </c>
      <c r="C9" s="50"/>
      <c r="D9" s="172"/>
    </row>
    <row r="10" spans="1:20" x14ac:dyDescent="0.2">
      <c r="A10" s="78">
        <v>13.4</v>
      </c>
      <c r="B10" s="79">
        <v>784.88</v>
      </c>
      <c r="C10" s="42"/>
      <c r="D10" s="172"/>
    </row>
    <row r="11" spans="1:20" x14ac:dyDescent="0.2">
      <c r="A11" s="78">
        <v>14.4</v>
      </c>
      <c r="B11" s="79">
        <v>784.81</v>
      </c>
      <c r="C11" s="50"/>
      <c r="D11" s="172"/>
    </row>
    <row r="12" spans="1:20" x14ac:dyDescent="0.2">
      <c r="A12" s="78">
        <v>15.4</v>
      </c>
      <c r="B12" s="79">
        <v>784.69</v>
      </c>
      <c r="C12" s="42"/>
      <c r="D12" s="172"/>
    </row>
    <row r="13" spans="1:20" x14ac:dyDescent="0.2">
      <c r="A13" s="78">
        <v>16.399999999999999</v>
      </c>
      <c r="B13" s="79">
        <v>784.47</v>
      </c>
      <c r="C13" s="42"/>
      <c r="D13" s="172"/>
    </row>
    <row r="14" spans="1:20" x14ac:dyDescent="0.2">
      <c r="A14" s="78">
        <v>17.399999999999999</v>
      </c>
      <c r="B14" s="79">
        <v>784.35</v>
      </c>
      <c r="C14" s="42"/>
      <c r="D14" s="172"/>
    </row>
    <row r="15" spans="1:20" x14ac:dyDescent="0.2">
      <c r="A15" s="78">
        <v>18.399999999999999</v>
      </c>
      <c r="B15" s="79">
        <v>784.18</v>
      </c>
      <c r="C15" s="42"/>
      <c r="D15" s="172"/>
    </row>
    <row r="16" spans="1:20" x14ac:dyDescent="0.2">
      <c r="A16" s="78">
        <v>19.399999999999999</v>
      </c>
      <c r="B16" s="79">
        <v>784.33</v>
      </c>
      <c r="C16" s="42"/>
      <c r="D16" s="172"/>
    </row>
    <row r="17" spans="1:4" x14ac:dyDescent="0.2">
      <c r="A17" s="78">
        <v>20.399999999999999</v>
      </c>
      <c r="B17" s="79">
        <v>784.78</v>
      </c>
      <c r="C17" s="42"/>
      <c r="D17" s="172"/>
    </row>
    <row r="18" spans="1:4" x14ac:dyDescent="0.2">
      <c r="A18" s="78">
        <v>20.399999999999999</v>
      </c>
      <c r="B18" s="79">
        <v>786.04</v>
      </c>
      <c r="C18" s="42" t="s">
        <v>10</v>
      </c>
      <c r="D18" s="172"/>
    </row>
    <row r="19" spans="1:4" x14ac:dyDescent="0.2">
      <c r="A19" s="78">
        <v>20.399999999999999</v>
      </c>
      <c r="B19" s="79">
        <v>787.84</v>
      </c>
      <c r="C19" s="42"/>
      <c r="D19" s="172"/>
    </row>
    <row r="20" spans="1:4" x14ac:dyDescent="0.2">
      <c r="A20" s="78">
        <v>21.9</v>
      </c>
      <c r="B20" s="79">
        <v>788.81</v>
      </c>
      <c r="C20" s="50"/>
      <c r="D20" s="172"/>
    </row>
    <row r="21" spans="1:4" x14ac:dyDescent="0.2">
      <c r="A21" s="78">
        <v>24.4</v>
      </c>
      <c r="B21" s="79">
        <v>791.43</v>
      </c>
      <c r="C21" s="42" t="s">
        <v>5</v>
      </c>
      <c r="D21" s="172"/>
    </row>
    <row r="22" spans="1:4" x14ac:dyDescent="0.2">
      <c r="A22" s="78">
        <v>24.4</v>
      </c>
      <c r="B22" s="79">
        <v>791.21</v>
      </c>
      <c r="C22" s="45" t="s">
        <v>17</v>
      </c>
      <c r="D22" s="172"/>
    </row>
    <row r="23" spans="1:4" s="80" customFormat="1" x14ac:dyDescent="0.2">
      <c r="A23" s="78"/>
      <c r="B23" s="79"/>
      <c r="C23" s="45"/>
      <c r="D23" s="172"/>
    </row>
    <row r="24" spans="1:4" x14ac:dyDescent="0.2">
      <c r="A24" s="78"/>
      <c r="B24" s="79"/>
      <c r="C24" s="42"/>
      <c r="D24" s="172"/>
    </row>
    <row r="25" spans="1:4" x14ac:dyDescent="0.2">
      <c r="A25" s="16"/>
      <c r="B25" s="46"/>
      <c r="C25" s="45"/>
      <c r="D25" s="172"/>
    </row>
    <row r="26" spans="1:4" x14ac:dyDescent="0.2">
      <c r="A26" s="78"/>
      <c r="B26" s="79"/>
      <c r="C26" s="42"/>
      <c r="D26" s="172"/>
    </row>
    <row r="27" spans="1:4" x14ac:dyDescent="0.2">
      <c r="A27" s="78"/>
      <c r="B27" s="79"/>
      <c r="C27" s="42"/>
      <c r="D27" s="172"/>
    </row>
    <row r="28" spans="1:4" x14ac:dyDescent="0.2">
      <c r="A28" s="78"/>
      <c r="B28" s="79"/>
      <c r="C28" s="42"/>
      <c r="D28" s="172"/>
    </row>
    <row r="29" spans="1:4" x14ac:dyDescent="0.2">
      <c r="A29" s="78"/>
      <c r="B29" s="79"/>
      <c r="C29" s="42"/>
      <c r="D29" s="172"/>
    </row>
    <row r="30" spans="1:4" x14ac:dyDescent="0.2">
      <c r="A30" s="78"/>
      <c r="B30" s="79"/>
      <c r="C30" s="42"/>
      <c r="D30" s="172"/>
    </row>
    <row r="31" spans="1:4" x14ac:dyDescent="0.2">
      <c r="A31" s="78"/>
      <c r="B31" s="79"/>
      <c r="C31" s="42"/>
      <c r="D31" s="172"/>
    </row>
    <row r="32" spans="1:4" x14ac:dyDescent="0.2">
      <c r="A32" s="78"/>
      <c r="B32" s="79"/>
      <c r="C32" s="81"/>
      <c r="D32" s="172"/>
    </row>
    <row r="33" spans="1:4" ht="13.5" thickBot="1" x14ac:dyDescent="0.25">
      <c r="A33" s="6"/>
      <c r="B33" s="13"/>
      <c r="C33" s="26"/>
      <c r="D33" s="172"/>
    </row>
    <row r="34" spans="1:4" ht="20.100000000000001" customHeight="1" x14ac:dyDescent="0.2">
      <c r="A34" s="16">
        <v>10.4</v>
      </c>
      <c r="B34" s="46">
        <v>786.04</v>
      </c>
      <c r="C34" s="14" t="s">
        <v>9</v>
      </c>
      <c r="D34" s="173" t="s">
        <v>6</v>
      </c>
    </row>
    <row r="35" spans="1:4" ht="20.100000000000001" customHeight="1" thickBot="1" x14ac:dyDescent="0.25">
      <c r="A35" s="16">
        <v>20.399999999999999</v>
      </c>
      <c r="B35" s="46">
        <v>786.04</v>
      </c>
      <c r="C35" s="17" t="s">
        <v>10</v>
      </c>
      <c r="D35" s="173"/>
    </row>
    <row r="36" spans="1:4" ht="20.100000000000001" customHeight="1" thickBot="1" x14ac:dyDescent="0.25">
      <c r="A36" s="34">
        <v>22.7</v>
      </c>
      <c r="B36" s="35">
        <v>785.81399999999996</v>
      </c>
      <c r="C36" s="21" t="s">
        <v>8</v>
      </c>
      <c r="D36" s="173"/>
    </row>
    <row r="37" spans="1:4" ht="20.100000000000001" customHeight="1" thickBot="1" x14ac:dyDescent="0.25">
      <c r="A37" s="20">
        <v>22.7</v>
      </c>
      <c r="B37" s="36">
        <v>788.81399999999996</v>
      </c>
      <c r="C37" s="22" t="s">
        <v>8</v>
      </c>
      <c r="D37" s="173"/>
    </row>
    <row r="38" spans="1:4" ht="20.100000000000001" customHeight="1" x14ac:dyDescent="0.2">
      <c r="A38" s="15">
        <v>23</v>
      </c>
      <c r="B38" s="19">
        <v>788.20100000000002</v>
      </c>
      <c r="C38" s="23" t="s">
        <v>2</v>
      </c>
      <c r="D38" s="173"/>
    </row>
    <row r="39" spans="1:4" ht="20.100000000000001" customHeight="1" thickBot="1" x14ac:dyDescent="0.25">
      <c r="A39" s="28">
        <v>23</v>
      </c>
      <c r="B39" s="33">
        <v>789.70100000000002</v>
      </c>
      <c r="C39" s="8" t="s">
        <v>2</v>
      </c>
      <c r="D39" s="173"/>
    </row>
    <row r="40" spans="1:4" ht="13.5" thickBot="1" x14ac:dyDescent="0.25">
      <c r="A40" s="51">
        <v>0</v>
      </c>
      <c r="B40" s="52">
        <v>794.05</v>
      </c>
      <c r="C40" s="9" t="s">
        <v>7</v>
      </c>
      <c r="D40" s="1"/>
    </row>
    <row r="41" spans="1:4" ht="13.5" thickBot="1" x14ac:dyDescent="0.25">
      <c r="A41" s="16">
        <v>26.2</v>
      </c>
      <c r="B41" s="46">
        <v>791.25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0.27</v>
      </c>
      <c r="D42" s="1"/>
    </row>
    <row r="43" spans="1:4" ht="16.5" thickBot="1" x14ac:dyDescent="0.3">
      <c r="A43" s="10" t="s">
        <v>11</v>
      </c>
      <c r="B43" s="4"/>
      <c r="C43" s="18">
        <f>B36</f>
        <v>785.81399999999996</v>
      </c>
      <c r="D43" s="1"/>
    </row>
    <row r="44" spans="1:4" ht="20.25" customHeight="1" thickBot="1" x14ac:dyDescent="0.3">
      <c r="A44" s="10" t="s">
        <v>14</v>
      </c>
      <c r="C44" s="31">
        <f>B3</f>
        <v>791.2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49" t="s">
        <v>16</v>
      </c>
      <c r="D50" s="48"/>
      <c r="E50" s="48"/>
    </row>
  </sheetData>
  <mergeCells count="3">
    <mergeCell ref="A1:Q1"/>
    <mergeCell ref="D2:D33"/>
    <mergeCell ref="D34:D39"/>
  </mergeCells>
  <phoneticPr fontId="0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T50"/>
  <sheetViews>
    <sheetView showGridLines="0" zoomScale="75" workbookViewId="0">
      <selection activeCell="V24" sqref="V24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18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74">
        <v>0</v>
      </c>
      <c r="B3" s="75">
        <v>791.2</v>
      </c>
      <c r="C3" s="39" t="s">
        <v>30</v>
      </c>
      <c r="D3" s="172"/>
    </row>
    <row r="4" spans="1:20" x14ac:dyDescent="0.2">
      <c r="A4" s="76">
        <v>0</v>
      </c>
      <c r="B4" s="77">
        <v>794.05</v>
      </c>
      <c r="C4" s="42" t="s">
        <v>4</v>
      </c>
      <c r="D4" s="172"/>
    </row>
    <row r="5" spans="1:20" x14ac:dyDescent="0.2">
      <c r="A5" s="78">
        <v>6</v>
      </c>
      <c r="B5" s="79">
        <v>787.8</v>
      </c>
      <c r="C5" s="50"/>
      <c r="D5" s="172"/>
    </row>
    <row r="6" spans="1:20" x14ac:dyDescent="0.2">
      <c r="A6" s="78">
        <v>6</v>
      </c>
      <c r="B6" s="79">
        <v>786.66</v>
      </c>
      <c r="C6" s="42"/>
      <c r="D6" s="172"/>
    </row>
    <row r="7" spans="1:20" x14ac:dyDescent="0.2">
      <c r="A7" s="16">
        <v>10</v>
      </c>
      <c r="B7" s="46">
        <v>786.03</v>
      </c>
      <c r="C7" s="82" t="s">
        <v>9</v>
      </c>
      <c r="D7" s="172"/>
    </row>
    <row r="8" spans="1:20" x14ac:dyDescent="0.2">
      <c r="A8" s="78">
        <v>12</v>
      </c>
      <c r="B8" s="79">
        <v>785.53</v>
      </c>
      <c r="C8" s="45"/>
      <c r="D8" s="172"/>
    </row>
    <row r="9" spans="1:20" x14ac:dyDescent="0.2">
      <c r="A9" s="78">
        <v>13</v>
      </c>
      <c r="B9" s="79">
        <v>785.53</v>
      </c>
      <c r="C9" s="50"/>
      <c r="D9" s="172"/>
    </row>
    <row r="10" spans="1:20" x14ac:dyDescent="0.2">
      <c r="A10" s="78">
        <v>14</v>
      </c>
      <c r="B10" s="79">
        <v>785.33</v>
      </c>
      <c r="C10" s="42"/>
      <c r="D10" s="172"/>
    </row>
    <row r="11" spans="1:20" x14ac:dyDescent="0.2">
      <c r="A11" s="78">
        <v>16</v>
      </c>
      <c r="B11" s="79">
        <v>784.88</v>
      </c>
      <c r="C11" s="50"/>
      <c r="D11" s="172"/>
    </row>
    <row r="12" spans="1:20" x14ac:dyDescent="0.2">
      <c r="A12" s="78">
        <v>17</v>
      </c>
      <c r="B12" s="79">
        <v>784.93</v>
      </c>
      <c r="C12" s="42"/>
      <c r="D12" s="172"/>
    </row>
    <row r="13" spans="1:20" x14ac:dyDescent="0.2">
      <c r="A13" s="78">
        <v>18</v>
      </c>
      <c r="B13" s="79">
        <v>784.93</v>
      </c>
      <c r="C13" s="42"/>
      <c r="D13" s="172"/>
    </row>
    <row r="14" spans="1:20" x14ac:dyDescent="0.2">
      <c r="A14" s="78">
        <v>18.5</v>
      </c>
      <c r="B14" s="79">
        <v>784.83</v>
      </c>
      <c r="C14" s="42"/>
      <c r="D14" s="172"/>
    </row>
    <row r="15" spans="1:20" x14ac:dyDescent="0.2">
      <c r="A15" s="78">
        <v>19</v>
      </c>
      <c r="B15" s="79">
        <v>784.83</v>
      </c>
      <c r="C15" s="42"/>
      <c r="D15" s="172"/>
    </row>
    <row r="16" spans="1:20" x14ac:dyDescent="0.2">
      <c r="A16" s="78">
        <v>19.5</v>
      </c>
      <c r="B16" s="79">
        <v>784.78</v>
      </c>
      <c r="C16" s="42"/>
      <c r="D16" s="172"/>
    </row>
    <row r="17" spans="1:4" x14ac:dyDescent="0.2">
      <c r="A17" s="78">
        <v>20</v>
      </c>
      <c r="B17" s="79">
        <v>784.63</v>
      </c>
      <c r="C17" s="42"/>
      <c r="D17" s="172"/>
    </row>
    <row r="18" spans="1:4" x14ac:dyDescent="0.2">
      <c r="A18" s="78">
        <v>20.5</v>
      </c>
      <c r="B18" s="79">
        <v>784.48</v>
      </c>
      <c r="C18" s="42"/>
      <c r="D18" s="172"/>
    </row>
    <row r="19" spans="1:4" x14ac:dyDescent="0.2">
      <c r="A19" s="78">
        <v>21</v>
      </c>
      <c r="B19" s="79">
        <v>784.53</v>
      </c>
      <c r="C19" s="42"/>
      <c r="D19" s="172"/>
    </row>
    <row r="20" spans="1:4" x14ac:dyDescent="0.2">
      <c r="A20" s="78">
        <v>21.5</v>
      </c>
      <c r="B20" s="79">
        <v>784.43</v>
      </c>
      <c r="C20" s="50"/>
      <c r="D20" s="172"/>
    </row>
    <row r="21" spans="1:4" x14ac:dyDescent="0.2">
      <c r="A21" s="78">
        <v>22</v>
      </c>
      <c r="B21" s="79">
        <v>784.53</v>
      </c>
      <c r="C21" s="42"/>
      <c r="D21" s="172"/>
    </row>
    <row r="22" spans="1:4" x14ac:dyDescent="0.2">
      <c r="A22" s="78">
        <v>22.5</v>
      </c>
      <c r="B22" s="79">
        <v>784.43</v>
      </c>
      <c r="C22" s="45"/>
      <c r="D22" s="172"/>
    </row>
    <row r="23" spans="1:4" s="80" customFormat="1" x14ac:dyDescent="0.2">
      <c r="A23" s="78">
        <v>23</v>
      </c>
      <c r="B23" s="79">
        <v>784.83</v>
      </c>
      <c r="C23" s="45"/>
      <c r="D23" s="172"/>
    </row>
    <row r="24" spans="1:4" x14ac:dyDescent="0.2">
      <c r="A24" s="78">
        <v>23.7</v>
      </c>
      <c r="B24" s="79">
        <v>785.08</v>
      </c>
      <c r="C24" s="42"/>
      <c r="D24" s="172"/>
    </row>
    <row r="25" spans="1:4" x14ac:dyDescent="0.2">
      <c r="A25" s="16">
        <v>23.7</v>
      </c>
      <c r="B25" s="46">
        <v>786.03</v>
      </c>
      <c r="C25" s="82" t="s">
        <v>10</v>
      </c>
      <c r="D25" s="172"/>
    </row>
    <row r="26" spans="1:4" x14ac:dyDescent="0.2">
      <c r="A26" s="78">
        <v>23.7</v>
      </c>
      <c r="B26" s="79">
        <v>788.87</v>
      </c>
      <c r="C26" s="42"/>
      <c r="D26" s="172"/>
    </row>
    <row r="27" spans="1:4" x14ac:dyDescent="0.2">
      <c r="A27" s="78">
        <v>26.2</v>
      </c>
      <c r="B27" s="79">
        <v>791.25</v>
      </c>
      <c r="C27" s="42" t="s">
        <v>5</v>
      </c>
      <c r="D27" s="172"/>
    </row>
    <row r="28" spans="1:4" x14ac:dyDescent="0.2">
      <c r="A28" s="78"/>
      <c r="B28" s="79"/>
      <c r="C28" s="42"/>
      <c r="D28" s="172"/>
    </row>
    <row r="29" spans="1:4" x14ac:dyDescent="0.2">
      <c r="A29" s="78"/>
      <c r="B29" s="79"/>
      <c r="C29" s="42"/>
      <c r="D29" s="172"/>
    </row>
    <row r="30" spans="1:4" x14ac:dyDescent="0.2">
      <c r="A30" s="78"/>
      <c r="B30" s="79"/>
      <c r="C30" s="42"/>
      <c r="D30" s="172"/>
    </row>
    <row r="31" spans="1:4" x14ac:dyDescent="0.2">
      <c r="A31" s="78"/>
      <c r="B31" s="79"/>
      <c r="C31" s="42"/>
      <c r="D31" s="172"/>
    </row>
    <row r="32" spans="1:4" x14ac:dyDescent="0.2">
      <c r="A32" s="78"/>
      <c r="B32" s="79"/>
      <c r="C32" s="81"/>
      <c r="D32" s="172"/>
    </row>
    <row r="33" spans="1:4" ht="13.5" thickBot="1" x14ac:dyDescent="0.25">
      <c r="A33" s="6"/>
      <c r="B33" s="13"/>
      <c r="C33" s="26"/>
      <c r="D33" s="172"/>
    </row>
    <row r="34" spans="1:4" ht="20.100000000000001" customHeight="1" x14ac:dyDescent="0.2">
      <c r="A34" s="16">
        <v>10</v>
      </c>
      <c r="B34" s="46">
        <v>786.03</v>
      </c>
      <c r="C34" s="14" t="s">
        <v>9</v>
      </c>
      <c r="D34" s="173" t="s">
        <v>6</v>
      </c>
    </row>
    <row r="35" spans="1:4" ht="20.100000000000001" customHeight="1" thickBot="1" x14ac:dyDescent="0.25">
      <c r="A35" s="16">
        <v>23.7</v>
      </c>
      <c r="B35" s="46">
        <v>786.03</v>
      </c>
      <c r="C35" s="17" t="s">
        <v>10</v>
      </c>
      <c r="D35" s="173"/>
    </row>
    <row r="36" spans="1:4" ht="20.100000000000001" customHeight="1" thickBot="1" x14ac:dyDescent="0.25">
      <c r="A36" s="34">
        <v>22.7</v>
      </c>
      <c r="B36" s="35">
        <v>785.81399999999996</v>
      </c>
      <c r="C36" s="21" t="s">
        <v>8</v>
      </c>
      <c r="D36" s="173"/>
    </row>
    <row r="37" spans="1:4" ht="20.100000000000001" customHeight="1" thickBot="1" x14ac:dyDescent="0.25">
      <c r="A37" s="20">
        <v>22.7</v>
      </c>
      <c r="B37" s="36">
        <v>788.81399999999996</v>
      </c>
      <c r="C37" s="22" t="s">
        <v>8</v>
      </c>
      <c r="D37" s="173"/>
    </row>
    <row r="38" spans="1:4" ht="20.100000000000001" customHeight="1" x14ac:dyDescent="0.2">
      <c r="A38" s="15">
        <v>23</v>
      </c>
      <c r="B38" s="19">
        <v>788.20100000000002</v>
      </c>
      <c r="C38" s="23" t="s">
        <v>2</v>
      </c>
      <c r="D38" s="173"/>
    </row>
    <row r="39" spans="1:4" ht="20.100000000000001" customHeight="1" thickBot="1" x14ac:dyDescent="0.25">
      <c r="A39" s="28">
        <v>23</v>
      </c>
      <c r="B39" s="33">
        <v>789.70100000000002</v>
      </c>
      <c r="C39" s="8" t="s">
        <v>2</v>
      </c>
      <c r="D39" s="173"/>
    </row>
    <row r="40" spans="1:4" ht="13.5" thickBot="1" x14ac:dyDescent="0.25">
      <c r="A40" s="51">
        <v>0</v>
      </c>
      <c r="B40" s="52">
        <v>794.05</v>
      </c>
      <c r="C40" s="9" t="s">
        <v>7</v>
      </c>
      <c r="D40" s="1"/>
    </row>
    <row r="41" spans="1:4" ht="13.5" thickBot="1" x14ac:dyDescent="0.25">
      <c r="A41" s="16">
        <v>26.2</v>
      </c>
      <c r="B41" s="46">
        <v>791.25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0.26</v>
      </c>
      <c r="D42" s="1"/>
    </row>
    <row r="43" spans="1:4" ht="16.5" thickBot="1" x14ac:dyDescent="0.3">
      <c r="A43" s="10" t="s">
        <v>11</v>
      </c>
      <c r="B43" s="4"/>
      <c r="C43" s="18">
        <f>B36</f>
        <v>785.81399999999996</v>
      </c>
      <c r="D43" s="1"/>
    </row>
    <row r="44" spans="1:4" ht="20.25" customHeight="1" thickBot="1" x14ac:dyDescent="0.3">
      <c r="A44" s="10" t="s">
        <v>14</v>
      </c>
      <c r="C44" s="31">
        <f>B3</f>
        <v>791.2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49" t="s">
        <v>16</v>
      </c>
      <c r="D50" s="48"/>
      <c r="E50" s="48"/>
    </row>
  </sheetData>
  <mergeCells count="3">
    <mergeCell ref="A1:Q1"/>
    <mergeCell ref="D2:D33"/>
    <mergeCell ref="D34:D39"/>
  </mergeCells>
  <phoneticPr fontId="21" type="noConversion"/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T50"/>
  <sheetViews>
    <sheetView showGridLines="0" zoomScale="75" workbookViewId="0">
      <selection activeCell="B38" sqref="B38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31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74">
        <v>0</v>
      </c>
      <c r="B3" s="75">
        <v>791.2</v>
      </c>
      <c r="C3" s="39" t="s">
        <v>32</v>
      </c>
      <c r="D3" s="172"/>
    </row>
    <row r="4" spans="1:20" x14ac:dyDescent="0.2">
      <c r="A4" s="51">
        <v>0</v>
      </c>
      <c r="B4" s="52">
        <v>793.23</v>
      </c>
      <c r="C4" s="42" t="s">
        <v>4</v>
      </c>
      <c r="D4" s="172"/>
    </row>
    <row r="5" spans="1:20" x14ac:dyDescent="0.2">
      <c r="A5" s="78">
        <v>4</v>
      </c>
      <c r="B5" s="79">
        <v>789.63</v>
      </c>
      <c r="C5" s="50"/>
      <c r="D5" s="172"/>
    </row>
    <row r="6" spans="1:20" x14ac:dyDescent="0.2">
      <c r="A6" s="78">
        <v>6</v>
      </c>
      <c r="B6" s="79">
        <v>789.69</v>
      </c>
      <c r="C6" s="42"/>
      <c r="D6" s="172"/>
    </row>
    <row r="7" spans="1:20" x14ac:dyDescent="0.2">
      <c r="A7" s="78">
        <v>8</v>
      </c>
      <c r="B7" s="79">
        <v>787.58</v>
      </c>
      <c r="C7" s="82"/>
      <c r="D7" s="172"/>
    </row>
    <row r="8" spans="1:20" x14ac:dyDescent="0.2">
      <c r="A8" s="78">
        <v>8</v>
      </c>
      <c r="B8" s="79">
        <v>786.79</v>
      </c>
      <c r="C8" s="45"/>
      <c r="D8" s="172"/>
    </row>
    <row r="9" spans="1:20" x14ac:dyDescent="0.2">
      <c r="A9" s="16">
        <v>11</v>
      </c>
      <c r="B9" s="46">
        <v>786.24</v>
      </c>
      <c r="C9" s="50" t="s">
        <v>9</v>
      </c>
      <c r="D9" s="172"/>
    </row>
    <row r="10" spans="1:20" x14ac:dyDescent="0.2">
      <c r="A10" s="78">
        <v>12</v>
      </c>
      <c r="B10" s="79">
        <v>785.54</v>
      </c>
      <c r="C10" s="42"/>
      <c r="D10" s="172"/>
    </row>
    <row r="11" spans="1:20" x14ac:dyDescent="0.2">
      <c r="A11" s="78">
        <v>13</v>
      </c>
      <c r="B11" s="79">
        <v>785.49</v>
      </c>
      <c r="C11" s="50"/>
      <c r="D11" s="172"/>
    </row>
    <row r="12" spans="1:20" x14ac:dyDescent="0.2">
      <c r="A12" s="78">
        <v>14</v>
      </c>
      <c r="B12" s="79">
        <v>785.38</v>
      </c>
      <c r="C12" s="42"/>
      <c r="D12" s="172"/>
    </row>
    <row r="13" spans="1:20" x14ac:dyDescent="0.2">
      <c r="A13" s="78">
        <v>15</v>
      </c>
      <c r="B13" s="79">
        <v>785.2</v>
      </c>
      <c r="C13" s="42"/>
      <c r="D13" s="172"/>
    </row>
    <row r="14" spans="1:20" x14ac:dyDescent="0.2">
      <c r="A14" s="78">
        <v>16</v>
      </c>
      <c r="B14" s="79">
        <v>784.97</v>
      </c>
      <c r="C14" s="42"/>
      <c r="D14" s="172"/>
    </row>
    <row r="15" spans="1:20" x14ac:dyDescent="0.2">
      <c r="A15" s="78">
        <v>17</v>
      </c>
      <c r="B15" s="79">
        <v>785.01</v>
      </c>
      <c r="C15" s="42"/>
      <c r="D15" s="172"/>
    </row>
    <row r="16" spans="1:20" x14ac:dyDescent="0.2">
      <c r="A16" s="78">
        <v>18</v>
      </c>
      <c r="B16" s="79">
        <v>784.8</v>
      </c>
      <c r="C16" s="42"/>
      <c r="D16" s="172"/>
    </row>
    <row r="17" spans="1:4" x14ac:dyDescent="0.2">
      <c r="A17" s="78">
        <v>19</v>
      </c>
      <c r="B17" s="79">
        <v>784.86</v>
      </c>
      <c r="C17" s="42"/>
      <c r="D17" s="172"/>
    </row>
    <row r="18" spans="1:4" x14ac:dyDescent="0.2">
      <c r="A18" s="78">
        <v>20.5</v>
      </c>
      <c r="B18" s="79">
        <v>784.74</v>
      </c>
      <c r="C18" s="42"/>
      <c r="D18" s="172"/>
    </row>
    <row r="19" spans="1:4" x14ac:dyDescent="0.2">
      <c r="A19" s="78">
        <v>21</v>
      </c>
      <c r="B19" s="79">
        <v>784.66</v>
      </c>
      <c r="C19" s="42"/>
      <c r="D19" s="172"/>
    </row>
    <row r="20" spans="1:4" x14ac:dyDescent="0.2">
      <c r="A20" s="78">
        <v>21.5</v>
      </c>
      <c r="B20" s="79">
        <v>784.48</v>
      </c>
      <c r="C20" s="50"/>
      <c r="D20" s="172"/>
    </row>
    <row r="21" spans="1:4" x14ac:dyDescent="0.2">
      <c r="A21" s="78">
        <v>22.2</v>
      </c>
      <c r="B21" s="79">
        <v>784.19</v>
      </c>
      <c r="C21" s="42"/>
      <c r="D21" s="172"/>
    </row>
    <row r="22" spans="1:4" x14ac:dyDescent="0.2">
      <c r="A22" s="78">
        <v>22.7</v>
      </c>
      <c r="B22" s="79">
        <v>784.13</v>
      </c>
      <c r="C22" s="45"/>
      <c r="D22" s="172"/>
    </row>
    <row r="23" spans="1:4" s="80" customFormat="1" x14ac:dyDescent="0.2">
      <c r="A23" s="78">
        <v>23.2</v>
      </c>
      <c r="B23" s="79">
        <v>784.14</v>
      </c>
      <c r="C23" s="45"/>
      <c r="D23" s="172"/>
    </row>
    <row r="24" spans="1:4" x14ac:dyDescent="0.2">
      <c r="A24" s="78">
        <v>23.7</v>
      </c>
      <c r="B24" s="79">
        <v>784.42</v>
      </c>
      <c r="C24" s="42"/>
      <c r="D24" s="172"/>
    </row>
    <row r="25" spans="1:4" x14ac:dyDescent="0.2">
      <c r="A25" s="78">
        <v>24.2</v>
      </c>
      <c r="B25" s="79">
        <v>784.66</v>
      </c>
      <c r="C25" s="82"/>
      <c r="D25" s="172"/>
    </row>
    <row r="26" spans="1:4" x14ac:dyDescent="0.2">
      <c r="A26" s="78">
        <v>24.7</v>
      </c>
      <c r="B26" s="79">
        <v>784.56</v>
      </c>
      <c r="C26" s="42"/>
      <c r="D26" s="172"/>
    </row>
    <row r="27" spans="1:4" x14ac:dyDescent="0.2">
      <c r="A27" s="16">
        <v>25.3</v>
      </c>
      <c r="B27" s="46">
        <v>786.24</v>
      </c>
      <c r="C27" s="83" t="s">
        <v>10</v>
      </c>
      <c r="D27" s="172"/>
    </row>
    <row r="28" spans="1:4" x14ac:dyDescent="0.2">
      <c r="A28" s="78">
        <v>25.9</v>
      </c>
      <c r="B28" s="79">
        <v>788.78</v>
      </c>
      <c r="C28" s="83"/>
      <c r="D28" s="172"/>
    </row>
    <row r="29" spans="1:4" x14ac:dyDescent="0.2">
      <c r="A29" s="78">
        <v>27.4</v>
      </c>
      <c r="B29" s="79">
        <v>790.25</v>
      </c>
      <c r="C29" s="42"/>
      <c r="D29" s="172"/>
    </row>
    <row r="30" spans="1:4" x14ac:dyDescent="0.2">
      <c r="A30" s="78">
        <v>29.7</v>
      </c>
      <c r="B30" s="79">
        <v>792.82</v>
      </c>
      <c r="C30" s="42"/>
      <c r="D30" s="172"/>
    </row>
    <row r="31" spans="1:4" x14ac:dyDescent="0.2">
      <c r="A31" s="78">
        <v>30.3</v>
      </c>
      <c r="B31" s="79">
        <v>793.34</v>
      </c>
      <c r="C31" s="42" t="s">
        <v>5</v>
      </c>
      <c r="D31" s="172"/>
    </row>
    <row r="32" spans="1:4" x14ac:dyDescent="0.2">
      <c r="A32" s="78">
        <v>30.3</v>
      </c>
      <c r="B32" s="79">
        <v>791.16</v>
      </c>
      <c r="C32" s="81" t="s">
        <v>17</v>
      </c>
      <c r="D32" s="172"/>
    </row>
    <row r="33" spans="1:4" ht="13.5" thickBot="1" x14ac:dyDescent="0.25">
      <c r="A33" s="6"/>
      <c r="B33" s="13"/>
      <c r="C33" s="26"/>
      <c r="D33" s="172"/>
    </row>
    <row r="34" spans="1:4" ht="20.100000000000001" customHeight="1" x14ac:dyDescent="0.2">
      <c r="A34" s="16">
        <v>11</v>
      </c>
      <c r="B34" s="46">
        <v>786.24</v>
      </c>
      <c r="C34" s="14" t="s">
        <v>9</v>
      </c>
      <c r="D34" s="173" t="s">
        <v>6</v>
      </c>
    </row>
    <row r="35" spans="1:4" ht="20.100000000000001" customHeight="1" thickBot="1" x14ac:dyDescent="0.25">
      <c r="A35" s="16">
        <v>25.3</v>
      </c>
      <c r="B35" s="46">
        <v>786.24</v>
      </c>
      <c r="C35" s="17" t="s">
        <v>10</v>
      </c>
      <c r="D35" s="173"/>
    </row>
    <row r="36" spans="1:4" ht="20.100000000000001" customHeight="1" thickBot="1" x14ac:dyDescent="0.25">
      <c r="A36" s="34">
        <v>25</v>
      </c>
      <c r="B36" s="35">
        <v>785.745</v>
      </c>
      <c r="C36" s="21" t="s">
        <v>8</v>
      </c>
      <c r="D36" s="173"/>
    </row>
    <row r="37" spans="1:4" ht="20.100000000000001" customHeight="1" thickBot="1" x14ac:dyDescent="0.25">
      <c r="A37" s="20">
        <v>25</v>
      </c>
      <c r="B37" s="36">
        <v>788.38499999999999</v>
      </c>
      <c r="C37" s="22" t="s">
        <v>8</v>
      </c>
      <c r="D37" s="173"/>
    </row>
    <row r="38" spans="1:4" ht="20.100000000000001" customHeight="1" x14ac:dyDescent="0.2">
      <c r="A38" s="15">
        <v>25.5</v>
      </c>
      <c r="B38" s="19">
        <v>788.22299999999996</v>
      </c>
      <c r="C38" s="23" t="s">
        <v>2</v>
      </c>
      <c r="D38" s="173"/>
    </row>
    <row r="39" spans="1:4" ht="20.100000000000001" customHeight="1" thickBot="1" x14ac:dyDescent="0.25">
      <c r="A39" s="28">
        <v>25.5</v>
      </c>
      <c r="B39" s="33">
        <v>789.72299999999996</v>
      </c>
      <c r="C39" s="8" t="s">
        <v>2</v>
      </c>
      <c r="D39" s="173"/>
    </row>
    <row r="40" spans="1:4" ht="13.5" thickBot="1" x14ac:dyDescent="0.25">
      <c r="A40" s="51">
        <v>0</v>
      </c>
      <c r="B40" s="52">
        <v>791</v>
      </c>
      <c r="C40" s="9" t="s">
        <v>7</v>
      </c>
      <c r="D40" s="1"/>
    </row>
    <row r="41" spans="1:4" ht="13.5" thickBot="1" x14ac:dyDescent="0.25">
      <c r="A41" s="16">
        <v>28.3</v>
      </c>
      <c r="B41" s="46">
        <v>791.1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0.56000000000000005</v>
      </c>
      <c r="D42" s="1"/>
    </row>
    <row r="43" spans="1:4" ht="16.5" thickBot="1" x14ac:dyDescent="0.3">
      <c r="A43" s="10" t="s">
        <v>11</v>
      </c>
      <c r="B43" s="4"/>
      <c r="C43" s="18">
        <f>B36</f>
        <v>785.745</v>
      </c>
      <c r="D43" s="1"/>
    </row>
    <row r="44" spans="1:4" ht="20.25" customHeight="1" thickBot="1" x14ac:dyDescent="0.3">
      <c r="A44" s="10" t="s">
        <v>14</v>
      </c>
      <c r="C44" s="31">
        <f>B3</f>
        <v>791.2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49" t="s">
        <v>16</v>
      </c>
      <c r="D50" s="48"/>
      <c r="E50" s="48"/>
    </row>
  </sheetData>
  <mergeCells count="3">
    <mergeCell ref="A1:Q1"/>
    <mergeCell ref="D2:D33"/>
    <mergeCell ref="D34:D39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T50"/>
  <sheetViews>
    <sheetView showGridLines="0" topLeftCell="A4" zoomScale="75" workbookViewId="0">
      <selection activeCell="B37" sqref="B37"/>
    </sheetView>
  </sheetViews>
  <sheetFormatPr baseColWidth="10" defaultRowHeight="12.75" x14ac:dyDescent="0.2"/>
  <cols>
    <col min="1" max="1" width="9.7109375" customWidth="1"/>
    <col min="2" max="2" width="13.5703125" customWidth="1"/>
    <col min="3" max="3" width="17.140625" customWidth="1"/>
    <col min="4" max="4" width="5.7109375" customWidth="1"/>
  </cols>
  <sheetData>
    <row r="1" spans="1:20" ht="27.75" customHeight="1" thickBot="1" x14ac:dyDescent="0.35">
      <c r="A1" s="171" t="s">
        <v>31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</row>
    <row r="2" spans="1:20" ht="13.5" thickBot="1" x14ac:dyDescent="0.25">
      <c r="A2" s="11" t="s">
        <v>0</v>
      </c>
      <c r="B2" s="12" t="s">
        <v>1</v>
      </c>
      <c r="C2" s="25" t="s">
        <v>3</v>
      </c>
      <c r="D2" s="172" t="s">
        <v>15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3.5" thickBot="1" x14ac:dyDescent="0.25">
      <c r="A3" s="74">
        <v>0</v>
      </c>
      <c r="B3" s="75">
        <v>791.2</v>
      </c>
      <c r="C3" s="39" t="s">
        <v>17</v>
      </c>
      <c r="D3" s="172"/>
    </row>
    <row r="4" spans="1:20" x14ac:dyDescent="0.2">
      <c r="A4" s="76">
        <v>0</v>
      </c>
      <c r="B4" s="77">
        <v>791.1</v>
      </c>
      <c r="C4" s="42" t="s">
        <v>4</v>
      </c>
      <c r="D4" s="172"/>
    </row>
    <row r="5" spans="1:20" x14ac:dyDescent="0.2">
      <c r="A5" s="78">
        <v>8</v>
      </c>
      <c r="B5" s="79">
        <v>787.87</v>
      </c>
      <c r="C5" s="50"/>
      <c r="D5" s="172"/>
    </row>
    <row r="6" spans="1:20" x14ac:dyDescent="0.2">
      <c r="A6" s="78">
        <v>8</v>
      </c>
      <c r="B6" s="79">
        <v>786.8</v>
      </c>
      <c r="C6" s="42"/>
      <c r="D6" s="172"/>
    </row>
    <row r="7" spans="1:20" x14ac:dyDescent="0.2">
      <c r="A7" s="16">
        <v>10</v>
      </c>
      <c r="B7" s="46">
        <v>786.49</v>
      </c>
      <c r="C7" s="82" t="s">
        <v>9</v>
      </c>
      <c r="D7" s="172"/>
    </row>
    <row r="8" spans="1:20" x14ac:dyDescent="0.2">
      <c r="A8" s="78">
        <v>12</v>
      </c>
      <c r="B8" s="79">
        <v>786.08</v>
      </c>
      <c r="C8" s="45"/>
      <c r="D8" s="172"/>
    </row>
    <row r="9" spans="1:20" x14ac:dyDescent="0.2">
      <c r="A9" s="78">
        <v>12.7</v>
      </c>
      <c r="B9" s="79">
        <v>786.01</v>
      </c>
      <c r="C9" s="50"/>
      <c r="D9" s="172"/>
    </row>
    <row r="10" spans="1:20" x14ac:dyDescent="0.2">
      <c r="A10" s="78">
        <v>13.4</v>
      </c>
      <c r="B10" s="79">
        <v>785.92</v>
      </c>
      <c r="C10" s="42"/>
      <c r="D10" s="172"/>
    </row>
    <row r="11" spans="1:20" x14ac:dyDescent="0.2">
      <c r="A11" s="78">
        <v>14.1</v>
      </c>
      <c r="B11" s="79">
        <v>785.7</v>
      </c>
      <c r="C11" s="50"/>
      <c r="D11" s="172"/>
    </row>
    <row r="12" spans="1:20" x14ac:dyDescent="0.2">
      <c r="A12" s="78">
        <v>14.8</v>
      </c>
      <c r="B12" s="79">
        <v>785.55</v>
      </c>
      <c r="C12" s="42"/>
      <c r="D12" s="172"/>
    </row>
    <row r="13" spans="1:20" x14ac:dyDescent="0.2">
      <c r="A13" s="78">
        <v>15.5</v>
      </c>
      <c r="B13" s="79">
        <v>785.3</v>
      </c>
      <c r="C13" s="42"/>
      <c r="D13" s="172"/>
    </row>
    <row r="14" spans="1:20" x14ac:dyDescent="0.2">
      <c r="A14" s="78">
        <v>16.2</v>
      </c>
      <c r="B14" s="79">
        <v>785.15</v>
      </c>
      <c r="C14" s="42"/>
      <c r="D14" s="172"/>
    </row>
    <row r="15" spans="1:20" x14ac:dyDescent="0.2">
      <c r="A15" s="78">
        <v>16.899999999999999</v>
      </c>
      <c r="B15" s="79">
        <v>784.83</v>
      </c>
      <c r="C15" s="42"/>
      <c r="D15" s="172"/>
    </row>
    <row r="16" spans="1:20" x14ac:dyDescent="0.2">
      <c r="A16" s="78">
        <v>17.600000000000001</v>
      </c>
      <c r="B16" s="79">
        <v>784.7</v>
      </c>
      <c r="C16" s="42"/>
      <c r="D16" s="172"/>
    </row>
    <row r="17" spans="1:4" x14ac:dyDescent="0.2">
      <c r="A17" s="78">
        <v>18.3</v>
      </c>
      <c r="B17" s="79">
        <v>785.06</v>
      </c>
      <c r="C17" s="42"/>
      <c r="D17" s="172"/>
    </row>
    <row r="18" spans="1:4" x14ac:dyDescent="0.2">
      <c r="A18" s="78">
        <v>19</v>
      </c>
      <c r="B18" s="79">
        <v>785.05</v>
      </c>
      <c r="C18" s="42"/>
      <c r="D18" s="172"/>
    </row>
    <row r="19" spans="1:4" x14ac:dyDescent="0.2">
      <c r="A19" s="78">
        <v>19.7</v>
      </c>
      <c r="B19" s="79">
        <v>784.68</v>
      </c>
      <c r="C19" s="42"/>
      <c r="D19" s="172"/>
    </row>
    <row r="20" spans="1:4" x14ac:dyDescent="0.2">
      <c r="A20" s="78">
        <v>20.399999999999999</v>
      </c>
      <c r="B20" s="79">
        <v>784.6</v>
      </c>
      <c r="C20" s="50"/>
      <c r="D20" s="172"/>
    </row>
    <row r="21" spans="1:4" x14ac:dyDescent="0.2">
      <c r="A21" s="78">
        <v>21.1</v>
      </c>
      <c r="B21" s="79">
        <v>784.57</v>
      </c>
      <c r="C21" s="42"/>
      <c r="D21" s="172"/>
    </row>
    <row r="22" spans="1:4" x14ac:dyDescent="0.2">
      <c r="A22" s="78">
        <v>21.8</v>
      </c>
      <c r="B22" s="79">
        <v>784.2</v>
      </c>
      <c r="C22" s="45"/>
      <c r="D22" s="172"/>
    </row>
    <row r="23" spans="1:4" s="80" customFormat="1" x14ac:dyDescent="0.2">
      <c r="A23" s="78">
        <v>22.5</v>
      </c>
      <c r="B23" s="79">
        <v>784.23</v>
      </c>
      <c r="C23" s="45"/>
      <c r="D23" s="172"/>
    </row>
    <row r="24" spans="1:4" x14ac:dyDescent="0.2">
      <c r="A24" s="78">
        <v>23.2</v>
      </c>
      <c r="B24" s="79">
        <v>784.44</v>
      </c>
      <c r="C24" s="42"/>
      <c r="D24" s="172"/>
    </row>
    <row r="25" spans="1:4" x14ac:dyDescent="0.2">
      <c r="A25" s="78">
        <v>23.9</v>
      </c>
      <c r="B25" s="79">
        <v>784.41</v>
      </c>
      <c r="C25" s="82"/>
      <c r="D25" s="172"/>
    </row>
    <row r="26" spans="1:4" x14ac:dyDescent="0.2">
      <c r="A26" s="78">
        <v>24.6</v>
      </c>
      <c r="B26" s="79">
        <v>784.6</v>
      </c>
      <c r="C26" s="42"/>
      <c r="D26" s="172"/>
    </row>
    <row r="27" spans="1:4" x14ac:dyDescent="0.2">
      <c r="A27" s="78">
        <v>26</v>
      </c>
      <c r="B27" s="79">
        <v>784.7</v>
      </c>
      <c r="C27" s="42"/>
      <c r="D27" s="172"/>
    </row>
    <row r="28" spans="1:4" x14ac:dyDescent="0.2">
      <c r="A28" s="16">
        <v>26</v>
      </c>
      <c r="B28" s="46">
        <v>786.49</v>
      </c>
      <c r="C28" s="83" t="s">
        <v>10</v>
      </c>
      <c r="D28" s="172"/>
    </row>
    <row r="29" spans="1:4" x14ac:dyDescent="0.2">
      <c r="A29" s="78">
        <v>26</v>
      </c>
      <c r="B29" s="79">
        <v>788.84</v>
      </c>
      <c r="C29" s="42"/>
      <c r="D29" s="172"/>
    </row>
    <row r="30" spans="1:4" x14ac:dyDescent="0.2">
      <c r="A30" s="78">
        <v>27</v>
      </c>
      <c r="B30" s="79">
        <v>789.46</v>
      </c>
      <c r="C30" s="42"/>
      <c r="D30" s="172"/>
    </row>
    <row r="31" spans="1:4" x14ac:dyDescent="0.2">
      <c r="A31" s="78">
        <v>28.3</v>
      </c>
      <c r="B31" s="79">
        <v>791.1</v>
      </c>
      <c r="C31" s="42" t="s">
        <v>5</v>
      </c>
      <c r="D31" s="172"/>
    </row>
    <row r="32" spans="1:4" x14ac:dyDescent="0.2">
      <c r="A32" s="78"/>
      <c r="B32" s="79"/>
      <c r="C32" s="81"/>
      <c r="D32" s="172"/>
    </row>
    <row r="33" spans="1:4" ht="13.5" thickBot="1" x14ac:dyDescent="0.25">
      <c r="A33" s="6"/>
      <c r="B33" s="13"/>
      <c r="C33" s="26"/>
      <c r="D33" s="172"/>
    </row>
    <row r="34" spans="1:4" ht="20.100000000000001" customHeight="1" x14ac:dyDescent="0.2">
      <c r="A34" s="16">
        <v>10</v>
      </c>
      <c r="B34" s="46">
        <v>786.49</v>
      </c>
      <c r="C34" s="14" t="s">
        <v>9</v>
      </c>
      <c r="D34" s="173" t="s">
        <v>6</v>
      </c>
    </row>
    <row r="35" spans="1:4" ht="20.100000000000001" customHeight="1" thickBot="1" x14ac:dyDescent="0.25">
      <c r="A35" s="16">
        <v>26</v>
      </c>
      <c r="B35" s="46">
        <v>786.49</v>
      </c>
      <c r="C35" s="17" t="s">
        <v>10</v>
      </c>
      <c r="D35" s="173"/>
    </row>
    <row r="36" spans="1:4" ht="20.100000000000001" customHeight="1" thickBot="1" x14ac:dyDescent="0.25">
      <c r="A36" s="34">
        <v>25</v>
      </c>
      <c r="B36" s="35">
        <v>785.745</v>
      </c>
      <c r="C36" s="21" t="s">
        <v>8</v>
      </c>
      <c r="D36" s="173"/>
    </row>
    <row r="37" spans="1:4" ht="20.100000000000001" customHeight="1" thickBot="1" x14ac:dyDescent="0.25">
      <c r="A37" s="20">
        <v>25</v>
      </c>
      <c r="B37" s="36">
        <v>788.38499999999999</v>
      </c>
      <c r="C37" s="22" t="s">
        <v>8</v>
      </c>
      <c r="D37" s="173"/>
    </row>
    <row r="38" spans="1:4" ht="20.100000000000001" customHeight="1" x14ac:dyDescent="0.2">
      <c r="A38" s="15">
        <v>25.5</v>
      </c>
      <c r="B38" s="19">
        <v>788.22299999999996</v>
      </c>
      <c r="C38" s="23" t="s">
        <v>2</v>
      </c>
      <c r="D38" s="173"/>
    </row>
    <row r="39" spans="1:4" ht="20.100000000000001" customHeight="1" thickBot="1" x14ac:dyDescent="0.25">
      <c r="A39" s="28">
        <v>25.5</v>
      </c>
      <c r="B39" s="33">
        <v>789.72299999999996</v>
      </c>
      <c r="C39" s="8" t="s">
        <v>2</v>
      </c>
      <c r="D39" s="173"/>
    </row>
    <row r="40" spans="1:4" ht="13.5" thickBot="1" x14ac:dyDescent="0.25">
      <c r="A40" s="51">
        <v>0</v>
      </c>
      <c r="B40" s="52">
        <v>791</v>
      </c>
      <c r="C40" s="9" t="s">
        <v>7</v>
      </c>
      <c r="D40" s="1"/>
    </row>
    <row r="41" spans="1:4" ht="13.5" thickBot="1" x14ac:dyDescent="0.25">
      <c r="A41" s="16">
        <v>28.3</v>
      </c>
      <c r="B41" s="46">
        <v>791.1</v>
      </c>
      <c r="C41" s="9" t="s">
        <v>7</v>
      </c>
      <c r="D41" s="1"/>
    </row>
    <row r="42" spans="1:4" ht="16.5" thickBot="1" x14ac:dyDescent="0.3">
      <c r="A42" s="24" t="s">
        <v>12</v>
      </c>
      <c r="B42" s="4"/>
      <c r="C42" s="30">
        <v>0.72</v>
      </c>
      <c r="D42" s="1"/>
    </row>
    <row r="43" spans="1:4" ht="16.5" thickBot="1" x14ac:dyDescent="0.3">
      <c r="A43" s="10" t="s">
        <v>11</v>
      </c>
      <c r="B43" s="4"/>
      <c r="C43" s="18">
        <f>B36</f>
        <v>785.745</v>
      </c>
      <c r="D43" s="1"/>
    </row>
    <row r="44" spans="1:4" ht="20.25" customHeight="1" thickBot="1" x14ac:dyDescent="0.3">
      <c r="A44" s="10" t="s">
        <v>14</v>
      </c>
      <c r="C44" s="31">
        <f>B3</f>
        <v>791.2</v>
      </c>
      <c r="D44" s="1"/>
    </row>
    <row r="45" spans="1:4" ht="15.75" thickBot="1" x14ac:dyDescent="0.3">
      <c r="A45" s="24" t="s">
        <v>13</v>
      </c>
      <c r="C45" s="32"/>
      <c r="D45" s="1"/>
    </row>
    <row r="46" spans="1:4" x14ac:dyDescent="0.2">
      <c r="A46" s="3"/>
      <c r="B46" s="4"/>
      <c r="C46" s="5"/>
      <c r="D46" s="1"/>
    </row>
    <row r="47" spans="1:4" x14ac:dyDescent="0.2">
      <c r="A47" s="3"/>
      <c r="B47" s="4"/>
      <c r="C47" s="5"/>
      <c r="D47" s="1"/>
    </row>
    <row r="48" spans="1:4" x14ac:dyDescent="0.2">
      <c r="A48" s="3"/>
      <c r="B48" s="4"/>
      <c r="C48" s="5"/>
      <c r="D48" s="1"/>
    </row>
    <row r="49" spans="1:5" x14ac:dyDescent="0.2">
      <c r="A49" s="3"/>
      <c r="B49" s="4"/>
      <c r="C49" s="5"/>
      <c r="D49" s="1"/>
    </row>
    <row r="50" spans="1:5" ht="18" x14ac:dyDescent="0.25">
      <c r="C50" s="49"/>
      <c r="D50" s="48"/>
      <c r="E50" s="48"/>
    </row>
  </sheetData>
  <mergeCells count="3">
    <mergeCell ref="A1:Q1"/>
    <mergeCell ref="D2:D33"/>
    <mergeCell ref="D34:D39"/>
  </mergeCells>
  <pageMargins left="0.75" right="0.75" top="1" bottom="1" header="0.511811024" footer="0.511811024"/>
  <pageSetup paperSize="5" scale="90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AP75"/>
  <sheetViews>
    <sheetView zoomScale="70" zoomScaleNormal="70" workbookViewId="0">
      <selection sqref="A1:V1"/>
    </sheetView>
  </sheetViews>
  <sheetFormatPr baseColWidth="10" defaultColWidth="11.42578125" defaultRowHeight="12.75" x14ac:dyDescent="0.2"/>
  <cols>
    <col min="1" max="1" width="9.7109375" style="84" customWidth="1"/>
    <col min="2" max="2" width="8.570312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65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98.69</v>
      </c>
      <c r="AI4" s="92">
        <f>AH4</f>
        <v>98.69</v>
      </c>
      <c r="AJ4" s="86"/>
      <c r="AK4" s="86"/>
      <c r="AL4" s="93">
        <f>SUM(AL5:AL46)</f>
        <v>94.821999999999989</v>
      </c>
      <c r="AM4" s="93">
        <f>SUM(AM5:AM46)</f>
        <v>10.5</v>
      </c>
      <c r="AN4" s="93">
        <f>SUM(AN5:AN46)</f>
        <v>94.801999999999992</v>
      </c>
      <c r="AO4" s="93">
        <f>SUM(AO5:AO46)</f>
        <v>23</v>
      </c>
      <c r="AP4" s="86"/>
    </row>
    <row r="5" spans="1:42" ht="15.75" x14ac:dyDescent="0.25">
      <c r="A5" s="94">
        <f t="shared" ref="A5:A51" si="0">AF5</f>
        <v>0</v>
      </c>
      <c r="B5" s="95">
        <f t="shared" ref="B5:B51" si="1">AD5</f>
        <v>98.69</v>
      </c>
      <c r="C5" s="96" t="str">
        <f>IF(AG5="","",AG5)</f>
        <v xml:space="preserve">S/BM </v>
      </c>
      <c r="D5" s="184"/>
      <c r="X5" s="97"/>
      <c r="Y5" s="98"/>
      <c r="Z5" s="99">
        <v>0.89200000000000002</v>
      </c>
      <c r="AA5" s="100"/>
      <c r="AB5" s="101"/>
      <c r="AC5" s="102">
        <f>IF(AA5="",AD5+Z5,"")</f>
        <v>99.581999999999994</v>
      </c>
      <c r="AD5" s="103">
        <v>98.69</v>
      </c>
      <c r="AE5" s="104">
        <v>0</v>
      </c>
      <c r="AF5" s="105"/>
      <c r="AG5" s="106" t="s">
        <v>46</v>
      </c>
      <c r="AH5" s="86">
        <f t="shared" ref="AH5:AH46" si="2">IF(AND(AJ5="NAOI",AJ5=AJ6),AK5,AI5)</f>
        <v>99.581999999999994</v>
      </c>
      <c r="AI5" s="86">
        <f>IF(AA5="",AC5,AI4)</f>
        <v>99.581999999999994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98.69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97.131999999999991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2.4500000000000002</v>
      </c>
      <c r="AB6" s="111"/>
      <c r="AC6" s="112" t="str">
        <f>IF(AA6="",AD6+Z6,"")</f>
        <v/>
      </c>
      <c r="AD6" s="113">
        <f>IF(AA6="",AH5-AB6,AH5-AA6)</f>
        <v>97.131999999999991</v>
      </c>
      <c r="AE6" s="114">
        <v>0</v>
      </c>
      <c r="AF6" s="113">
        <f>AE6</f>
        <v>0</v>
      </c>
      <c r="AG6" s="115" t="s">
        <v>4</v>
      </c>
      <c r="AH6" s="86">
        <f t="shared" si="2"/>
        <v>99.581999999999994</v>
      </c>
      <c r="AI6" s="86">
        <f t="shared" ref="AI6:AI46" si="6">IF(AA6="",AC6,AI5)</f>
        <v>99.581999999999994</v>
      </c>
      <c r="AJ6" s="86" t="str">
        <f t="shared" si="3"/>
        <v>PRI</v>
      </c>
      <c r="AK6" s="93">
        <f t="shared" si="4"/>
        <v>97.131999999999991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5</v>
      </c>
      <c r="B7" s="95">
        <f t="shared" si="1"/>
        <v>96.361999999999995</v>
      </c>
      <c r="C7" s="96" t="str">
        <f t="shared" si="5"/>
        <v/>
      </c>
      <c r="D7" s="184"/>
      <c r="X7" s="107"/>
      <c r="Y7" s="108"/>
      <c r="Z7" s="109"/>
      <c r="AA7" s="110">
        <v>3.22</v>
      </c>
      <c r="AB7" s="111"/>
      <c r="AC7" s="112" t="str">
        <f t="shared" ref="AC7:AC46" si="11">IF(AA7="",AD7+Z7,"")</f>
        <v/>
      </c>
      <c r="AD7" s="113">
        <f>IF(AA7="",AH6-AB7,AH6-AA7)</f>
        <v>96.361999999999995</v>
      </c>
      <c r="AE7" s="114">
        <v>5</v>
      </c>
      <c r="AF7" s="113">
        <f t="shared" ref="AF7:AF46" si="12">+AF6+AE7</f>
        <v>5</v>
      </c>
      <c r="AG7" s="116"/>
      <c r="AH7" s="86">
        <f t="shared" si="2"/>
        <v>99.581999999999994</v>
      </c>
      <c r="AI7" s="86">
        <f t="shared" si="6"/>
        <v>99.581999999999994</v>
      </c>
      <c r="AJ7" s="86" t="str">
        <f t="shared" si="3"/>
        <v>PRI</v>
      </c>
      <c r="AK7" s="93">
        <f t="shared" si="4"/>
        <v>96.361999999999995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9</v>
      </c>
      <c r="B8" s="95">
        <f t="shared" si="1"/>
        <v>95.071999999999989</v>
      </c>
      <c r="C8" s="96" t="str">
        <f t="shared" si="5"/>
        <v/>
      </c>
      <c r="D8" s="184"/>
      <c r="X8" s="107"/>
      <c r="Y8" s="108"/>
      <c r="Z8" s="109"/>
      <c r="AA8" s="110">
        <v>4.51</v>
      </c>
      <c r="AB8" s="111"/>
      <c r="AC8" s="112" t="str">
        <f t="shared" si="11"/>
        <v/>
      </c>
      <c r="AD8" s="113">
        <f>IF(AA8="",AH7-AB8,AH7-AA8)</f>
        <v>95.071999999999989</v>
      </c>
      <c r="AE8" s="114">
        <v>4</v>
      </c>
      <c r="AF8" s="113">
        <f t="shared" si="12"/>
        <v>9</v>
      </c>
      <c r="AG8" s="116"/>
      <c r="AH8" s="86">
        <f t="shared" si="2"/>
        <v>99.581999999999994</v>
      </c>
      <c r="AI8" s="86">
        <f t="shared" si="6"/>
        <v>99.581999999999994</v>
      </c>
      <c r="AJ8" s="86" t="str">
        <f t="shared" si="3"/>
        <v>PRI</v>
      </c>
      <c r="AK8" s="93">
        <f t="shared" si="4"/>
        <v>95.071999999999989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10.5</v>
      </c>
      <c r="B9" s="95">
        <f t="shared" si="1"/>
        <v>94.821999999999989</v>
      </c>
      <c r="C9" s="96" t="str">
        <f t="shared" si="5"/>
        <v>NAOI</v>
      </c>
      <c r="D9" s="184"/>
      <c r="X9" s="107"/>
      <c r="Y9" s="108"/>
      <c r="Z9" s="109"/>
      <c r="AA9" s="110">
        <v>4.76</v>
      </c>
      <c r="AB9" s="111"/>
      <c r="AC9" s="112" t="str">
        <f t="shared" si="11"/>
        <v/>
      </c>
      <c r="AD9" s="113">
        <f>IF(AA9="",AH8-AB9,AH8-AA9)</f>
        <v>94.821999999999989</v>
      </c>
      <c r="AE9" s="114">
        <v>1.5</v>
      </c>
      <c r="AF9" s="113">
        <f t="shared" si="12"/>
        <v>10.5</v>
      </c>
      <c r="AG9" s="115" t="s">
        <v>9</v>
      </c>
      <c r="AH9" s="86">
        <f t="shared" si="2"/>
        <v>94.821999999999989</v>
      </c>
      <c r="AI9" s="86">
        <f t="shared" si="6"/>
        <v>99.581999999999994</v>
      </c>
      <c r="AJ9" s="86" t="str">
        <f t="shared" si="3"/>
        <v>NAOI</v>
      </c>
      <c r="AK9" s="93">
        <f t="shared" si="4"/>
        <v>94.821999999999989</v>
      </c>
      <c r="AL9" s="86">
        <f t="shared" si="7"/>
        <v>94.821999999999989</v>
      </c>
      <c r="AM9" s="93">
        <f t="shared" si="8"/>
        <v>10.5</v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11.5</v>
      </c>
      <c r="B10" s="95">
        <f t="shared" si="1"/>
        <v>94.521999999999991</v>
      </c>
      <c r="C10" s="96" t="str">
        <f t="shared" si="5"/>
        <v/>
      </c>
      <c r="D10" s="184"/>
      <c r="E10" s="84">
        <f>(B12+B35)/2</f>
        <v>96.578000000000003</v>
      </c>
      <c r="X10" s="107"/>
      <c r="Y10" s="108"/>
      <c r="Z10" s="109"/>
      <c r="AA10" s="110">
        <v>0.3</v>
      </c>
      <c r="AB10" s="111"/>
      <c r="AC10" s="112" t="str">
        <f t="shared" si="11"/>
        <v/>
      </c>
      <c r="AD10" s="113">
        <f t="shared" ref="AD10:AD51" si="13">IF(AJ9="S/BM",AD9,IF(AA10="",AH9-AB10,AH9-AA10))</f>
        <v>94.521999999999991</v>
      </c>
      <c r="AE10" s="114">
        <v>1</v>
      </c>
      <c r="AF10" s="113">
        <f t="shared" si="12"/>
        <v>11.5</v>
      </c>
      <c r="AG10" s="116"/>
      <c r="AH10" s="86">
        <f t="shared" si="2"/>
        <v>94.821999999999989</v>
      </c>
      <c r="AI10" s="86">
        <f t="shared" si="6"/>
        <v>99.581999999999994</v>
      </c>
      <c r="AJ10" s="86" t="str">
        <f t="shared" si="3"/>
        <v>NAOI</v>
      </c>
      <c r="AK10" s="93">
        <f t="shared" si="4"/>
        <v>94.821999999999989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12.5</v>
      </c>
      <c r="B11" s="95">
        <f t="shared" si="1"/>
        <v>94.471999999999994</v>
      </c>
      <c r="C11" s="96" t="str">
        <f t="shared" si="5"/>
        <v/>
      </c>
      <c r="D11" s="184"/>
      <c r="E11" s="117">
        <v>0.33</v>
      </c>
      <c r="X11" s="107"/>
      <c r="Y11" s="108"/>
      <c r="Z11" s="109"/>
      <c r="AA11" s="110">
        <v>0.35</v>
      </c>
      <c r="AB11" s="111"/>
      <c r="AC11" s="112" t="str">
        <f t="shared" si="11"/>
        <v/>
      </c>
      <c r="AD11" s="113">
        <f t="shared" si="13"/>
        <v>94.471999999999994</v>
      </c>
      <c r="AE11" s="114">
        <v>1</v>
      </c>
      <c r="AF11" s="113">
        <f t="shared" si="12"/>
        <v>12.5</v>
      </c>
      <c r="AG11" s="116"/>
      <c r="AH11" s="86">
        <f t="shared" si="2"/>
        <v>94.821999999999989</v>
      </c>
      <c r="AI11" s="86">
        <f t="shared" si="6"/>
        <v>99.581999999999994</v>
      </c>
      <c r="AJ11" s="86" t="str">
        <f t="shared" si="3"/>
        <v>NAOI</v>
      </c>
      <c r="AK11" s="93">
        <f t="shared" si="4"/>
        <v>94.821999999999989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13</v>
      </c>
      <c r="B12" s="95">
        <f t="shared" si="1"/>
        <v>94.461999999999989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0.36</v>
      </c>
      <c r="AB12" s="111"/>
      <c r="AC12" s="112" t="str">
        <f>IF(AA12="",AD12+Z12,"")</f>
        <v/>
      </c>
      <c r="AD12" s="113">
        <f t="shared" si="13"/>
        <v>94.461999999999989</v>
      </c>
      <c r="AE12" s="114">
        <v>0.5</v>
      </c>
      <c r="AF12" s="113">
        <f t="shared" si="12"/>
        <v>13</v>
      </c>
      <c r="AG12" s="116"/>
      <c r="AH12" s="86">
        <f t="shared" si="2"/>
        <v>94.821999999999989</v>
      </c>
      <c r="AI12" s="86">
        <f t="shared" si="6"/>
        <v>99.581999999999994</v>
      </c>
      <c r="AJ12" s="86" t="str">
        <f t="shared" si="3"/>
        <v>NAOI</v>
      </c>
      <c r="AK12" s="93">
        <f t="shared" si="4"/>
        <v>94.821999999999989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13.5</v>
      </c>
      <c r="B13" s="95">
        <f t="shared" si="1"/>
        <v>94.441999999999993</v>
      </c>
      <c r="C13" s="96" t="str">
        <f t="shared" si="5"/>
        <v/>
      </c>
      <c r="D13" s="184"/>
      <c r="E13" s="117">
        <v>0.35</v>
      </c>
      <c r="X13" s="107"/>
      <c r="Y13" s="108"/>
      <c r="Z13" s="109"/>
      <c r="AA13" s="110">
        <v>0.38</v>
      </c>
      <c r="AB13" s="111"/>
      <c r="AC13" s="112" t="str">
        <f t="shared" si="11"/>
        <v/>
      </c>
      <c r="AD13" s="113">
        <f t="shared" si="13"/>
        <v>94.441999999999993</v>
      </c>
      <c r="AE13" s="114">
        <v>0.5</v>
      </c>
      <c r="AF13" s="113">
        <f t="shared" si="12"/>
        <v>13.5</v>
      </c>
      <c r="AG13" s="116"/>
      <c r="AH13" s="86">
        <f t="shared" si="2"/>
        <v>94.821999999999989</v>
      </c>
      <c r="AI13" s="86">
        <f t="shared" si="6"/>
        <v>99.581999999999994</v>
      </c>
      <c r="AJ13" s="86" t="str">
        <f t="shared" si="3"/>
        <v>NAOI</v>
      </c>
      <c r="AK13" s="93">
        <f t="shared" si="4"/>
        <v>94.821999999999989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14</v>
      </c>
      <c r="B14" s="95">
        <f t="shared" si="1"/>
        <v>94.431999999999988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0.39</v>
      </c>
      <c r="AB14" s="111"/>
      <c r="AC14" s="112" t="str">
        <f t="shared" si="11"/>
        <v/>
      </c>
      <c r="AD14" s="113">
        <f t="shared" si="13"/>
        <v>94.431999999999988</v>
      </c>
      <c r="AE14" s="114">
        <v>0.5</v>
      </c>
      <c r="AF14" s="113">
        <f t="shared" si="12"/>
        <v>14</v>
      </c>
      <c r="AG14" s="116"/>
      <c r="AH14" s="86">
        <f t="shared" si="2"/>
        <v>94.821999999999989</v>
      </c>
      <c r="AI14" s="86">
        <f t="shared" si="6"/>
        <v>99.581999999999994</v>
      </c>
      <c r="AJ14" s="86" t="str">
        <f t="shared" si="3"/>
        <v>NAOI</v>
      </c>
      <c r="AK14" s="93">
        <f>IF(AND(AJ14="NAOI",AJ13="NAOI"),AK13,AD14)</f>
        <v>94.821999999999989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14.5</v>
      </c>
      <c r="B15" s="95">
        <f t="shared" si="1"/>
        <v>94.321999999999989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0.5</v>
      </c>
      <c r="AB15" s="111"/>
      <c r="AC15" s="112" t="str">
        <f t="shared" si="11"/>
        <v/>
      </c>
      <c r="AD15" s="113">
        <f t="shared" si="13"/>
        <v>94.321999999999989</v>
      </c>
      <c r="AE15" s="114">
        <v>0.5</v>
      </c>
      <c r="AF15" s="113">
        <f t="shared" si="12"/>
        <v>14.5</v>
      </c>
      <c r="AG15" s="115"/>
      <c r="AH15" s="86">
        <f t="shared" si="2"/>
        <v>94.821999999999989</v>
      </c>
      <c r="AI15" s="86">
        <f t="shared" si="6"/>
        <v>99.581999999999994</v>
      </c>
      <c r="AJ15" s="86" t="str">
        <f t="shared" si="3"/>
        <v>NAOI</v>
      </c>
      <c r="AK15" s="93">
        <f>IF(AND(AJ15="NAOI",AJ14="NAOI"),AK14,AD15)</f>
        <v>94.821999999999989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15</v>
      </c>
      <c r="B16" s="95">
        <f t="shared" si="1"/>
        <v>94.261999999999986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0.56000000000000005</v>
      </c>
      <c r="AB16" s="111"/>
      <c r="AC16" s="112" t="str">
        <f t="shared" si="11"/>
        <v/>
      </c>
      <c r="AD16" s="113">
        <f t="shared" si="13"/>
        <v>94.261999999999986</v>
      </c>
      <c r="AE16" s="114">
        <v>0.5</v>
      </c>
      <c r="AF16" s="113">
        <f t="shared" si="12"/>
        <v>15</v>
      </c>
      <c r="AG16" s="118"/>
      <c r="AH16" s="86">
        <f t="shared" si="2"/>
        <v>94.821999999999989</v>
      </c>
      <c r="AI16" s="86">
        <f t="shared" si="6"/>
        <v>99.581999999999994</v>
      </c>
      <c r="AJ16" s="86" t="str">
        <f t="shared" si="3"/>
        <v>NAOI</v>
      </c>
      <c r="AK16" s="93">
        <f>IF(AND(AJ16="NAOI",AJ15="NAOI"),AK15,AD16)</f>
        <v>94.821999999999989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15.5</v>
      </c>
      <c r="B17" s="95">
        <f t="shared" si="1"/>
        <v>94.35199999999999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0.47</v>
      </c>
      <c r="AB17" s="111"/>
      <c r="AC17" s="112" t="str">
        <f t="shared" si="11"/>
        <v/>
      </c>
      <c r="AD17" s="113">
        <f t="shared" si="13"/>
        <v>94.35199999999999</v>
      </c>
      <c r="AE17" s="114">
        <v>0.5</v>
      </c>
      <c r="AF17" s="113">
        <f t="shared" si="12"/>
        <v>15.5</v>
      </c>
      <c r="AG17" s="118"/>
      <c r="AH17" s="86">
        <f t="shared" si="2"/>
        <v>94.821999999999989</v>
      </c>
      <c r="AI17" s="86">
        <f t="shared" si="6"/>
        <v>99.581999999999994</v>
      </c>
      <c r="AJ17" s="86" t="str">
        <f t="shared" si="3"/>
        <v>NAOI</v>
      </c>
      <c r="AK17" s="93">
        <f t="shared" ref="AK17:AK46" si="15">IF(AND(AJ17="NAOI",AJ16="NAOI"),AK16,AD17)</f>
        <v>94.821999999999989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16</v>
      </c>
      <c r="B18" s="95">
        <f t="shared" si="1"/>
        <v>94.331999999999994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0.49</v>
      </c>
      <c r="AB18" s="111"/>
      <c r="AC18" s="112" t="str">
        <f t="shared" si="11"/>
        <v/>
      </c>
      <c r="AD18" s="113">
        <f t="shared" si="13"/>
        <v>94.331999999999994</v>
      </c>
      <c r="AE18" s="114">
        <v>0.5</v>
      </c>
      <c r="AF18" s="113">
        <f t="shared" si="12"/>
        <v>16</v>
      </c>
      <c r="AG18" s="118"/>
      <c r="AH18" s="86">
        <f t="shared" si="2"/>
        <v>94.821999999999989</v>
      </c>
      <c r="AI18" s="86">
        <f t="shared" si="6"/>
        <v>99.581999999999994</v>
      </c>
      <c r="AJ18" s="86" t="str">
        <f t="shared" si="3"/>
        <v>NAOI</v>
      </c>
      <c r="AK18" s="93">
        <f t="shared" si="15"/>
        <v>94.821999999999989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16.5</v>
      </c>
      <c r="B19" s="95">
        <f t="shared" si="1"/>
        <v>94.261999999999986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0.56000000000000005</v>
      </c>
      <c r="AB19" s="111"/>
      <c r="AC19" s="112" t="str">
        <f t="shared" si="11"/>
        <v/>
      </c>
      <c r="AD19" s="113">
        <f t="shared" si="13"/>
        <v>94.261999999999986</v>
      </c>
      <c r="AE19" s="114">
        <v>0.5</v>
      </c>
      <c r="AF19" s="113">
        <f t="shared" si="12"/>
        <v>16.5</v>
      </c>
      <c r="AG19" s="118"/>
      <c r="AH19" s="86">
        <f t="shared" si="2"/>
        <v>94.821999999999989</v>
      </c>
      <c r="AI19" s="86">
        <f t="shared" si="6"/>
        <v>99.581999999999994</v>
      </c>
      <c r="AJ19" s="86" t="str">
        <f t="shared" si="3"/>
        <v>NAOI</v>
      </c>
      <c r="AK19" s="93">
        <f t="shared" si="15"/>
        <v>94.821999999999989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17</v>
      </c>
      <c r="B20" s="95">
        <f t="shared" si="1"/>
        <v>94.321999999999989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0.5</v>
      </c>
      <c r="AB20" s="111"/>
      <c r="AC20" s="112" t="str">
        <f t="shared" si="11"/>
        <v/>
      </c>
      <c r="AD20" s="113">
        <f t="shared" si="13"/>
        <v>94.321999999999989</v>
      </c>
      <c r="AE20" s="114">
        <v>0.5</v>
      </c>
      <c r="AF20" s="113">
        <f t="shared" si="12"/>
        <v>17</v>
      </c>
      <c r="AG20" s="118"/>
      <c r="AH20" s="86">
        <f t="shared" si="2"/>
        <v>94.821999999999989</v>
      </c>
      <c r="AI20" s="86">
        <f t="shared" si="6"/>
        <v>99.581999999999994</v>
      </c>
      <c r="AJ20" s="86" t="str">
        <f t="shared" si="3"/>
        <v>NAOI</v>
      </c>
      <c r="AK20" s="93">
        <f t="shared" si="15"/>
        <v>94.821999999999989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17.5</v>
      </c>
      <c r="B21" s="95">
        <f t="shared" si="1"/>
        <v>94.281999999999982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0.54</v>
      </c>
      <c r="AB21" s="111"/>
      <c r="AC21" s="112" t="str">
        <f t="shared" si="11"/>
        <v/>
      </c>
      <c r="AD21" s="113">
        <f t="shared" si="13"/>
        <v>94.281999999999982</v>
      </c>
      <c r="AE21" s="114">
        <v>0.5</v>
      </c>
      <c r="AF21" s="113">
        <f t="shared" si="12"/>
        <v>17.5</v>
      </c>
      <c r="AG21" s="118"/>
      <c r="AH21" s="86">
        <f t="shared" si="2"/>
        <v>94.821999999999989</v>
      </c>
      <c r="AI21" s="86">
        <f t="shared" si="6"/>
        <v>99.581999999999994</v>
      </c>
      <c r="AJ21" s="86" t="str">
        <f t="shared" si="3"/>
        <v>NAOI</v>
      </c>
      <c r="AK21" s="93">
        <f t="shared" si="15"/>
        <v>94.821999999999989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18</v>
      </c>
      <c r="B22" s="95">
        <f t="shared" si="1"/>
        <v>94.321999999999989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0.5</v>
      </c>
      <c r="AB22" s="111"/>
      <c r="AC22" s="112" t="str">
        <f t="shared" si="11"/>
        <v/>
      </c>
      <c r="AD22" s="113">
        <f t="shared" si="13"/>
        <v>94.321999999999989</v>
      </c>
      <c r="AE22" s="114">
        <v>0.5</v>
      </c>
      <c r="AF22" s="113">
        <f t="shared" si="12"/>
        <v>18</v>
      </c>
      <c r="AG22" s="118"/>
      <c r="AH22" s="86">
        <f t="shared" si="2"/>
        <v>94.821999999999989</v>
      </c>
      <c r="AI22" s="86">
        <f t="shared" si="6"/>
        <v>99.581999999999994</v>
      </c>
      <c r="AJ22" s="86" t="str">
        <f t="shared" si="3"/>
        <v>NAOI</v>
      </c>
      <c r="AK22" s="93">
        <f t="shared" si="15"/>
        <v>94.821999999999989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18.5</v>
      </c>
      <c r="B23" s="95">
        <f t="shared" si="1"/>
        <v>94.341999999999985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0.48</v>
      </c>
      <c r="AB23" s="111"/>
      <c r="AC23" s="112" t="str">
        <f t="shared" si="11"/>
        <v/>
      </c>
      <c r="AD23" s="113">
        <f t="shared" si="13"/>
        <v>94.341999999999985</v>
      </c>
      <c r="AE23" s="114">
        <v>0.5</v>
      </c>
      <c r="AF23" s="113">
        <f t="shared" si="12"/>
        <v>18.5</v>
      </c>
      <c r="AG23" s="118"/>
      <c r="AH23" s="86">
        <f t="shared" si="2"/>
        <v>94.821999999999989</v>
      </c>
      <c r="AI23" s="86">
        <f t="shared" si="6"/>
        <v>99.581999999999994</v>
      </c>
      <c r="AJ23" s="86" t="str">
        <f t="shared" si="3"/>
        <v>NAOI</v>
      </c>
      <c r="AK23" s="93">
        <f t="shared" si="15"/>
        <v>94.821999999999989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19</v>
      </c>
      <c r="B24" s="95">
        <f t="shared" si="1"/>
        <v>94.431999999999988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0.39</v>
      </c>
      <c r="AB24" s="111"/>
      <c r="AC24" s="112" t="str">
        <f t="shared" si="11"/>
        <v/>
      </c>
      <c r="AD24" s="113">
        <f t="shared" si="13"/>
        <v>94.431999999999988</v>
      </c>
      <c r="AE24" s="114">
        <v>0.5</v>
      </c>
      <c r="AF24" s="113">
        <f t="shared" si="12"/>
        <v>19</v>
      </c>
      <c r="AG24" s="118"/>
      <c r="AH24" s="86">
        <f t="shared" si="2"/>
        <v>94.821999999999989</v>
      </c>
      <c r="AI24" s="86">
        <f t="shared" si="6"/>
        <v>99.581999999999994</v>
      </c>
      <c r="AJ24" s="86" t="str">
        <f t="shared" si="3"/>
        <v>NAOI</v>
      </c>
      <c r="AK24" s="93">
        <f t="shared" si="15"/>
        <v>94.821999999999989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19.5</v>
      </c>
      <c r="B25" s="95">
        <f t="shared" si="1"/>
        <v>94.451999999999984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0.37</v>
      </c>
      <c r="AB25" s="111"/>
      <c r="AC25" s="112" t="str">
        <f t="shared" si="11"/>
        <v/>
      </c>
      <c r="AD25" s="113">
        <f t="shared" si="13"/>
        <v>94.451999999999984</v>
      </c>
      <c r="AE25" s="114">
        <v>0.5</v>
      </c>
      <c r="AF25" s="113">
        <f t="shared" si="12"/>
        <v>19.5</v>
      </c>
      <c r="AG25" s="118"/>
      <c r="AH25" s="86">
        <f t="shared" si="2"/>
        <v>94.821999999999989</v>
      </c>
      <c r="AI25" s="86">
        <f t="shared" si="6"/>
        <v>99.581999999999994</v>
      </c>
      <c r="AJ25" s="86" t="str">
        <f t="shared" si="3"/>
        <v>NAOI</v>
      </c>
      <c r="AK25" s="93">
        <f t="shared" si="15"/>
        <v>94.821999999999989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20</v>
      </c>
      <c r="B26" s="95">
        <f t="shared" si="1"/>
        <v>94.521999999999991</v>
      </c>
      <c r="C26" s="96" t="str">
        <f t="shared" si="5"/>
        <v/>
      </c>
      <c r="D26" s="184"/>
      <c r="E26" s="117">
        <v>1.7</v>
      </c>
      <c r="X26" s="107"/>
      <c r="Y26" s="108"/>
      <c r="Z26" s="109"/>
      <c r="AA26" s="110">
        <v>0.3</v>
      </c>
      <c r="AB26" s="111"/>
      <c r="AC26" s="112" t="str">
        <f t="shared" si="11"/>
        <v/>
      </c>
      <c r="AD26" s="113">
        <f t="shared" si="13"/>
        <v>94.521999999999991</v>
      </c>
      <c r="AE26" s="114">
        <v>0.5</v>
      </c>
      <c r="AF26" s="113">
        <f t="shared" si="12"/>
        <v>20</v>
      </c>
      <c r="AG26" s="118"/>
      <c r="AH26" s="86">
        <f t="shared" si="2"/>
        <v>94.821999999999989</v>
      </c>
      <c r="AI26" s="86">
        <f t="shared" si="6"/>
        <v>99.581999999999994</v>
      </c>
      <c r="AJ26" s="86" t="str">
        <f t="shared" si="3"/>
        <v>NAOI</v>
      </c>
      <c r="AK26" s="93">
        <f t="shared" si="15"/>
        <v>94.821999999999989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20.5</v>
      </c>
      <c r="B27" s="95">
        <f t="shared" si="1"/>
        <v>94.521999999999991</v>
      </c>
      <c r="C27" s="96" t="str">
        <f t="shared" si="5"/>
        <v/>
      </c>
      <c r="D27" s="184"/>
      <c r="E27" s="117">
        <v>1.7</v>
      </c>
      <c r="X27" s="107"/>
      <c r="Y27" s="108"/>
      <c r="Z27" s="109"/>
      <c r="AA27" s="110">
        <v>0.3</v>
      </c>
      <c r="AB27" s="111"/>
      <c r="AC27" s="112" t="str">
        <f t="shared" si="11"/>
        <v/>
      </c>
      <c r="AD27" s="113">
        <f t="shared" si="13"/>
        <v>94.521999999999991</v>
      </c>
      <c r="AE27" s="114">
        <v>0.5</v>
      </c>
      <c r="AF27" s="113">
        <f t="shared" si="12"/>
        <v>20.5</v>
      </c>
      <c r="AG27" s="118"/>
      <c r="AH27" s="86">
        <f t="shared" si="2"/>
        <v>94.821999999999989</v>
      </c>
      <c r="AI27" s="86">
        <f t="shared" si="6"/>
        <v>99.581999999999994</v>
      </c>
      <c r="AJ27" s="86" t="str">
        <f t="shared" si="3"/>
        <v>NAOI</v>
      </c>
      <c r="AK27" s="93">
        <f t="shared" si="15"/>
        <v>94.821999999999989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21</v>
      </c>
      <c r="B28" s="95">
        <f t="shared" si="1"/>
        <v>94.471999999999994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0.35</v>
      </c>
      <c r="AB28" s="111"/>
      <c r="AC28" s="112" t="str">
        <f t="shared" si="11"/>
        <v/>
      </c>
      <c r="AD28" s="113">
        <f t="shared" si="13"/>
        <v>94.471999999999994</v>
      </c>
      <c r="AE28" s="114">
        <v>0.5</v>
      </c>
      <c r="AF28" s="113">
        <f t="shared" si="12"/>
        <v>21</v>
      </c>
      <c r="AG28" s="118"/>
      <c r="AH28" s="86">
        <f t="shared" si="2"/>
        <v>94.821999999999989</v>
      </c>
      <c r="AI28" s="86">
        <f t="shared" si="6"/>
        <v>99.581999999999994</v>
      </c>
      <c r="AJ28" s="86" t="str">
        <f t="shared" si="3"/>
        <v>NAOI</v>
      </c>
      <c r="AK28" s="93">
        <f t="shared" si="15"/>
        <v>94.821999999999989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23</v>
      </c>
      <c r="B29" s="95">
        <f t="shared" si="1"/>
        <v>94.771999999999991</v>
      </c>
      <c r="C29" s="96" t="str">
        <f t="shared" si="5"/>
        <v/>
      </c>
      <c r="D29" s="184"/>
      <c r="E29" s="117">
        <v>1.2</v>
      </c>
      <c r="X29" s="107"/>
      <c r="Y29" s="108"/>
      <c r="Z29" s="109"/>
      <c r="AA29" s="110">
        <v>0.05</v>
      </c>
      <c r="AB29" s="111"/>
      <c r="AC29" s="112" t="str">
        <f t="shared" si="11"/>
        <v/>
      </c>
      <c r="AD29" s="113">
        <f t="shared" si="13"/>
        <v>94.771999999999991</v>
      </c>
      <c r="AE29" s="114">
        <v>2</v>
      </c>
      <c r="AF29" s="113">
        <f t="shared" si="12"/>
        <v>23</v>
      </c>
      <c r="AG29" s="118"/>
      <c r="AH29" s="86">
        <f t="shared" si="2"/>
        <v>99.581999999999994</v>
      </c>
      <c r="AI29" s="86">
        <f t="shared" si="6"/>
        <v>99.581999999999994</v>
      </c>
      <c r="AJ29" s="86" t="str">
        <f t="shared" si="3"/>
        <v>NAOI</v>
      </c>
      <c r="AK29" s="93">
        <f t="shared" si="15"/>
        <v>94.821999999999989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23</v>
      </c>
      <c r="B30" s="95">
        <f t="shared" si="1"/>
        <v>94.801999999999992</v>
      </c>
      <c r="C30" s="96" t="str">
        <f t="shared" si="5"/>
        <v>NAOD</v>
      </c>
      <c r="D30" s="184"/>
      <c r="E30" s="117">
        <v>0.8</v>
      </c>
      <c r="X30" s="107"/>
      <c r="Y30" s="108"/>
      <c r="Z30" s="109"/>
      <c r="AA30" s="110">
        <v>4.78</v>
      </c>
      <c r="AB30" s="111"/>
      <c r="AC30" s="112" t="str">
        <f t="shared" si="11"/>
        <v/>
      </c>
      <c r="AD30" s="113">
        <f t="shared" si="13"/>
        <v>94.801999999999992</v>
      </c>
      <c r="AE30" s="114">
        <v>0</v>
      </c>
      <c r="AF30" s="113">
        <f t="shared" si="12"/>
        <v>23</v>
      </c>
      <c r="AG30" s="115" t="s">
        <v>10</v>
      </c>
      <c r="AH30" s="86">
        <f t="shared" si="2"/>
        <v>99.581999999999994</v>
      </c>
      <c r="AI30" s="86">
        <f t="shared" si="6"/>
        <v>99.581999999999994</v>
      </c>
      <c r="AJ30" s="86" t="str">
        <f t="shared" si="3"/>
        <v>NAOD</v>
      </c>
      <c r="AK30" s="93">
        <f t="shared" si="15"/>
        <v>94.801999999999992</v>
      </c>
      <c r="AL30" s="86" t="str">
        <f t="shared" si="7"/>
        <v/>
      </c>
      <c r="AM30" s="93" t="str">
        <f t="shared" si="8"/>
        <v/>
      </c>
      <c r="AN30" s="86">
        <f t="shared" si="9"/>
        <v>94.801999999999992</v>
      </c>
      <c r="AO30" s="86">
        <f t="shared" si="10"/>
        <v>23</v>
      </c>
      <c r="AP30" s="86">
        <f t="shared" si="14"/>
        <v>0</v>
      </c>
    </row>
    <row r="31" spans="1:42" ht="15.75" x14ac:dyDescent="0.25">
      <c r="A31" s="94">
        <f t="shared" si="0"/>
        <v>25</v>
      </c>
      <c r="B31" s="95">
        <f t="shared" si="1"/>
        <v>96.512</v>
      </c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>
        <v>3.07</v>
      </c>
      <c r="AB31" s="111"/>
      <c r="AC31" s="112" t="str">
        <f t="shared" si="11"/>
        <v/>
      </c>
      <c r="AD31" s="113">
        <f t="shared" si="13"/>
        <v>96.512</v>
      </c>
      <c r="AE31" s="114">
        <v>2</v>
      </c>
      <c r="AF31" s="113">
        <f t="shared" si="12"/>
        <v>25</v>
      </c>
      <c r="AG31" s="118"/>
      <c r="AH31" s="86">
        <f t="shared" si="2"/>
        <v>99.581999999999994</v>
      </c>
      <c r="AI31" s="86">
        <f t="shared" si="6"/>
        <v>99.581999999999994</v>
      </c>
      <c r="AJ31" s="86" t="str">
        <f t="shared" si="3"/>
        <v>NAOD</v>
      </c>
      <c r="AK31" s="93">
        <f t="shared" si="15"/>
        <v>96.512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26</v>
      </c>
      <c r="B32" s="95">
        <f t="shared" si="1"/>
        <v>98.012</v>
      </c>
      <c r="C32" s="96" t="str">
        <f t="shared" si="5"/>
        <v/>
      </c>
      <c r="D32" s="184"/>
      <c r="E32" s="117">
        <v>0.35</v>
      </c>
      <c r="X32" s="107"/>
      <c r="Y32" s="108"/>
      <c r="Z32" s="109"/>
      <c r="AA32" s="110">
        <v>1.57</v>
      </c>
      <c r="AB32" s="111"/>
      <c r="AC32" s="112" t="str">
        <f t="shared" si="11"/>
        <v/>
      </c>
      <c r="AD32" s="113">
        <f t="shared" si="13"/>
        <v>98.012</v>
      </c>
      <c r="AE32" s="114">
        <v>1</v>
      </c>
      <c r="AF32" s="113">
        <f t="shared" si="12"/>
        <v>26</v>
      </c>
      <c r="AG32" s="118"/>
      <c r="AH32" s="86">
        <f t="shared" si="2"/>
        <v>99.581999999999994</v>
      </c>
      <c r="AI32" s="86">
        <f t="shared" si="6"/>
        <v>99.581999999999994</v>
      </c>
      <c r="AJ32" s="86" t="str">
        <f t="shared" si="3"/>
        <v>NAOD</v>
      </c>
      <c r="AK32" s="93">
        <f t="shared" si="15"/>
        <v>98.012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28</v>
      </c>
      <c r="B33" s="95">
        <f t="shared" si="1"/>
        <v>98.122</v>
      </c>
      <c r="C33" s="96" t="str">
        <f t="shared" si="5"/>
        <v/>
      </c>
      <c r="D33" s="184"/>
      <c r="X33" s="107" t="s">
        <v>47</v>
      </c>
      <c r="Y33" s="108"/>
      <c r="Z33" s="109">
        <v>0.497</v>
      </c>
      <c r="AA33" s="110"/>
      <c r="AB33" s="111">
        <v>1.46</v>
      </c>
      <c r="AC33" s="112">
        <f t="shared" si="11"/>
        <v>98.619</v>
      </c>
      <c r="AD33" s="113">
        <f t="shared" si="13"/>
        <v>98.122</v>
      </c>
      <c r="AE33" s="114">
        <v>2</v>
      </c>
      <c r="AF33" s="113">
        <f t="shared" si="12"/>
        <v>28</v>
      </c>
      <c r="AG33" s="118"/>
      <c r="AH33" s="86">
        <f t="shared" si="2"/>
        <v>98.619</v>
      </c>
      <c r="AI33" s="86">
        <f t="shared" si="6"/>
        <v>98.619</v>
      </c>
      <c r="AJ33" s="86" t="str">
        <f t="shared" si="3"/>
        <v>NAOD</v>
      </c>
      <c r="AK33" s="93">
        <f t="shared" si="15"/>
        <v>98.122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30</v>
      </c>
      <c r="B34" s="95">
        <f t="shared" si="1"/>
        <v>98.221000000000004</v>
      </c>
      <c r="C34" s="96" t="str">
        <f t="shared" si="5"/>
        <v>PRD</v>
      </c>
      <c r="D34" s="184"/>
      <c r="X34" s="107" t="s">
        <v>48</v>
      </c>
      <c r="Y34" s="108"/>
      <c r="Z34" s="109">
        <v>1.91</v>
      </c>
      <c r="AA34" s="110"/>
      <c r="AB34" s="111">
        <v>0.39800000000000002</v>
      </c>
      <c r="AC34" s="112">
        <f t="shared" si="11"/>
        <v>100.131</v>
      </c>
      <c r="AD34" s="113">
        <f t="shared" si="13"/>
        <v>98.221000000000004</v>
      </c>
      <c r="AE34" s="114">
        <v>2</v>
      </c>
      <c r="AF34" s="113">
        <f t="shared" si="12"/>
        <v>30</v>
      </c>
      <c r="AG34" s="115" t="s">
        <v>5</v>
      </c>
      <c r="AH34" s="86">
        <f t="shared" si="2"/>
        <v>100.131</v>
      </c>
      <c r="AI34" s="86">
        <f t="shared" si="6"/>
        <v>100.131</v>
      </c>
      <c r="AJ34" s="86" t="str">
        <f t="shared" si="3"/>
        <v>PRD</v>
      </c>
      <c r="AK34" s="93">
        <f t="shared" si="15"/>
        <v>98.221000000000004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>
        <f t="shared" si="0"/>
        <v>32</v>
      </c>
      <c r="B35" s="95">
        <f t="shared" si="1"/>
        <v>98.694000000000003</v>
      </c>
      <c r="C35" s="96" t="str">
        <f t="shared" si="5"/>
        <v>S/BM</v>
      </c>
      <c r="D35" s="184"/>
      <c r="X35" s="107"/>
      <c r="Y35" s="108"/>
      <c r="Z35" s="109"/>
      <c r="AA35" s="110">
        <v>1.4370000000000001</v>
      </c>
      <c r="AB35" s="111"/>
      <c r="AC35" s="112" t="str">
        <f t="shared" si="11"/>
        <v/>
      </c>
      <c r="AD35" s="113">
        <f t="shared" si="13"/>
        <v>98.694000000000003</v>
      </c>
      <c r="AE35" s="114">
        <v>2</v>
      </c>
      <c r="AF35" s="113">
        <f t="shared" si="12"/>
        <v>32</v>
      </c>
      <c r="AG35" s="116" t="s">
        <v>24</v>
      </c>
      <c r="AH35" s="86">
        <f t="shared" si="2"/>
        <v>100.131</v>
      </c>
      <c r="AI35" s="86">
        <f t="shared" si="6"/>
        <v>100.131</v>
      </c>
      <c r="AJ35" s="86" t="str">
        <f t="shared" si="3"/>
        <v>S/BM</v>
      </c>
      <c r="AK35" s="93">
        <f t="shared" si="15"/>
        <v>98.694000000000003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>
        <f t="shared" si="0"/>
        <v>33.5</v>
      </c>
      <c r="B36" s="95">
        <f t="shared" si="1"/>
        <v>98.694000000000003</v>
      </c>
      <c r="C36" s="96" t="str">
        <f t="shared" si="5"/>
        <v/>
      </c>
      <c r="D36" s="184"/>
      <c r="X36" s="107"/>
      <c r="Y36" s="108"/>
      <c r="Z36" s="109"/>
      <c r="AA36" s="110"/>
      <c r="AB36" s="111"/>
      <c r="AC36" s="112">
        <f t="shared" si="11"/>
        <v>98.694000000000003</v>
      </c>
      <c r="AD36" s="113">
        <f t="shared" si="13"/>
        <v>98.694000000000003</v>
      </c>
      <c r="AE36" s="114">
        <v>1.5</v>
      </c>
      <c r="AF36" s="113">
        <f t="shared" si="12"/>
        <v>33.5</v>
      </c>
      <c r="AG36" s="115"/>
      <c r="AH36" s="86">
        <f t="shared" si="2"/>
        <v>98.694000000000003</v>
      </c>
      <c r="AI36" s="86">
        <f t="shared" si="6"/>
        <v>98.694000000000003</v>
      </c>
      <c r="AJ36" s="86" t="str">
        <f t="shared" si="3"/>
        <v>S/BM</v>
      </c>
      <c r="AK36" s="93">
        <f t="shared" si="15"/>
        <v>98.694000000000003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1</v>
      </c>
    </row>
    <row r="37" spans="1:42" ht="15.75" x14ac:dyDescent="0.25">
      <c r="A37" s="94">
        <f t="shared" si="0"/>
        <v>33.5</v>
      </c>
      <c r="B37" s="95">
        <f t="shared" si="1"/>
        <v>98.694000000000003</v>
      </c>
      <c r="C37" s="96" t="str">
        <f t="shared" si="5"/>
        <v/>
      </c>
      <c r="D37" s="184"/>
      <c r="X37" s="107"/>
      <c r="Y37" s="108"/>
      <c r="Z37" s="109"/>
      <c r="AA37" s="110"/>
      <c r="AB37" s="111"/>
      <c r="AC37" s="112">
        <f t="shared" si="11"/>
        <v>98.694000000000003</v>
      </c>
      <c r="AD37" s="113">
        <f t="shared" si="13"/>
        <v>98.694000000000003</v>
      </c>
      <c r="AE37" s="114">
        <v>0</v>
      </c>
      <c r="AF37" s="113">
        <f t="shared" si="12"/>
        <v>33.5</v>
      </c>
      <c r="AG37" s="115"/>
      <c r="AH37" s="86">
        <f t="shared" si="2"/>
        <v>98.694000000000003</v>
      </c>
      <c r="AI37" s="86">
        <f t="shared" si="6"/>
        <v>98.694000000000003</v>
      </c>
      <c r="AJ37" s="86" t="str">
        <f t="shared" si="3"/>
        <v>S/BM</v>
      </c>
      <c r="AK37" s="93">
        <f t="shared" si="15"/>
        <v>98.694000000000003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1</v>
      </c>
    </row>
    <row r="38" spans="1:42" ht="15.75" x14ac:dyDescent="0.25">
      <c r="A38" s="94">
        <f t="shared" si="0"/>
        <v>35.5</v>
      </c>
      <c r="B38" s="95">
        <f t="shared" si="1"/>
        <v>98.694000000000003</v>
      </c>
      <c r="C38" s="96" t="str">
        <f t="shared" si="5"/>
        <v/>
      </c>
      <c r="D38" s="184"/>
      <c r="X38" s="107"/>
      <c r="Y38" s="108"/>
      <c r="Z38" s="109"/>
      <c r="AA38" s="110"/>
      <c r="AB38" s="111"/>
      <c r="AC38" s="112">
        <f t="shared" si="11"/>
        <v>98.694000000000003</v>
      </c>
      <c r="AD38" s="113">
        <f t="shared" si="13"/>
        <v>98.694000000000003</v>
      </c>
      <c r="AE38" s="114">
        <v>2</v>
      </c>
      <c r="AF38" s="113">
        <f t="shared" si="12"/>
        <v>35.5</v>
      </c>
      <c r="AG38" s="116"/>
      <c r="AH38" s="86">
        <f t="shared" si="2"/>
        <v>98.694000000000003</v>
      </c>
      <c r="AI38" s="86">
        <f t="shared" si="6"/>
        <v>98.694000000000003</v>
      </c>
      <c r="AJ38" s="86" t="str">
        <f t="shared" si="3"/>
        <v>S/BM</v>
      </c>
      <c r="AK38" s="93">
        <f t="shared" si="15"/>
        <v>98.694000000000003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1</v>
      </c>
    </row>
    <row r="39" spans="1:42" ht="15.75" x14ac:dyDescent="0.25">
      <c r="A39" s="94">
        <f t="shared" si="0"/>
        <v>37.200000000000003</v>
      </c>
      <c r="B39" s="95">
        <f t="shared" si="1"/>
        <v>98.694000000000003</v>
      </c>
      <c r="C39" s="96" t="str">
        <f t="shared" si="5"/>
        <v/>
      </c>
      <c r="D39" s="184"/>
      <c r="X39" s="107"/>
      <c r="Y39" s="108"/>
      <c r="Z39" s="109"/>
      <c r="AA39" s="110"/>
      <c r="AB39" s="111"/>
      <c r="AC39" s="112">
        <f t="shared" si="11"/>
        <v>98.694000000000003</v>
      </c>
      <c r="AD39" s="113">
        <f t="shared" si="13"/>
        <v>98.694000000000003</v>
      </c>
      <c r="AE39" s="114">
        <v>1.7</v>
      </c>
      <c r="AF39" s="113">
        <f t="shared" si="12"/>
        <v>37.200000000000003</v>
      </c>
      <c r="AG39" s="116"/>
      <c r="AH39" s="86">
        <f t="shared" si="2"/>
        <v>98.694000000000003</v>
      </c>
      <c r="AI39" s="86">
        <f t="shared" si="6"/>
        <v>98.694000000000003</v>
      </c>
      <c r="AJ39" s="86" t="str">
        <f t="shared" si="3"/>
        <v>S/BM</v>
      </c>
      <c r="AK39" s="93">
        <f t="shared" si="15"/>
        <v>98.694000000000003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1</v>
      </c>
    </row>
    <row r="40" spans="1:42" ht="15.75" x14ac:dyDescent="0.25">
      <c r="A40" s="94">
        <f t="shared" si="0"/>
        <v>37.200000000000003</v>
      </c>
      <c r="B40" s="95">
        <f t="shared" si="1"/>
        <v>98.694000000000003</v>
      </c>
      <c r="C40" s="96" t="str">
        <f t="shared" si="5"/>
        <v/>
      </c>
      <c r="D40" s="184"/>
      <c r="X40" s="107"/>
      <c r="Y40" s="108"/>
      <c r="Z40" s="109"/>
      <c r="AA40" s="110"/>
      <c r="AB40" s="111"/>
      <c r="AC40" s="112">
        <f t="shared" si="11"/>
        <v>98.694000000000003</v>
      </c>
      <c r="AD40" s="113">
        <f t="shared" si="13"/>
        <v>98.694000000000003</v>
      </c>
      <c r="AE40" s="114">
        <v>0</v>
      </c>
      <c r="AF40" s="113">
        <f t="shared" si="12"/>
        <v>37.200000000000003</v>
      </c>
      <c r="AG40" s="116"/>
      <c r="AH40" s="86">
        <f t="shared" si="2"/>
        <v>98.694000000000003</v>
      </c>
      <c r="AI40" s="86">
        <f t="shared" si="6"/>
        <v>98.694000000000003</v>
      </c>
      <c r="AJ40" s="86" t="str">
        <f t="shared" si="3"/>
        <v>S/BM</v>
      </c>
      <c r="AK40" s="93">
        <f t="shared" si="15"/>
        <v>98.694000000000003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1</v>
      </c>
    </row>
    <row r="41" spans="1:42" ht="15.75" x14ac:dyDescent="0.25">
      <c r="A41" s="94">
        <f t="shared" si="0"/>
        <v>37.200000000000003</v>
      </c>
      <c r="B41" s="95">
        <f t="shared" si="1"/>
        <v>98.694000000000003</v>
      </c>
      <c r="C41" s="96" t="str">
        <f>IF(AG41="","",AG41)</f>
        <v/>
      </c>
      <c r="D41" s="184"/>
      <c r="X41" s="107"/>
      <c r="Y41" s="108"/>
      <c r="Z41" s="109"/>
      <c r="AA41" s="110"/>
      <c r="AB41" s="111"/>
      <c r="AC41" s="112">
        <f t="shared" si="11"/>
        <v>98.694000000000003</v>
      </c>
      <c r="AD41" s="113">
        <f t="shared" si="13"/>
        <v>98.694000000000003</v>
      </c>
      <c r="AE41" s="114">
        <v>0</v>
      </c>
      <c r="AF41" s="113">
        <f t="shared" si="12"/>
        <v>37.200000000000003</v>
      </c>
      <c r="AG41" s="116"/>
      <c r="AH41" s="86">
        <f t="shared" si="2"/>
        <v>98.694000000000003</v>
      </c>
      <c r="AI41" s="86">
        <f t="shared" si="6"/>
        <v>98.694000000000003</v>
      </c>
      <c r="AJ41" s="86" t="str">
        <f>IF(AG41="",AJ40,AG41)</f>
        <v>S/BM</v>
      </c>
      <c r="AK41" s="93">
        <f t="shared" si="15"/>
        <v>98.694000000000003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1</v>
      </c>
    </row>
    <row r="42" spans="1:42" ht="15.75" x14ac:dyDescent="0.25">
      <c r="A42" s="94">
        <f t="shared" si="0"/>
        <v>42.2</v>
      </c>
      <c r="B42" s="95">
        <f t="shared" si="1"/>
        <v>98.694000000000003</v>
      </c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>
        <f t="shared" si="11"/>
        <v>98.694000000000003</v>
      </c>
      <c r="AD42" s="113">
        <f t="shared" si="13"/>
        <v>98.694000000000003</v>
      </c>
      <c r="AE42" s="114">
        <v>5</v>
      </c>
      <c r="AF42" s="113">
        <f t="shared" si="12"/>
        <v>42.2</v>
      </c>
      <c r="AG42" s="116"/>
      <c r="AH42" s="86">
        <f t="shared" si="2"/>
        <v>98.694000000000003</v>
      </c>
      <c r="AI42" s="86">
        <f t="shared" si="6"/>
        <v>98.694000000000003</v>
      </c>
      <c r="AJ42" s="86" t="str">
        <f>IF(AG42="",AJ41,AG42)</f>
        <v>S/BM</v>
      </c>
      <c r="AK42" s="93">
        <f t="shared" si="15"/>
        <v>98.694000000000003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1</v>
      </c>
    </row>
    <row r="43" spans="1:42" ht="15.75" x14ac:dyDescent="0.25">
      <c r="A43" s="94">
        <f t="shared" si="0"/>
        <v>52.2</v>
      </c>
      <c r="B43" s="95">
        <f t="shared" si="1"/>
        <v>98.694000000000003</v>
      </c>
      <c r="C43" s="96" t="str">
        <f t="shared" si="5"/>
        <v/>
      </c>
      <c r="D43" s="184"/>
      <c r="X43" s="107"/>
      <c r="Y43" s="108"/>
      <c r="Z43" s="109"/>
      <c r="AA43" s="110"/>
      <c r="AB43" s="111"/>
      <c r="AC43" s="112">
        <f t="shared" si="11"/>
        <v>98.694000000000003</v>
      </c>
      <c r="AD43" s="113">
        <f t="shared" si="13"/>
        <v>98.694000000000003</v>
      </c>
      <c r="AE43" s="114">
        <v>10</v>
      </c>
      <c r="AF43" s="113">
        <f t="shared" si="12"/>
        <v>52.2</v>
      </c>
      <c r="AG43" s="116"/>
      <c r="AH43" s="86">
        <f t="shared" si="2"/>
        <v>98.694000000000003</v>
      </c>
      <c r="AI43" s="86">
        <f t="shared" si="6"/>
        <v>98.694000000000003</v>
      </c>
      <c r="AJ43" s="86" t="str">
        <f t="shared" si="3"/>
        <v>S/BM</v>
      </c>
      <c r="AK43" s="93">
        <f t="shared" si="15"/>
        <v>98.694000000000003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1</v>
      </c>
    </row>
    <row r="44" spans="1:42" ht="15.75" x14ac:dyDescent="0.25">
      <c r="A44" s="94">
        <f t="shared" si="0"/>
        <v>56.1</v>
      </c>
      <c r="B44" s="95">
        <f t="shared" si="1"/>
        <v>98.694000000000003</v>
      </c>
      <c r="C44" s="96" t="str">
        <f t="shared" si="5"/>
        <v/>
      </c>
      <c r="D44" s="184"/>
      <c r="X44" s="107"/>
      <c r="Y44" s="108"/>
      <c r="Z44" s="109"/>
      <c r="AA44" s="110"/>
      <c r="AB44" s="111"/>
      <c r="AC44" s="112">
        <f t="shared" si="11"/>
        <v>98.694000000000003</v>
      </c>
      <c r="AD44" s="113">
        <f t="shared" si="13"/>
        <v>98.694000000000003</v>
      </c>
      <c r="AE44" s="114">
        <v>3.9</v>
      </c>
      <c r="AF44" s="113">
        <f t="shared" si="12"/>
        <v>56.1</v>
      </c>
      <c r="AG44" s="115"/>
      <c r="AH44" s="86">
        <f t="shared" si="2"/>
        <v>98.694000000000003</v>
      </c>
      <c r="AI44" s="86">
        <f t="shared" si="6"/>
        <v>98.694000000000003</v>
      </c>
      <c r="AJ44" s="86" t="str">
        <f t="shared" si="3"/>
        <v>S/BM</v>
      </c>
      <c r="AK44" s="93">
        <f t="shared" si="15"/>
        <v>98.694000000000003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1</v>
      </c>
    </row>
    <row r="45" spans="1:42" ht="15.75" x14ac:dyDescent="0.25">
      <c r="A45" s="94">
        <f t="shared" si="0"/>
        <v>56.1</v>
      </c>
      <c r="B45" s="95">
        <f t="shared" si="1"/>
        <v>98.694000000000003</v>
      </c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>
        <f t="shared" si="11"/>
        <v>98.694000000000003</v>
      </c>
      <c r="AD45" s="113">
        <f t="shared" si="13"/>
        <v>98.694000000000003</v>
      </c>
      <c r="AE45" s="121">
        <v>0</v>
      </c>
      <c r="AF45" s="113">
        <f t="shared" si="12"/>
        <v>56.1</v>
      </c>
      <c r="AG45" s="115"/>
      <c r="AH45" s="86">
        <f t="shared" si="2"/>
        <v>98.694000000000003</v>
      </c>
      <c r="AI45" s="86">
        <f t="shared" si="6"/>
        <v>98.694000000000003</v>
      </c>
      <c r="AJ45" s="86" t="str">
        <f t="shared" si="3"/>
        <v>S/BM</v>
      </c>
      <c r="AK45" s="93">
        <f t="shared" si="15"/>
        <v>98.694000000000003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1</v>
      </c>
    </row>
    <row r="46" spans="1:42" ht="15.75" x14ac:dyDescent="0.25">
      <c r="A46" s="94">
        <f t="shared" si="0"/>
        <v>56.1</v>
      </c>
      <c r="B46" s="95">
        <f t="shared" si="1"/>
        <v>98.694000000000003</v>
      </c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>
        <f t="shared" si="11"/>
        <v>98.694000000000003</v>
      </c>
      <c r="AD46" s="113">
        <f t="shared" si="13"/>
        <v>98.694000000000003</v>
      </c>
      <c r="AE46" s="121">
        <v>0</v>
      </c>
      <c r="AF46" s="113">
        <f t="shared" si="12"/>
        <v>56.1</v>
      </c>
      <c r="AG46" s="116"/>
      <c r="AH46" s="86">
        <f t="shared" si="2"/>
        <v>98.694000000000003</v>
      </c>
      <c r="AI46" s="86">
        <f t="shared" si="6"/>
        <v>98.694000000000003</v>
      </c>
      <c r="AJ46" s="86" t="str">
        <f t="shared" si="3"/>
        <v>S/BM</v>
      </c>
      <c r="AK46" s="93">
        <f t="shared" si="15"/>
        <v>98.694000000000003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1</v>
      </c>
    </row>
    <row r="47" spans="1:42" ht="15.75" x14ac:dyDescent="0.25">
      <c r="A47" s="94">
        <f t="shared" si="0"/>
        <v>56.1</v>
      </c>
      <c r="B47" s="95">
        <f t="shared" si="1"/>
        <v>98.694000000000003</v>
      </c>
      <c r="C47" s="96" t="str">
        <f t="shared" ref="C47:C51" si="16">IF(AG47="","",AG47)</f>
        <v/>
      </c>
      <c r="D47" s="184"/>
      <c r="X47" s="107"/>
      <c r="Y47" s="108"/>
      <c r="Z47" s="109"/>
      <c r="AA47" s="119"/>
      <c r="AB47" s="120"/>
      <c r="AC47" s="112">
        <f>IF(AA47="",AD47+Z47,"")</f>
        <v>98.694000000000003</v>
      </c>
      <c r="AD47" s="113">
        <f t="shared" si="13"/>
        <v>98.694000000000003</v>
      </c>
      <c r="AE47" s="121"/>
      <c r="AF47" s="113">
        <f>+AF46+AE47</f>
        <v>56.1</v>
      </c>
      <c r="AG47" s="116"/>
      <c r="AH47" s="86">
        <f>IF(AND(AJ47="NAOI",AJ47=AJ48),AK47,AI47)</f>
        <v>98.694000000000003</v>
      </c>
      <c r="AI47" s="86">
        <f>IF(AA47="",AC47,AI46)</f>
        <v>98.694000000000003</v>
      </c>
      <c r="AJ47" s="86" t="str">
        <f t="shared" si="3"/>
        <v>S/BM</v>
      </c>
      <c r="AK47" s="93">
        <f>IF(AND(AJ47="NAOI",AJ46="NAOI"),AK46,AD47)</f>
        <v>98.694000000000003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1</v>
      </c>
    </row>
    <row r="48" spans="1:42" ht="15.75" x14ac:dyDescent="0.25">
      <c r="A48" s="94">
        <f t="shared" si="0"/>
        <v>56.1</v>
      </c>
      <c r="B48" s="95">
        <f t="shared" si="1"/>
        <v>98.694000000000003</v>
      </c>
      <c r="C48" s="96" t="str">
        <f t="shared" si="16"/>
        <v/>
      </c>
      <c r="D48" s="184"/>
      <c r="X48" s="107"/>
      <c r="Y48" s="108"/>
      <c r="Z48" s="109"/>
      <c r="AA48" s="119"/>
      <c r="AB48" s="120"/>
      <c r="AC48" s="112">
        <f t="shared" ref="AC48:AC51" si="17">IF(AA48="",AD48+Z48,"")</f>
        <v>98.694000000000003</v>
      </c>
      <c r="AD48" s="113">
        <f t="shared" si="13"/>
        <v>98.694000000000003</v>
      </c>
      <c r="AE48" s="121"/>
      <c r="AF48" s="113">
        <f t="shared" ref="AF48:AF51" si="18">+AF47+AE48</f>
        <v>56.1</v>
      </c>
      <c r="AG48" s="116"/>
      <c r="AH48" s="86">
        <f>IF(AND(AJ48="NAOI",AJ48=AJ49),AK48,AI48)</f>
        <v>98.694000000000003</v>
      </c>
      <c r="AI48" s="86">
        <f>IF(AA48="",AC48,AI47)</f>
        <v>98.694000000000003</v>
      </c>
      <c r="AJ48" s="86" t="str">
        <f t="shared" si="3"/>
        <v>S/BM</v>
      </c>
      <c r="AK48" s="93">
        <f>IF(AND(AJ48="NAOI",AJ47="NAOI"),AK47,AD48)</f>
        <v>98.694000000000003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1</v>
      </c>
    </row>
    <row r="49" spans="1:42" ht="15.75" x14ac:dyDescent="0.25">
      <c r="A49" s="94">
        <f t="shared" si="0"/>
        <v>56.1</v>
      </c>
      <c r="B49" s="95">
        <f t="shared" si="1"/>
        <v>98.694000000000003</v>
      </c>
      <c r="C49" s="96" t="str">
        <f t="shared" si="16"/>
        <v/>
      </c>
      <c r="D49" s="184"/>
      <c r="X49" s="107"/>
      <c r="Y49" s="108"/>
      <c r="Z49" s="109"/>
      <c r="AA49" s="119"/>
      <c r="AB49" s="120"/>
      <c r="AC49" s="112">
        <f t="shared" si="17"/>
        <v>98.694000000000003</v>
      </c>
      <c r="AD49" s="113">
        <f t="shared" si="13"/>
        <v>98.694000000000003</v>
      </c>
      <c r="AE49" s="121"/>
      <c r="AF49" s="113">
        <f t="shared" si="18"/>
        <v>56.1</v>
      </c>
      <c r="AG49" s="116"/>
      <c r="AH49" s="86">
        <f>IF(AND(AJ49="NAOI",AJ49=AJ50),AK49,AI49)</f>
        <v>98.694000000000003</v>
      </c>
      <c r="AI49" s="86">
        <f>IF(AA49="",AC49,AI48)</f>
        <v>98.694000000000003</v>
      </c>
      <c r="AJ49" s="86" t="str">
        <f t="shared" si="3"/>
        <v>S/BM</v>
      </c>
      <c r="AK49" s="93">
        <f>IF(AND(AJ49="NAOI",AJ48="NAOI"),AK48,AD49)</f>
        <v>98.694000000000003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1</v>
      </c>
    </row>
    <row r="50" spans="1:42" ht="15.75" x14ac:dyDescent="0.25">
      <c r="A50" s="94">
        <f t="shared" si="0"/>
        <v>56.1</v>
      </c>
      <c r="B50" s="95">
        <f t="shared" si="1"/>
        <v>98.694000000000003</v>
      </c>
      <c r="C50" s="96" t="str">
        <f t="shared" si="16"/>
        <v/>
      </c>
      <c r="D50" s="184"/>
      <c r="X50" s="107"/>
      <c r="Y50" s="108"/>
      <c r="Z50" s="109"/>
      <c r="AA50" s="119"/>
      <c r="AB50" s="120"/>
      <c r="AC50" s="112">
        <f t="shared" si="17"/>
        <v>98.694000000000003</v>
      </c>
      <c r="AD50" s="113">
        <f t="shared" si="13"/>
        <v>98.694000000000003</v>
      </c>
      <c r="AE50" s="121"/>
      <c r="AF50" s="113">
        <f t="shared" si="18"/>
        <v>56.1</v>
      </c>
      <c r="AG50" s="116"/>
      <c r="AH50" s="86">
        <f>IF(AND(AJ50="NAOI",AJ50=AJ51),AK50,AI50)</f>
        <v>98.694000000000003</v>
      </c>
      <c r="AI50" s="86">
        <f>IF(AA50="",AC50,AI49)</f>
        <v>98.694000000000003</v>
      </c>
      <c r="AJ50" s="86" t="str">
        <f t="shared" si="3"/>
        <v>S/BM</v>
      </c>
      <c r="AK50" s="93">
        <f>IF(AND(AJ50="NAOI",AJ49="NAOI"),AK49,AD50)</f>
        <v>98.694000000000003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1</v>
      </c>
    </row>
    <row r="51" spans="1:42" ht="16.5" thickBot="1" x14ac:dyDescent="0.3">
      <c r="A51" s="122">
        <f t="shared" si="0"/>
        <v>56.1</v>
      </c>
      <c r="B51" s="123">
        <f t="shared" si="1"/>
        <v>98.694000000000003</v>
      </c>
      <c r="C51" s="96" t="str">
        <f t="shared" si="16"/>
        <v/>
      </c>
      <c r="D51" s="184"/>
      <c r="X51" s="124"/>
      <c r="Y51" s="125"/>
      <c r="Z51" s="126"/>
      <c r="AA51" s="127"/>
      <c r="AB51" s="128"/>
      <c r="AC51" s="129">
        <f t="shared" si="17"/>
        <v>98.694000000000003</v>
      </c>
      <c r="AD51" s="130">
        <f t="shared" si="13"/>
        <v>98.694000000000003</v>
      </c>
      <c r="AE51" s="131"/>
      <c r="AF51" s="130">
        <f t="shared" si="18"/>
        <v>56.1</v>
      </c>
      <c r="AG51" s="132"/>
      <c r="AH51" s="86">
        <f>IF(AND(AJ51="NAOI",AJ51=AJ52),AK51,AI51)</f>
        <v>98.694000000000003</v>
      </c>
      <c r="AI51" s="86">
        <f>IF(AA51="",AC51,AI50)</f>
        <v>98.694000000000003</v>
      </c>
      <c r="AJ51" s="86" t="str">
        <f t="shared" si="3"/>
        <v>S/BM</v>
      </c>
      <c r="AK51" s="93">
        <f>IF(AND(AJ51="NAOI",AJ50="NAOI"),AK50,AD51)</f>
        <v>98.694000000000003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1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10.5</v>
      </c>
      <c r="B53" s="136">
        <f>AL4</f>
        <v>94.821999999999989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23</v>
      </c>
      <c r="B54" s="136">
        <f>AN4</f>
        <v>94.801999999999992</v>
      </c>
      <c r="C54" s="139" t="s">
        <v>10</v>
      </c>
      <c r="D54" s="192"/>
    </row>
    <row r="55" spans="1:42" ht="20.100000000000001" customHeight="1" x14ac:dyDescent="0.2">
      <c r="A55" s="140">
        <v>23</v>
      </c>
      <c r="B55" s="141">
        <v>93.302999999999997</v>
      </c>
      <c r="C55" s="142" t="s">
        <v>8</v>
      </c>
      <c r="D55" s="192"/>
    </row>
    <row r="56" spans="1:42" ht="20.100000000000001" customHeight="1" x14ac:dyDescent="0.2">
      <c r="A56" s="140">
        <v>23</v>
      </c>
      <c r="B56" s="143">
        <f>B55+4</f>
        <v>97.302999999999997</v>
      </c>
      <c r="C56" s="142" t="s">
        <v>8</v>
      </c>
      <c r="D56" s="192"/>
    </row>
    <row r="57" spans="1:42" ht="20.100000000000001" customHeight="1" x14ac:dyDescent="0.2">
      <c r="A57" s="63">
        <v>23.5</v>
      </c>
      <c r="B57" s="143">
        <v>96.317999999999998</v>
      </c>
      <c r="C57" s="144" t="s">
        <v>2</v>
      </c>
      <c r="D57" s="192"/>
    </row>
    <row r="58" spans="1:42" ht="20.100000000000001" customHeight="1" thickBot="1" x14ac:dyDescent="0.25">
      <c r="A58" s="140">
        <f>A57</f>
        <v>23.5</v>
      </c>
      <c r="B58" s="143">
        <f>B57+1.5</f>
        <v>97.817999999999998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49</v>
      </c>
      <c r="B61" s="152"/>
      <c r="C61" s="153"/>
      <c r="D61" s="149"/>
    </row>
    <row r="62" spans="1:42" ht="18" x14ac:dyDescent="0.25">
      <c r="A62" s="151" t="s">
        <v>50</v>
      </c>
      <c r="B62" s="152"/>
      <c r="C62" s="154">
        <f>B55</f>
        <v>93.302999999999997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58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56</v>
      </c>
      <c r="C69" s="193"/>
    </row>
    <row r="70" spans="1:4" ht="14.25" x14ac:dyDescent="0.2">
      <c r="A70" s="157" t="s">
        <v>57</v>
      </c>
      <c r="B70" s="193" t="s">
        <v>58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42765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889" priority="84" stopIfTrue="1">
      <formula>$AP$47=1</formula>
    </cfRule>
  </conditionalFormatting>
  <conditionalFormatting sqref="AC46:AF46">
    <cfRule type="expression" dxfId="888" priority="83" stopIfTrue="1">
      <formula>$AP$46</formula>
    </cfRule>
  </conditionalFormatting>
  <conditionalFormatting sqref="AC50:AF50">
    <cfRule type="expression" dxfId="887" priority="82" stopIfTrue="1">
      <formula>$AP$50=1</formula>
    </cfRule>
  </conditionalFormatting>
  <conditionalFormatting sqref="AC51:AF51">
    <cfRule type="expression" dxfId="886" priority="81" stopIfTrue="1">
      <formula>$AP$51=1</formula>
    </cfRule>
  </conditionalFormatting>
  <conditionalFormatting sqref="AC49:AF49">
    <cfRule type="expression" dxfId="885" priority="80" stopIfTrue="1">
      <formula>$AP$49=1</formula>
    </cfRule>
  </conditionalFormatting>
  <conditionalFormatting sqref="AC48:AF48">
    <cfRule type="expression" dxfId="884" priority="79" stopIfTrue="1">
      <formula>$AP$48=1</formula>
    </cfRule>
  </conditionalFormatting>
  <conditionalFormatting sqref="AC45:AF45">
    <cfRule type="expression" dxfId="883" priority="78" stopIfTrue="1">
      <formula>$AP$45=1</formula>
    </cfRule>
  </conditionalFormatting>
  <conditionalFormatting sqref="AC44:AF44">
    <cfRule type="expression" dxfId="882" priority="77" stopIfTrue="1">
      <formula>$AP$44=1</formula>
    </cfRule>
  </conditionalFormatting>
  <conditionalFormatting sqref="AC43:AF43">
    <cfRule type="expression" dxfId="881" priority="76" stopIfTrue="1">
      <formula>$AP$43=1</formula>
    </cfRule>
  </conditionalFormatting>
  <conditionalFormatting sqref="AC42:AF42">
    <cfRule type="expression" dxfId="880" priority="75" stopIfTrue="1">
      <formula>$AP$42=1</formula>
    </cfRule>
  </conditionalFormatting>
  <conditionalFormatting sqref="AC41:AF41">
    <cfRule type="expression" dxfId="879" priority="74" stopIfTrue="1">
      <formula>$AP$41=1</formula>
    </cfRule>
  </conditionalFormatting>
  <conditionalFormatting sqref="AC40:AF40">
    <cfRule type="expression" dxfId="878" priority="73" stopIfTrue="1">
      <formula>$AP$40=1</formula>
    </cfRule>
  </conditionalFormatting>
  <conditionalFormatting sqref="AC39:AF39">
    <cfRule type="expression" dxfId="877" priority="72" stopIfTrue="1">
      <formula>$AP$39=1</formula>
    </cfRule>
  </conditionalFormatting>
  <conditionalFormatting sqref="AC38:AF38">
    <cfRule type="expression" dxfId="876" priority="71" stopIfTrue="1">
      <formula>$AP$38=1</formula>
    </cfRule>
  </conditionalFormatting>
  <conditionalFormatting sqref="AC37:AF37">
    <cfRule type="expression" dxfId="875" priority="70" stopIfTrue="1">
      <formula>$AP$37=1</formula>
    </cfRule>
  </conditionalFormatting>
  <conditionalFormatting sqref="AC36:AF36">
    <cfRule type="expression" dxfId="874" priority="69" stopIfTrue="1">
      <formula>$AP$36=1</formula>
    </cfRule>
  </conditionalFormatting>
  <conditionalFormatting sqref="AC35:AF35">
    <cfRule type="expression" dxfId="873" priority="67" stopIfTrue="1">
      <formula>$AP$35=1</formula>
    </cfRule>
    <cfRule type="expression" dxfId="872" priority="68" stopIfTrue="1">
      <formula>$AP$35=1</formula>
    </cfRule>
  </conditionalFormatting>
  <conditionalFormatting sqref="AC34:AF34">
    <cfRule type="expression" dxfId="871" priority="66" stopIfTrue="1">
      <formula>$AP$34=1</formula>
    </cfRule>
  </conditionalFormatting>
  <conditionalFormatting sqref="AC33:AF33">
    <cfRule type="expression" dxfId="870" priority="65" stopIfTrue="1">
      <formula>$AP$33=1</formula>
    </cfRule>
  </conditionalFormatting>
  <conditionalFormatting sqref="AC32:AF32">
    <cfRule type="expression" dxfId="869" priority="64" stopIfTrue="1">
      <formula>$AP$32=1</formula>
    </cfRule>
  </conditionalFormatting>
  <conditionalFormatting sqref="AC31:AF31">
    <cfRule type="expression" dxfId="868" priority="63" stopIfTrue="1">
      <formula>$AP$31=1</formula>
    </cfRule>
  </conditionalFormatting>
  <conditionalFormatting sqref="AC30:AF30">
    <cfRule type="expression" dxfId="867" priority="62" stopIfTrue="1">
      <formula>$AP$30</formula>
    </cfRule>
  </conditionalFormatting>
  <conditionalFormatting sqref="AC29:AD29 AF29">
    <cfRule type="expression" dxfId="866" priority="61" stopIfTrue="1">
      <formula>$AP$29=1</formula>
    </cfRule>
  </conditionalFormatting>
  <conditionalFormatting sqref="AC28:AD28 AF28">
    <cfRule type="expression" dxfId="865" priority="60" stopIfTrue="1">
      <formula>$AP$28=1</formula>
    </cfRule>
  </conditionalFormatting>
  <conditionalFormatting sqref="AC27:AD27 AF27">
    <cfRule type="expression" dxfId="864" priority="59" stopIfTrue="1">
      <formula>$AP$27=1</formula>
    </cfRule>
  </conditionalFormatting>
  <conditionalFormatting sqref="AC26:AD26 AF26">
    <cfRule type="expression" dxfId="863" priority="58" stopIfTrue="1">
      <formula>$AP$26=1</formula>
    </cfRule>
  </conditionalFormatting>
  <conditionalFormatting sqref="AC25:AD25 AF25">
    <cfRule type="expression" dxfId="862" priority="57" stopIfTrue="1">
      <formula>$AP$25=1</formula>
    </cfRule>
  </conditionalFormatting>
  <conditionalFormatting sqref="AC24:AD24 AF24">
    <cfRule type="expression" dxfId="861" priority="56" stopIfTrue="1">
      <formula>$AP$24=1</formula>
    </cfRule>
  </conditionalFormatting>
  <conditionalFormatting sqref="AC23:AD23 AF23">
    <cfRule type="expression" dxfId="860" priority="55" stopIfTrue="1">
      <formula>$AP$23=1</formula>
    </cfRule>
  </conditionalFormatting>
  <conditionalFormatting sqref="AC22:AD22 AF22">
    <cfRule type="expression" dxfId="859" priority="54" stopIfTrue="1">
      <formula>$AP$22=1</formula>
    </cfRule>
  </conditionalFormatting>
  <conditionalFormatting sqref="AC21:AD21 AF21">
    <cfRule type="expression" dxfId="858" priority="53" stopIfTrue="1">
      <formula>$AP$21=1</formula>
    </cfRule>
  </conditionalFormatting>
  <conditionalFormatting sqref="AC20:AD20 AF20">
    <cfRule type="expression" dxfId="857" priority="52" stopIfTrue="1">
      <formula>$AP$20=1</formula>
    </cfRule>
  </conditionalFormatting>
  <conditionalFormatting sqref="AC19:AD19 AF19">
    <cfRule type="expression" dxfId="856" priority="51" stopIfTrue="1">
      <formula>$AP$19=1</formula>
    </cfRule>
  </conditionalFormatting>
  <conditionalFormatting sqref="AC18:AD18 AF18">
    <cfRule type="expression" dxfId="855" priority="50" stopIfTrue="1">
      <formula>$AP$18=1</formula>
    </cfRule>
  </conditionalFormatting>
  <conditionalFormatting sqref="AC17:AD17 AF17">
    <cfRule type="expression" dxfId="854" priority="49" stopIfTrue="1">
      <formula>$AP$17=1</formula>
    </cfRule>
  </conditionalFormatting>
  <conditionalFormatting sqref="AC16:AD16 AF16">
    <cfRule type="expression" dxfId="853" priority="48" stopIfTrue="1">
      <formula>$AP$16=1</formula>
    </cfRule>
  </conditionalFormatting>
  <conditionalFormatting sqref="AC15:AD15 AF15">
    <cfRule type="expression" dxfId="852" priority="47" stopIfTrue="1">
      <formula>$AP$15=1</formula>
    </cfRule>
  </conditionalFormatting>
  <conditionalFormatting sqref="AC14:AD14 AF14">
    <cfRule type="expression" dxfId="851" priority="46" stopIfTrue="1">
      <formula>$AP$14=1</formula>
    </cfRule>
  </conditionalFormatting>
  <conditionalFormatting sqref="AC13:AD13 AF13">
    <cfRule type="expression" dxfId="850" priority="45" stopIfTrue="1">
      <formula>$AP$13=1</formula>
    </cfRule>
  </conditionalFormatting>
  <conditionalFormatting sqref="AC12:AF12 AE13:AE29">
    <cfRule type="expression" dxfId="849" priority="44" stopIfTrue="1">
      <formula>$AP$12=1</formula>
    </cfRule>
  </conditionalFormatting>
  <conditionalFormatting sqref="AC11:AF11">
    <cfRule type="expression" dxfId="848" priority="43" stopIfTrue="1">
      <formula>$AP$11=1</formula>
    </cfRule>
  </conditionalFormatting>
  <conditionalFormatting sqref="A51:B51">
    <cfRule type="expression" dxfId="847" priority="42" stopIfTrue="1">
      <formula>$AP$51=1</formula>
    </cfRule>
  </conditionalFormatting>
  <conditionalFormatting sqref="A50:B50">
    <cfRule type="expression" dxfId="846" priority="41" stopIfTrue="1">
      <formula>$AP$50=1</formula>
    </cfRule>
  </conditionalFormatting>
  <conditionalFormatting sqref="A49:B49">
    <cfRule type="expression" dxfId="845" priority="40" stopIfTrue="1">
      <formula>$AP$49=1</formula>
    </cfRule>
  </conditionalFormatting>
  <conditionalFormatting sqref="A48:B48">
    <cfRule type="expression" dxfId="844" priority="39" stopIfTrue="1">
      <formula>$AP$48=1</formula>
    </cfRule>
  </conditionalFormatting>
  <conditionalFormatting sqref="A47:B47">
    <cfRule type="expression" dxfId="843" priority="38" stopIfTrue="1">
      <formula>$AP$47=1</formula>
    </cfRule>
  </conditionalFormatting>
  <conditionalFormatting sqref="A46:B46">
    <cfRule type="expression" dxfId="842" priority="37" stopIfTrue="1">
      <formula>$AP$46=1</formula>
    </cfRule>
  </conditionalFormatting>
  <conditionalFormatting sqref="A45:B45">
    <cfRule type="expression" dxfId="841" priority="36" stopIfTrue="1">
      <formula>$AP$45=1</formula>
    </cfRule>
  </conditionalFormatting>
  <conditionalFormatting sqref="A44:B44">
    <cfRule type="expression" dxfId="840" priority="35" stopIfTrue="1">
      <formula>$AP$44=1</formula>
    </cfRule>
  </conditionalFormatting>
  <conditionalFormatting sqref="A43:B43">
    <cfRule type="expression" dxfId="839" priority="34" stopIfTrue="1">
      <formula>$AP$43=1</formula>
    </cfRule>
  </conditionalFormatting>
  <conditionalFormatting sqref="A42:B42">
    <cfRule type="expression" dxfId="838" priority="33" stopIfTrue="1">
      <formula>$AP$42=1</formula>
    </cfRule>
  </conditionalFormatting>
  <conditionalFormatting sqref="A41:B41">
    <cfRule type="expression" dxfId="837" priority="32" stopIfTrue="1">
      <formula>$AP$41=1</formula>
    </cfRule>
  </conditionalFormatting>
  <conditionalFormatting sqref="A40:B40">
    <cfRule type="expression" dxfId="836" priority="31" stopIfTrue="1">
      <formula>$AP$40=1</formula>
    </cfRule>
  </conditionalFormatting>
  <conditionalFormatting sqref="A39:B39">
    <cfRule type="expression" dxfId="835" priority="30" stopIfTrue="1">
      <formula>$AP$39=1</formula>
    </cfRule>
  </conditionalFormatting>
  <conditionalFormatting sqref="A38:B38">
    <cfRule type="expression" dxfId="834" priority="29" stopIfTrue="1">
      <formula>$AP$38=1</formula>
    </cfRule>
  </conditionalFormatting>
  <conditionalFormatting sqref="A37:B37">
    <cfRule type="expression" dxfId="833" priority="28" stopIfTrue="1">
      <formula>$AP$37=1</formula>
    </cfRule>
  </conditionalFormatting>
  <conditionalFormatting sqref="A36:B36">
    <cfRule type="expression" dxfId="832" priority="27" stopIfTrue="1">
      <formula>$AP$36=1</formula>
    </cfRule>
  </conditionalFormatting>
  <conditionalFormatting sqref="A35:B35">
    <cfRule type="expression" dxfId="831" priority="26" stopIfTrue="1">
      <formula>$AP$35=1</formula>
    </cfRule>
  </conditionalFormatting>
  <conditionalFormatting sqref="A34:B34">
    <cfRule type="expression" dxfId="830" priority="25" stopIfTrue="1">
      <formula>$AP$34=1</formula>
    </cfRule>
  </conditionalFormatting>
  <conditionalFormatting sqref="A33:B33">
    <cfRule type="expression" dxfId="829" priority="24" stopIfTrue="1">
      <formula>$AP$33=1</formula>
    </cfRule>
  </conditionalFormatting>
  <conditionalFormatting sqref="A32:B32">
    <cfRule type="expression" dxfId="828" priority="23" stopIfTrue="1">
      <formula>$AP$32=1</formula>
    </cfRule>
  </conditionalFormatting>
  <conditionalFormatting sqref="A31:B31">
    <cfRule type="expression" dxfId="827" priority="22" stopIfTrue="1">
      <formula>$AP$31=1</formula>
    </cfRule>
  </conditionalFormatting>
  <conditionalFormatting sqref="A30:B30">
    <cfRule type="expression" dxfId="826" priority="21" stopIfTrue="1">
      <formula>$AP$30=1</formula>
    </cfRule>
  </conditionalFormatting>
  <conditionalFormatting sqref="A29:B29">
    <cfRule type="expression" dxfId="825" priority="20" stopIfTrue="1">
      <formula>$AP$29=1</formula>
    </cfRule>
  </conditionalFormatting>
  <conditionalFormatting sqref="A28:B28">
    <cfRule type="expression" dxfId="824" priority="19" stopIfTrue="1">
      <formula>$AP$28=1</formula>
    </cfRule>
  </conditionalFormatting>
  <conditionalFormatting sqref="A27:B27">
    <cfRule type="expression" dxfId="823" priority="18" stopIfTrue="1">
      <formula>$AP$27=1</formula>
    </cfRule>
  </conditionalFormatting>
  <conditionalFormatting sqref="A26:B26">
    <cfRule type="expression" dxfId="822" priority="17" stopIfTrue="1">
      <formula>$AP$26=1</formula>
    </cfRule>
  </conditionalFormatting>
  <conditionalFormatting sqref="A25:B25">
    <cfRule type="expression" dxfId="821" priority="16" stopIfTrue="1">
      <formula>$AP$25=1</formula>
    </cfRule>
  </conditionalFormatting>
  <conditionalFormatting sqref="A24:B24">
    <cfRule type="expression" dxfId="820" priority="15" stopIfTrue="1">
      <formula>$AP$24=1</formula>
    </cfRule>
  </conditionalFormatting>
  <conditionalFormatting sqref="A23:B23">
    <cfRule type="expression" dxfId="819" priority="14" stopIfTrue="1">
      <formula>$AP$23=1</formula>
    </cfRule>
  </conditionalFormatting>
  <conditionalFormatting sqref="A22:B22">
    <cfRule type="expression" dxfId="818" priority="13" stopIfTrue="1">
      <formula>$AP$22=1</formula>
    </cfRule>
  </conditionalFormatting>
  <conditionalFormatting sqref="A21:B21">
    <cfRule type="expression" dxfId="817" priority="12" stopIfTrue="1">
      <formula>$AP$21=1</formula>
    </cfRule>
  </conditionalFormatting>
  <conditionalFormatting sqref="A20:B20">
    <cfRule type="expression" dxfId="816" priority="11" stopIfTrue="1">
      <formula>$AP$20=1</formula>
    </cfRule>
  </conditionalFormatting>
  <conditionalFormatting sqref="A19:B19">
    <cfRule type="expression" dxfId="815" priority="10" stopIfTrue="1">
      <formula>$AP$19=1</formula>
    </cfRule>
  </conditionalFormatting>
  <conditionalFormatting sqref="A18:B18">
    <cfRule type="expression" dxfId="814" priority="9" stopIfTrue="1">
      <formula>$AP$18=1</formula>
    </cfRule>
  </conditionalFormatting>
  <conditionalFormatting sqref="A17:B17">
    <cfRule type="expression" dxfId="813" priority="8" stopIfTrue="1">
      <formula>$AP$17=1</formula>
    </cfRule>
  </conditionalFormatting>
  <conditionalFormatting sqref="A16:B16">
    <cfRule type="expression" dxfId="812" priority="7" stopIfTrue="1">
      <formula>$AP$16=1</formula>
    </cfRule>
  </conditionalFormatting>
  <conditionalFormatting sqref="A15:B15">
    <cfRule type="expression" dxfId="811" priority="6" stopIfTrue="1">
      <formula>$AP$15=1</formula>
    </cfRule>
  </conditionalFormatting>
  <conditionalFormatting sqref="A14:B14">
    <cfRule type="expression" dxfId="810" priority="5" stopIfTrue="1">
      <formula>$AP$14=1</formula>
    </cfRule>
  </conditionalFormatting>
  <conditionalFormatting sqref="A13:B13">
    <cfRule type="expression" dxfId="809" priority="4" stopIfTrue="1">
      <formula>$AP$13=1</formula>
    </cfRule>
  </conditionalFormatting>
  <conditionalFormatting sqref="A12:B12">
    <cfRule type="expression" dxfId="808" priority="3" stopIfTrue="1">
      <formula>$AP$12=1</formula>
    </cfRule>
  </conditionalFormatting>
  <conditionalFormatting sqref="A11:B11">
    <cfRule type="expression" dxfId="807" priority="2" stopIfTrue="1">
      <formula>$AP$11=1</formula>
    </cfRule>
  </conditionalFormatting>
  <conditionalFormatting sqref="A10:B10">
    <cfRule type="expression" dxfId="806" priority="1" stopIfTrue="1">
      <formula>$AP$10=1</formula>
    </cfRule>
  </conditionalFormatting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AP75"/>
  <sheetViews>
    <sheetView topLeftCell="A10" zoomScale="70" zoomScaleNormal="70" workbookViewId="0">
      <selection activeCell="AD5" sqref="AD5"/>
    </sheetView>
  </sheetViews>
  <sheetFormatPr baseColWidth="10" defaultColWidth="11.42578125" defaultRowHeight="12.75" x14ac:dyDescent="0.2"/>
  <cols>
    <col min="1" max="1" width="9.7109375" style="84" customWidth="1"/>
    <col min="2" max="2" width="12.4257812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67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786.74</v>
      </c>
      <c r="AM4" s="93">
        <f>SUM(AM5:AM46)</f>
        <v>13</v>
      </c>
      <c r="AN4" s="93">
        <f>SUM(AN5:AN46)</f>
        <v>786.74</v>
      </c>
      <c r="AO4" s="93">
        <f>SUM(AO5:AO46)</f>
        <v>26.8</v>
      </c>
      <c r="AP4" s="86"/>
    </row>
    <row r="5" spans="1:42" ht="15.75" x14ac:dyDescent="0.25">
      <c r="A5" s="94">
        <f t="shared" ref="A5:A51" si="0">AF5</f>
        <v>0</v>
      </c>
      <c r="B5" s="95">
        <f t="shared" ref="B5:B51" si="1">AD5</f>
        <v>791.86</v>
      </c>
      <c r="C5" s="96" t="str">
        <f>IF(AG5="","",AG5)</f>
        <v xml:space="preserve">S/BM </v>
      </c>
      <c r="D5" s="184"/>
      <c r="X5" s="97"/>
      <c r="Y5" s="98"/>
      <c r="Z5" s="99">
        <v>1.3919999999999999</v>
      </c>
      <c r="AA5" s="100"/>
      <c r="AB5" s="101"/>
      <c r="AC5" s="102">
        <f>IF(AA5="",AD5+Z5,"")</f>
        <v>793.25200000000007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793.25200000000007</v>
      </c>
      <c r="AI5" s="86">
        <f>IF(AA5="",AC5,AI4)</f>
        <v>793.25200000000007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3</v>
      </c>
      <c r="B6" s="95">
        <f t="shared" si="1"/>
        <v>791.60700000000008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1.645</v>
      </c>
      <c r="AB6" s="111"/>
      <c r="AC6" s="112" t="str">
        <f>IF(AA6="",AD6+Z6,"")</f>
        <v/>
      </c>
      <c r="AD6" s="113">
        <f>IF(AA6="",AH5-AB6,AH5-AA6)</f>
        <v>791.60700000000008</v>
      </c>
      <c r="AE6" s="114">
        <v>3</v>
      </c>
      <c r="AF6" s="113">
        <f>AE6</f>
        <v>3</v>
      </c>
      <c r="AG6" s="115" t="s">
        <v>4</v>
      </c>
      <c r="AH6" s="86">
        <f t="shared" si="2"/>
        <v>793.25200000000007</v>
      </c>
      <c r="AI6" s="86">
        <f t="shared" ref="AI6:AI46" si="6">IF(AA6="",AC6,AI5)</f>
        <v>793.25200000000007</v>
      </c>
      <c r="AJ6" s="86" t="str">
        <f t="shared" si="3"/>
        <v>PRI</v>
      </c>
      <c r="AK6" s="93">
        <f t="shared" si="4"/>
        <v>791.60700000000008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5.5</v>
      </c>
      <c r="B7" s="95">
        <f t="shared" si="1"/>
        <v>790.33200000000011</v>
      </c>
      <c r="C7" s="96" t="str">
        <f t="shared" si="5"/>
        <v/>
      </c>
      <c r="D7" s="184"/>
      <c r="X7" s="107"/>
      <c r="Y7" s="108"/>
      <c r="Z7" s="109"/>
      <c r="AA7" s="110">
        <v>2.92</v>
      </c>
      <c r="AB7" s="111"/>
      <c r="AC7" s="112" t="str">
        <f t="shared" ref="AC7:AC46" si="11">IF(AA7="",AD7+Z7,"")</f>
        <v/>
      </c>
      <c r="AD7" s="113">
        <f>IF(AA7="",AH6-AB7,AH6-AA7)</f>
        <v>790.33200000000011</v>
      </c>
      <c r="AE7" s="114">
        <v>2.5</v>
      </c>
      <c r="AF7" s="113">
        <f t="shared" ref="AF7:AF46" si="12">+AF6+AE7</f>
        <v>5.5</v>
      </c>
      <c r="AG7" s="116"/>
      <c r="AH7" s="86">
        <f t="shared" si="2"/>
        <v>793.25200000000007</v>
      </c>
      <c r="AI7" s="86">
        <f t="shared" si="6"/>
        <v>793.25200000000007</v>
      </c>
      <c r="AJ7" s="86" t="str">
        <f t="shared" si="3"/>
        <v>PRI</v>
      </c>
      <c r="AK7" s="93">
        <f t="shared" si="4"/>
        <v>790.33200000000011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5.5</v>
      </c>
      <c r="B8" s="95">
        <f t="shared" si="1"/>
        <v>788.88700000000006</v>
      </c>
      <c r="C8" s="96" t="str">
        <f t="shared" si="5"/>
        <v/>
      </c>
      <c r="D8" s="184"/>
      <c r="X8" s="107"/>
      <c r="Y8" s="108"/>
      <c r="Z8" s="109"/>
      <c r="AA8" s="110">
        <v>4.3650000000000002</v>
      </c>
      <c r="AB8" s="111"/>
      <c r="AC8" s="112" t="str">
        <f t="shared" si="11"/>
        <v/>
      </c>
      <c r="AD8" s="113">
        <f>IF(AA8="",AH7-AB8,AH7-AA8)</f>
        <v>788.88700000000006</v>
      </c>
      <c r="AE8" s="114">
        <v>0</v>
      </c>
      <c r="AF8" s="113">
        <f t="shared" si="12"/>
        <v>5.5</v>
      </c>
      <c r="AG8" s="116"/>
      <c r="AH8" s="86">
        <f t="shared" si="2"/>
        <v>793.25200000000007</v>
      </c>
      <c r="AI8" s="86">
        <f t="shared" si="6"/>
        <v>793.25200000000007</v>
      </c>
      <c r="AJ8" s="86" t="str">
        <f t="shared" si="3"/>
        <v>PRI</v>
      </c>
      <c r="AK8" s="93">
        <f t="shared" si="4"/>
        <v>788.88700000000006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5.5</v>
      </c>
      <c r="B9" s="95">
        <f t="shared" si="1"/>
        <v>788.58</v>
      </c>
      <c r="C9" s="96" t="str">
        <f t="shared" si="5"/>
        <v/>
      </c>
      <c r="D9" s="184"/>
      <c r="X9" s="107" t="s">
        <v>47</v>
      </c>
      <c r="Y9" s="108"/>
      <c r="Z9" s="109">
        <v>0.74</v>
      </c>
      <c r="AA9" s="110"/>
      <c r="AB9" s="111">
        <v>4.6719999999999997</v>
      </c>
      <c r="AC9" s="112">
        <f t="shared" si="11"/>
        <v>789.32</v>
      </c>
      <c r="AD9" s="113">
        <f>IF(AA9="",AH8-AB9,AH8-AA9)</f>
        <v>788.58</v>
      </c>
      <c r="AE9" s="114">
        <v>0</v>
      </c>
      <c r="AF9" s="113">
        <f t="shared" si="12"/>
        <v>5.5</v>
      </c>
      <c r="AG9" s="115"/>
      <c r="AH9" s="86">
        <f t="shared" si="2"/>
        <v>789.32</v>
      </c>
      <c r="AI9" s="86">
        <f t="shared" si="6"/>
        <v>789.32</v>
      </c>
      <c r="AJ9" s="86" t="str">
        <f t="shared" si="3"/>
        <v>PRI</v>
      </c>
      <c r="AK9" s="93">
        <f t="shared" si="4"/>
        <v>788.58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8.8000000000000007</v>
      </c>
      <c r="B10" s="95">
        <f t="shared" si="1"/>
        <v>788.34</v>
      </c>
      <c r="C10" s="96" t="str">
        <f t="shared" si="5"/>
        <v/>
      </c>
      <c r="D10" s="184"/>
      <c r="E10" s="84">
        <f>(B12+B35)/2</f>
        <v>789.30200000000013</v>
      </c>
      <c r="X10" s="107"/>
      <c r="Y10" s="108"/>
      <c r="Z10" s="109"/>
      <c r="AA10" s="110">
        <v>0.98</v>
      </c>
      <c r="AB10" s="111"/>
      <c r="AC10" s="112" t="str">
        <f t="shared" si="11"/>
        <v/>
      </c>
      <c r="AD10" s="113">
        <f t="shared" ref="AD10:AD51" si="13">IF(AJ9="S/BM",AD9,IF(AA10="",AH9-AB10,AH9-AA10))</f>
        <v>788.34</v>
      </c>
      <c r="AE10" s="114">
        <v>3.3</v>
      </c>
      <c r="AF10" s="113">
        <f t="shared" si="12"/>
        <v>8.8000000000000007</v>
      </c>
      <c r="AG10" s="116"/>
      <c r="AH10" s="86">
        <f t="shared" si="2"/>
        <v>789.32</v>
      </c>
      <c r="AI10" s="86">
        <f t="shared" si="6"/>
        <v>789.32</v>
      </c>
      <c r="AJ10" s="86" t="str">
        <f t="shared" si="3"/>
        <v>PRI</v>
      </c>
      <c r="AK10" s="93">
        <f t="shared" si="4"/>
        <v>788.34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8.8000000000000007</v>
      </c>
      <c r="B11" s="95">
        <f t="shared" si="1"/>
        <v>787.38800000000003</v>
      </c>
      <c r="C11" s="96" t="str">
        <f t="shared" si="5"/>
        <v/>
      </c>
      <c r="D11" s="184"/>
      <c r="E11" s="117">
        <v>0.33</v>
      </c>
      <c r="X11" s="107"/>
      <c r="Y11" s="108"/>
      <c r="Z11" s="109"/>
      <c r="AA11" s="110">
        <v>1.9319999999999999</v>
      </c>
      <c r="AB11" s="111"/>
      <c r="AC11" s="112" t="str">
        <f t="shared" si="11"/>
        <v/>
      </c>
      <c r="AD11" s="113">
        <f t="shared" si="13"/>
        <v>787.38800000000003</v>
      </c>
      <c r="AE11" s="114">
        <v>0</v>
      </c>
      <c r="AF11" s="113">
        <f t="shared" si="12"/>
        <v>8.8000000000000007</v>
      </c>
      <c r="AG11" s="116"/>
      <c r="AH11" s="86">
        <f t="shared" si="2"/>
        <v>789.32</v>
      </c>
      <c r="AI11" s="86">
        <f t="shared" si="6"/>
        <v>789.32</v>
      </c>
      <c r="AJ11" s="86" t="str">
        <f t="shared" si="3"/>
        <v>PRI</v>
      </c>
      <c r="AK11" s="93">
        <f t="shared" si="4"/>
        <v>787.38800000000003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13</v>
      </c>
      <c r="B12" s="95">
        <f t="shared" si="1"/>
        <v>786.74</v>
      </c>
      <c r="C12" s="96" t="str">
        <f t="shared" si="5"/>
        <v>NAOI</v>
      </c>
      <c r="D12" s="184"/>
      <c r="E12" s="117">
        <v>0.3</v>
      </c>
      <c r="X12" s="107"/>
      <c r="Y12" s="108"/>
      <c r="Z12" s="109"/>
      <c r="AA12" s="110">
        <v>2.58</v>
      </c>
      <c r="AB12" s="111"/>
      <c r="AC12" s="112" t="str">
        <f>IF(AA12="",AD12+Z12,"")</f>
        <v/>
      </c>
      <c r="AD12" s="113">
        <f t="shared" si="13"/>
        <v>786.74</v>
      </c>
      <c r="AE12" s="114">
        <v>4.2</v>
      </c>
      <c r="AF12" s="113">
        <f t="shared" si="12"/>
        <v>13</v>
      </c>
      <c r="AG12" s="115" t="s">
        <v>9</v>
      </c>
      <c r="AH12" s="86">
        <f t="shared" si="2"/>
        <v>786.74</v>
      </c>
      <c r="AI12" s="86">
        <f t="shared" si="6"/>
        <v>789.32</v>
      </c>
      <c r="AJ12" s="86" t="str">
        <f t="shared" si="3"/>
        <v>NAOI</v>
      </c>
      <c r="AK12" s="93">
        <f t="shared" si="4"/>
        <v>786.74</v>
      </c>
      <c r="AL12" s="86">
        <f t="shared" si="7"/>
        <v>786.74</v>
      </c>
      <c r="AM12" s="93">
        <f t="shared" si="8"/>
        <v>13</v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20</v>
      </c>
      <c r="B13" s="95">
        <f t="shared" si="1"/>
        <v>785.58</v>
      </c>
      <c r="C13" s="96" t="str">
        <f t="shared" si="5"/>
        <v/>
      </c>
      <c r="D13" s="184"/>
      <c r="E13" s="117">
        <v>0.35</v>
      </c>
      <c r="X13" s="107"/>
      <c r="Y13" s="108"/>
      <c r="Z13" s="109"/>
      <c r="AA13" s="110">
        <v>1.1599999999999999</v>
      </c>
      <c r="AB13" s="111"/>
      <c r="AC13" s="112" t="str">
        <f t="shared" si="11"/>
        <v/>
      </c>
      <c r="AD13" s="113">
        <f t="shared" si="13"/>
        <v>785.58</v>
      </c>
      <c r="AE13" s="114">
        <v>7</v>
      </c>
      <c r="AF13" s="113">
        <f t="shared" si="12"/>
        <v>20</v>
      </c>
      <c r="AG13" s="116"/>
      <c r="AH13" s="86">
        <f t="shared" si="2"/>
        <v>786.74</v>
      </c>
      <c r="AI13" s="86">
        <f t="shared" si="6"/>
        <v>789.32</v>
      </c>
      <c r="AJ13" s="86" t="str">
        <f t="shared" si="3"/>
        <v>NAOI</v>
      </c>
      <c r="AK13" s="93">
        <f t="shared" si="4"/>
        <v>786.74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21</v>
      </c>
      <c r="B14" s="95">
        <f t="shared" si="1"/>
        <v>785.43000000000006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1.31</v>
      </c>
      <c r="AB14" s="111"/>
      <c r="AC14" s="112" t="str">
        <f t="shared" si="11"/>
        <v/>
      </c>
      <c r="AD14" s="113">
        <f t="shared" si="13"/>
        <v>785.43000000000006</v>
      </c>
      <c r="AE14" s="114">
        <v>1</v>
      </c>
      <c r="AF14" s="113">
        <f t="shared" si="12"/>
        <v>21</v>
      </c>
      <c r="AG14" s="116"/>
      <c r="AH14" s="86">
        <f t="shared" si="2"/>
        <v>786.74</v>
      </c>
      <c r="AI14" s="86">
        <f t="shared" si="6"/>
        <v>789.32</v>
      </c>
      <c r="AJ14" s="86" t="str">
        <f t="shared" si="3"/>
        <v>NAOI</v>
      </c>
      <c r="AK14" s="93">
        <f>IF(AND(AJ14="NAOI",AJ13="NAOI"),AK13,AD14)</f>
        <v>786.74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21.5</v>
      </c>
      <c r="B15" s="95">
        <f t="shared" si="1"/>
        <v>785.34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1.4</v>
      </c>
      <c r="AB15" s="111"/>
      <c r="AC15" s="112" t="str">
        <f t="shared" si="11"/>
        <v/>
      </c>
      <c r="AD15" s="113">
        <f t="shared" si="13"/>
        <v>785.34</v>
      </c>
      <c r="AE15" s="114">
        <v>0.5</v>
      </c>
      <c r="AF15" s="113">
        <f t="shared" si="12"/>
        <v>21.5</v>
      </c>
      <c r="AG15" s="115"/>
      <c r="AH15" s="86">
        <f t="shared" si="2"/>
        <v>786.74</v>
      </c>
      <c r="AI15" s="86">
        <f t="shared" si="6"/>
        <v>789.32</v>
      </c>
      <c r="AJ15" s="86" t="str">
        <f t="shared" si="3"/>
        <v>NAOI</v>
      </c>
      <c r="AK15" s="93">
        <f>IF(AND(AJ15="NAOI",AJ14="NAOI"),AK14,AD15)</f>
        <v>786.74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22</v>
      </c>
      <c r="B16" s="95">
        <f t="shared" si="1"/>
        <v>785.31000000000006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1.43</v>
      </c>
      <c r="AB16" s="111"/>
      <c r="AC16" s="112" t="str">
        <f t="shared" si="11"/>
        <v/>
      </c>
      <c r="AD16" s="113">
        <f t="shared" si="13"/>
        <v>785.31000000000006</v>
      </c>
      <c r="AE16" s="114">
        <v>0.5</v>
      </c>
      <c r="AF16" s="113">
        <f t="shared" si="12"/>
        <v>22</v>
      </c>
      <c r="AG16" s="118"/>
      <c r="AH16" s="86">
        <f t="shared" si="2"/>
        <v>786.74</v>
      </c>
      <c r="AI16" s="86">
        <f t="shared" si="6"/>
        <v>789.32</v>
      </c>
      <c r="AJ16" s="86" t="str">
        <f t="shared" si="3"/>
        <v>NAOI</v>
      </c>
      <c r="AK16" s="93">
        <f>IF(AND(AJ16="NAOI",AJ15="NAOI"),AK15,AD16)</f>
        <v>786.74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22.5</v>
      </c>
      <c r="B17" s="95">
        <f t="shared" si="1"/>
        <v>785.28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1.46</v>
      </c>
      <c r="AB17" s="111"/>
      <c r="AC17" s="112" t="str">
        <f t="shared" si="11"/>
        <v/>
      </c>
      <c r="AD17" s="113">
        <f t="shared" si="13"/>
        <v>785.28</v>
      </c>
      <c r="AE17" s="114">
        <v>0.5</v>
      </c>
      <c r="AF17" s="113">
        <f t="shared" si="12"/>
        <v>22.5</v>
      </c>
      <c r="AG17" s="118"/>
      <c r="AH17" s="86">
        <f t="shared" si="2"/>
        <v>786.74</v>
      </c>
      <c r="AI17" s="86">
        <f t="shared" si="6"/>
        <v>789.32</v>
      </c>
      <c r="AJ17" s="86" t="str">
        <f t="shared" si="3"/>
        <v>NAOI</v>
      </c>
      <c r="AK17" s="93">
        <f t="shared" ref="AK17:AK46" si="15">IF(AND(AJ17="NAOI",AJ16="NAOI"),AK16,AD17)</f>
        <v>786.74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23</v>
      </c>
      <c r="B18" s="95">
        <f t="shared" si="1"/>
        <v>785.29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1.45</v>
      </c>
      <c r="AB18" s="111"/>
      <c r="AC18" s="112" t="str">
        <f t="shared" si="11"/>
        <v/>
      </c>
      <c r="AD18" s="113">
        <f t="shared" si="13"/>
        <v>785.29</v>
      </c>
      <c r="AE18" s="114">
        <v>0.5</v>
      </c>
      <c r="AF18" s="113">
        <f t="shared" si="12"/>
        <v>23</v>
      </c>
      <c r="AG18" s="118"/>
      <c r="AH18" s="86">
        <f t="shared" si="2"/>
        <v>786.74</v>
      </c>
      <c r="AI18" s="86">
        <f t="shared" si="6"/>
        <v>789.32</v>
      </c>
      <c r="AJ18" s="86" t="str">
        <f t="shared" si="3"/>
        <v>NAOI</v>
      </c>
      <c r="AK18" s="93">
        <f t="shared" si="15"/>
        <v>786.74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23.5</v>
      </c>
      <c r="B19" s="95">
        <f t="shared" si="1"/>
        <v>785.13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1.61</v>
      </c>
      <c r="AB19" s="111"/>
      <c r="AC19" s="112" t="str">
        <f t="shared" si="11"/>
        <v/>
      </c>
      <c r="AD19" s="113">
        <f t="shared" si="13"/>
        <v>785.13</v>
      </c>
      <c r="AE19" s="114">
        <v>0.5</v>
      </c>
      <c r="AF19" s="113">
        <f t="shared" si="12"/>
        <v>23.5</v>
      </c>
      <c r="AG19" s="118"/>
      <c r="AH19" s="86">
        <f t="shared" si="2"/>
        <v>786.74</v>
      </c>
      <c r="AI19" s="86">
        <f t="shared" si="6"/>
        <v>789.32</v>
      </c>
      <c r="AJ19" s="86" t="str">
        <f t="shared" si="3"/>
        <v>NAOI</v>
      </c>
      <c r="AK19" s="93">
        <f t="shared" si="15"/>
        <v>786.74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24</v>
      </c>
      <c r="B20" s="95">
        <f t="shared" si="1"/>
        <v>785.34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1.4</v>
      </c>
      <c r="AB20" s="111"/>
      <c r="AC20" s="112" t="str">
        <f t="shared" si="11"/>
        <v/>
      </c>
      <c r="AD20" s="113">
        <f t="shared" si="13"/>
        <v>785.34</v>
      </c>
      <c r="AE20" s="114">
        <v>0.5</v>
      </c>
      <c r="AF20" s="113">
        <f t="shared" si="12"/>
        <v>24</v>
      </c>
      <c r="AG20" s="118"/>
      <c r="AH20" s="86">
        <f t="shared" si="2"/>
        <v>786.74</v>
      </c>
      <c r="AI20" s="86">
        <f t="shared" si="6"/>
        <v>789.32</v>
      </c>
      <c r="AJ20" s="86" t="str">
        <f t="shared" si="3"/>
        <v>NAOI</v>
      </c>
      <c r="AK20" s="93">
        <f t="shared" si="15"/>
        <v>786.74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24.5</v>
      </c>
      <c r="B21" s="95">
        <f t="shared" si="1"/>
        <v>785.25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1.49</v>
      </c>
      <c r="AB21" s="111"/>
      <c r="AC21" s="112" t="str">
        <f t="shared" si="11"/>
        <v/>
      </c>
      <c r="AD21" s="113">
        <f t="shared" si="13"/>
        <v>785.25</v>
      </c>
      <c r="AE21" s="114">
        <v>0.5</v>
      </c>
      <c r="AF21" s="113">
        <f t="shared" si="12"/>
        <v>24.5</v>
      </c>
      <c r="AG21" s="118"/>
      <c r="AH21" s="86">
        <f t="shared" si="2"/>
        <v>786.74</v>
      </c>
      <c r="AI21" s="86">
        <f t="shared" si="6"/>
        <v>789.32</v>
      </c>
      <c r="AJ21" s="86" t="str">
        <f t="shared" si="3"/>
        <v>NAOI</v>
      </c>
      <c r="AK21" s="93">
        <f t="shared" si="15"/>
        <v>786.74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25</v>
      </c>
      <c r="B22" s="95">
        <f t="shared" si="1"/>
        <v>784.89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1.85</v>
      </c>
      <c r="AB22" s="111"/>
      <c r="AC22" s="112" t="str">
        <f t="shared" si="11"/>
        <v/>
      </c>
      <c r="AD22" s="113">
        <f t="shared" si="13"/>
        <v>784.89</v>
      </c>
      <c r="AE22" s="114">
        <v>0.5</v>
      </c>
      <c r="AF22" s="113">
        <f t="shared" si="12"/>
        <v>25</v>
      </c>
      <c r="AG22" s="118"/>
      <c r="AH22" s="86">
        <f t="shared" si="2"/>
        <v>786.74</v>
      </c>
      <c r="AI22" s="86">
        <f t="shared" si="6"/>
        <v>789.32</v>
      </c>
      <c r="AJ22" s="86" t="str">
        <f t="shared" si="3"/>
        <v>NAOI</v>
      </c>
      <c r="AK22" s="93">
        <f t="shared" si="15"/>
        <v>786.74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25.5</v>
      </c>
      <c r="B23" s="95">
        <f t="shared" si="1"/>
        <v>784.74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2</v>
      </c>
      <c r="AB23" s="111"/>
      <c r="AC23" s="112" t="str">
        <f t="shared" si="11"/>
        <v/>
      </c>
      <c r="AD23" s="113">
        <f t="shared" si="13"/>
        <v>784.74</v>
      </c>
      <c r="AE23" s="114">
        <v>0.5</v>
      </c>
      <c r="AF23" s="113">
        <f t="shared" si="12"/>
        <v>25.5</v>
      </c>
      <c r="AG23" s="118"/>
      <c r="AH23" s="86">
        <f t="shared" si="2"/>
        <v>786.74</v>
      </c>
      <c r="AI23" s="86">
        <f t="shared" si="6"/>
        <v>789.32</v>
      </c>
      <c r="AJ23" s="86" t="str">
        <f t="shared" si="3"/>
        <v>NAOI</v>
      </c>
      <c r="AK23" s="93">
        <f t="shared" si="15"/>
        <v>786.74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26</v>
      </c>
      <c r="B24" s="95">
        <f t="shared" si="1"/>
        <v>784.92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1.82</v>
      </c>
      <c r="AB24" s="111"/>
      <c r="AC24" s="112" t="str">
        <f t="shared" si="11"/>
        <v/>
      </c>
      <c r="AD24" s="113">
        <f t="shared" si="13"/>
        <v>784.92</v>
      </c>
      <c r="AE24" s="114">
        <v>0.5</v>
      </c>
      <c r="AF24" s="113">
        <f t="shared" si="12"/>
        <v>26</v>
      </c>
      <c r="AG24" s="118"/>
      <c r="AH24" s="86">
        <f t="shared" si="2"/>
        <v>786.74</v>
      </c>
      <c r="AI24" s="86">
        <f t="shared" si="6"/>
        <v>789.32</v>
      </c>
      <c r="AJ24" s="86" t="str">
        <f t="shared" si="3"/>
        <v>NAOI</v>
      </c>
      <c r="AK24" s="93">
        <f t="shared" si="15"/>
        <v>786.74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26.8</v>
      </c>
      <c r="B25" s="95">
        <f t="shared" si="1"/>
        <v>785.99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0.75</v>
      </c>
      <c r="AB25" s="111"/>
      <c r="AC25" s="112" t="str">
        <f t="shared" si="11"/>
        <v/>
      </c>
      <c r="AD25" s="113">
        <f t="shared" si="13"/>
        <v>785.99</v>
      </c>
      <c r="AE25" s="114">
        <v>0.8</v>
      </c>
      <c r="AF25" s="113">
        <f t="shared" si="12"/>
        <v>26.8</v>
      </c>
      <c r="AG25" s="118"/>
      <c r="AH25" s="86">
        <f t="shared" si="2"/>
        <v>789.32</v>
      </c>
      <c r="AI25" s="86">
        <f t="shared" si="6"/>
        <v>789.32</v>
      </c>
      <c r="AJ25" s="86" t="str">
        <f t="shared" si="3"/>
        <v>NAOI</v>
      </c>
      <c r="AK25" s="93">
        <f t="shared" si="15"/>
        <v>786.74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26.8</v>
      </c>
      <c r="B26" s="95">
        <f t="shared" si="1"/>
        <v>786.74</v>
      </c>
      <c r="C26" s="96" t="str">
        <f t="shared" si="5"/>
        <v>NAOD</v>
      </c>
      <c r="D26" s="184"/>
      <c r="E26" s="117">
        <v>1.7</v>
      </c>
      <c r="X26" s="107"/>
      <c r="Y26" s="108"/>
      <c r="Z26" s="109"/>
      <c r="AA26" s="110">
        <v>2.58</v>
      </c>
      <c r="AB26" s="111"/>
      <c r="AC26" s="112" t="str">
        <f t="shared" si="11"/>
        <v/>
      </c>
      <c r="AD26" s="113">
        <f t="shared" si="13"/>
        <v>786.74</v>
      </c>
      <c r="AE26" s="114">
        <v>0</v>
      </c>
      <c r="AF26" s="113">
        <f t="shared" si="12"/>
        <v>26.8</v>
      </c>
      <c r="AG26" s="115" t="s">
        <v>10</v>
      </c>
      <c r="AH26" s="86">
        <f t="shared" si="2"/>
        <v>789.32</v>
      </c>
      <c r="AI26" s="86">
        <f t="shared" si="6"/>
        <v>789.32</v>
      </c>
      <c r="AJ26" s="86" t="str">
        <f t="shared" si="3"/>
        <v>NAOD</v>
      </c>
      <c r="AK26" s="93">
        <f t="shared" si="15"/>
        <v>786.74</v>
      </c>
      <c r="AL26" s="86" t="str">
        <f t="shared" si="7"/>
        <v/>
      </c>
      <c r="AM26" s="93" t="str">
        <f t="shared" si="8"/>
        <v/>
      </c>
      <c r="AN26" s="86">
        <f t="shared" si="9"/>
        <v>786.74</v>
      </c>
      <c r="AO26" s="86">
        <f t="shared" si="10"/>
        <v>26.8</v>
      </c>
      <c r="AP26" s="86">
        <f t="shared" si="14"/>
        <v>0</v>
      </c>
    </row>
    <row r="27" spans="1:42" ht="15.75" x14ac:dyDescent="0.25">
      <c r="A27" s="94">
        <f t="shared" si="0"/>
        <v>26.8</v>
      </c>
      <c r="B27" s="95">
        <f t="shared" si="1"/>
        <v>788.7600000000001</v>
      </c>
      <c r="C27" s="96" t="str">
        <f t="shared" si="5"/>
        <v/>
      </c>
      <c r="D27" s="184"/>
      <c r="E27" s="117">
        <v>1.7</v>
      </c>
      <c r="X27" s="107" t="s">
        <v>48</v>
      </c>
      <c r="Y27" s="108"/>
      <c r="Z27" s="109">
        <v>4.6479999999999997</v>
      </c>
      <c r="AA27" s="110"/>
      <c r="AB27" s="111">
        <v>0.56000000000000005</v>
      </c>
      <c r="AC27" s="112">
        <f t="shared" si="11"/>
        <v>793.40800000000013</v>
      </c>
      <c r="AD27" s="113">
        <f t="shared" si="13"/>
        <v>788.7600000000001</v>
      </c>
      <c r="AE27" s="114">
        <v>0</v>
      </c>
      <c r="AF27" s="113">
        <f t="shared" si="12"/>
        <v>26.8</v>
      </c>
      <c r="AG27" s="115"/>
      <c r="AH27" s="86">
        <f t="shared" si="2"/>
        <v>793.40800000000013</v>
      </c>
      <c r="AI27" s="86">
        <f t="shared" si="6"/>
        <v>793.40800000000013</v>
      </c>
      <c r="AJ27" s="86" t="str">
        <f t="shared" si="3"/>
        <v>NAOD</v>
      </c>
      <c r="AK27" s="93">
        <f t="shared" si="15"/>
        <v>788.7600000000001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27.5</v>
      </c>
      <c r="B28" s="95">
        <f t="shared" si="1"/>
        <v>791.26800000000014</v>
      </c>
      <c r="C28" s="96" t="str">
        <f t="shared" si="5"/>
        <v>PRD</v>
      </c>
      <c r="D28" s="184"/>
      <c r="E28" s="117">
        <v>1.35</v>
      </c>
      <c r="X28" s="107"/>
      <c r="Y28" s="108"/>
      <c r="Z28" s="109"/>
      <c r="AA28" s="110">
        <v>2.14</v>
      </c>
      <c r="AB28" s="111"/>
      <c r="AC28" s="112" t="str">
        <f t="shared" si="11"/>
        <v/>
      </c>
      <c r="AD28" s="113">
        <f t="shared" si="13"/>
        <v>791.26800000000014</v>
      </c>
      <c r="AE28" s="114">
        <v>0.7</v>
      </c>
      <c r="AF28" s="113">
        <f t="shared" si="12"/>
        <v>27.5</v>
      </c>
      <c r="AG28" s="115" t="s">
        <v>5</v>
      </c>
      <c r="AH28" s="86">
        <f t="shared" si="2"/>
        <v>793.40800000000013</v>
      </c>
      <c r="AI28" s="86">
        <f t="shared" si="6"/>
        <v>793.40800000000013</v>
      </c>
      <c r="AJ28" s="86" t="str">
        <f t="shared" si="3"/>
        <v>PRD</v>
      </c>
      <c r="AK28" s="93">
        <f t="shared" si="15"/>
        <v>791.26800000000014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27.5</v>
      </c>
      <c r="B29" s="95">
        <f t="shared" si="1"/>
        <v>791.86400000000015</v>
      </c>
      <c r="C29" s="96" t="str">
        <f t="shared" si="5"/>
        <v>S/BM</v>
      </c>
      <c r="D29" s="184"/>
      <c r="E29" s="117">
        <v>1.2</v>
      </c>
      <c r="X29" s="107"/>
      <c r="Y29" s="108"/>
      <c r="Z29" s="109"/>
      <c r="AA29" s="110">
        <v>1.544</v>
      </c>
      <c r="AB29" s="111"/>
      <c r="AC29" s="112" t="str">
        <f t="shared" si="11"/>
        <v/>
      </c>
      <c r="AD29" s="113">
        <f t="shared" si="13"/>
        <v>791.86400000000015</v>
      </c>
      <c r="AE29" s="114">
        <v>0</v>
      </c>
      <c r="AF29" s="113">
        <f t="shared" si="12"/>
        <v>27.5</v>
      </c>
      <c r="AG29" s="116" t="s">
        <v>24</v>
      </c>
      <c r="AH29" s="86">
        <f t="shared" si="2"/>
        <v>793.40800000000013</v>
      </c>
      <c r="AI29" s="86">
        <f t="shared" si="6"/>
        <v>793.40800000000013</v>
      </c>
      <c r="AJ29" s="86" t="str">
        <f t="shared" si="3"/>
        <v>S/BM</v>
      </c>
      <c r="AK29" s="93">
        <f t="shared" si="15"/>
        <v>791.86400000000015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27.5</v>
      </c>
      <c r="B30" s="95">
        <f t="shared" si="1"/>
        <v>791.86400000000015</v>
      </c>
      <c r="C30" s="96" t="str">
        <f t="shared" si="5"/>
        <v/>
      </c>
      <c r="D30" s="184"/>
      <c r="E30" s="117">
        <v>0.8</v>
      </c>
      <c r="X30" s="107"/>
      <c r="Y30" s="108"/>
      <c r="Z30" s="109"/>
      <c r="AA30" s="110"/>
      <c r="AB30" s="111"/>
      <c r="AC30" s="112">
        <f t="shared" si="11"/>
        <v>791.86400000000015</v>
      </c>
      <c r="AD30" s="113">
        <f t="shared" si="13"/>
        <v>791.86400000000015</v>
      </c>
      <c r="AE30" s="114">
        <v>0</v>
      </c>
      <c r="AF30" s="113">
        <f t="shared" si="12"/>
        <v>27.5</v>
      </c>
      <c r="AG30" s="115"/>
      <c r="AH30" s="86">
        <f t="shared" si="2"/>
        <v>791.86400000000015</v>
      </c>
      <c r="AI30" s="86">
        <f t="shared" si="6"/>
        <v>791.86400000000015</v>
      </c>
      <c r="AJ30" s="86" t="str">
        <f t="shared" si="3"/>
        <v>S/BM</v>
      </c>
      <c r="AK30" s="93">
        <f t="shared" si="15"/>
        <v>791.86400000000015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1</v>
      </c>
    </row>
    <row r="31" spans="1:42" ht="15.75" x14ac:dyDescent="0.25">
      <c r="A31" s="94">
        <f t="shared" si="0"/>
        <v>29.5</v>
      </c>
      <c r="B31" s="95">
        <f t="shared" si="1"/>
        <v>791.86400000000015</v>
      </c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/>
      <c r="AB31" s="111"/>
      <c r="AC31" s="112">
        <f t="shared" si="11"/>
        <v>791.86400000000015</v>
      </c>
      <c r="AD31" s="113">
        <f t="shared" si="13"/>
        <v>791.86400000000015</v>
      </c>
      <c r="AE31" s="114">
        <v>2</v>
      </c>
      <c r="AF31" s="113">
        <f t="shared" si="12"/>
        <v>29.5</v>
      </c>
      <c r="AG31" s="118"/>
      <c r="AH31" s="86">
        <f t="shared" si="2"/>
        <v>791.86400000000015</v>
      </c>
      <c r="AI31" s="86">
        <f t="shared" si="6"/>
        <v>791.86400000000015</v>
      </c>
      <c r="AJ31" s="86" t="str">
        <f t="shared" si="3"/>
        <v>S/BM</v>
      </c>
      <c r="AK31" s="93">
        <f t="shared" si="15"/>
        <v>791.86400000000015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1</v>
      </c>
    </row>
    <row r="32" spans="1:42" ht="15.75" x14ac:dyDescent="0.25">
      <c r="A32" s="94">
        <f t="shared" si="0"/>
        <v>30.5</v>
      </c>
      <c r="B32" s="95">
        <f t="shared" si="1"/>
        <v>791.86400000000015</v>
      </c>
      <c r="C32" s="96" t="str">
        <f t="shared" si="5"/>
        <v/>
      </c>
      <c r="D32" s="184"/>
      <c r="E32" s="117">
        <v>0.35</v>
      </c>
      <c r="X32" s="107"/>
      <c r="Y32" s="108"/>
      <c r="Z32" s="109"/>
      <c r="AA32" s="110"/>
      <c r="AB32" s="111"/>
      <c r="AC32" s="112">
        <f t="shared" si="11"/>
        <v>791.86400000000015</v>
      </c>
      <c r="AD32" s="113">
        <f t="shared" si="13"/>
        <v>791.86400000000015</v>
      </c>
      <c r="AE32" s="114">
        <v>1</v>
      </c>
      <c r="AF32" s="113">
        <f t="shared" si="12"/>
        <v>30.5</v>
      </c>
      <c r="AG32" s="118"/>
      <c r="AH32" s="86">
        <f t="shared" si="2"/>
        <v>791.86400000000015</v>
      </c>
      <c r="AI32" s="86">
        <f t="shared" si="6"/>
        <v>791.86400000000015</v>
      </c>
      <c r="AJ32" s="86" t="str">
        <f t="shared" si="3"/>
        <v>S/BM</v>
      </c>
      <c r="AK32" s="93">
        <f t="shared" si="15"/>
        <v>791.86400000000015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1</v>
      </c>
    </row>
    <row r="33" spans="1:42" ht="15.75" x14ac:dyDescent="0.25">
      <c r="A33" s="94">
        <f t="shared" si="0"/>
        <v>32.5</v>
      </c>
      <c r="B33" s="95">
        <f t="shared" si="1"/>
        <v>791.86400000000015</v>
      </c>
      <c r="C33" s="96" t="str">
        <f t="shared" si="5"/>
        <v/>
      </c>
      <c r="D33" s="184"/>
      <c r="X33" s="107"/>
      <c r="Y33" s="108"/>
      <c r="Z33" s="109"/>
      <c r="AA33" s="110"/>
      <c r="AB33" s="111"/>
      <c r="AC33" s="112">
        <f t="shared" si="11"/>
        <v>791.86400000000015</v>
      </c>
      <c r="AD33" s="113">
        <f t="shared" si="13"/>
        <v>791.86400000000015</v>
      </c>
      <c r="AE33" s="114">
        <v>2</v>
      </c>
      <c r="AF33" s="113">
        <f t="shared" si="12"/>
        <v>32.5</v>
      </c>
      <c r="AG33" s="118"/>
      <c r="AH33" s="86">
        <f t="shared" si="2"/>
        <v>791.86400000000015</v>
      </c>
      <c r="AI33" s="86">
        <f t="shared" si="6"/>
        <v>791.86400000000015</v>
      </c>
      <c r="AJ33" s="86" t="str">
        <f t="shared" si="3"/>
        <v>S/BM</v>
      </c>
      <c r="AK33" s="93">
        <f t="shared" si="15"/>
        <v>791.86400000000015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1</v>
      </c>
    </row>
    <row r="34" spans="1:42" ht="15.75" x14ac:dyDescent="0.25">
      <c r="A34" s="94">
        <f t="shared" si="0"/>
        <v>34.5</v>
      </c>
      <c r="B34" s="95">
        <f t="shared" si="1"/>
        <v>791.86400000000015</v>
      </c>
      <c r="C34" s="96" t="str">
        <f t="shared" si="5"/>
        <v/>
      </c>
      <c r="D34" s="184"/>
      <c r="X34" s="107"/>
      <c r="Y34" s="108"/>
      <c r="Z34" s="109"/>
      <c r="AA34" s="110"/>
      <c r="AB34" s="111"/>
      <c r="AC34" s="112">
        <f t="shared" si="11"/>
        <v>791.86400000000015</v>
      </c>
      <c r="AD34" s="113">
        <f t="shared" si="13"/>
        <v>791.86400000000015</v>
      </c>
      <c r="AE34" s="114">
        <v>2</v>
      </c>
      <c r="AF34" s="113">
        <f t="shared" si="12"/>
        <v>34.5</v>
      </c>
      <c r="AG34" s="115"/>
      <c r="AH34" s="86">
        <f t="shared" si="2"/>
        <v>791.86400000000015</v>
      </c>
      <c r="AI34" s="86">
        <f t="shared" si="6"/>
        <v>791.86400000000015</v>
      </c>
      <c r="AJ34" s="86" t="str">
        <f t="shared" si="3"/>
        <v>S/BM</v>
      </c>
      <c r="AK34" s="93">
        <f t="shared" si="15"/>
        <v>791.86400000000015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1</v>
      </c>
    </row>
    <row r="35" spans="1:42" ht="15.75" x14ac:dyDescent="0.25">
      <c r="A35" s="94">
        <f t="shared" si="0"/>
        <v>36.5</v>
      </c>
      <c r="B35" s="95">
        <f t="shared" si="1"/>
        <v>791.86400000000015</v>
      </c>
      <c r="C35" s="96" t="str">
        <f t="shared" si="5"/>
        <v/>
      </c>
      <c r="D35" s="184"/>
      <c r="X35" s="107"/>
      <c r="Y35" s="108"/>
      <c r="Z35" s="109"/>
      <c r="AA35" s="110"/>
      <c r="AB35" s="111"/>
      <c r="AC35" s="112">
        <f t="shared" si="11"/>
        <v>791.86400000000015</v>
      </c>
      <c r="AD35" s="113">
        <f t="shared" si="13"/>
        <v>791.86400000000015</v>
      </c>
      <c r="AE35" s="114">
        <v>2</v>
      </c>
      <c r="AF35" s="113">
        <f t="shared" si="12"/>
        <v>36.5</v>
      </c>
      <c r="AG35" s="116"/>
      <c r="AH35" s="86">
        <f t="shared" si="2"/>
        <v>791.86400000000015</v>
      </c>
      <c r="AI35" s="86">
        <f t="shared" si="6"/>
        <v>791.86400000000015</v>
      </c>
      <c r="AJ35" s="86" t="str">
        <f t="shared" si="3"/>
        <v>S/BM</v>
      </c>
      <c r="AK35" s="93">
        <f t="shared" si="15"/>
        <v>791.86400000000015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1</v>
      </c>
    </row>
    <row r="36" spans="1:42" ht="15.75" x14ac:dyDescent="0.25">
      <c r="A36" s="94">
        <f t="shared" si="0"/>
        <v>38</v>
      </c>
      <c r="B36" s="95">
        <f t="shared" si="1"/>
        <v>791.86400000000015</v>
      </c>
      <c r="C36" s="96" t="str">
        <f t="shared" si="5"/>
        <v/>
      </c>
      <c r="D36" s="184"/>
      <c r="X36" s="107"/>
      <c r="Y36" s="108"/>
      <c r="Z36" s="109"/>
      <c r="AA36" s="110"/>
      <c r="AB36" s="111"/>
      <c r="AC36" s="112">
        <f t="shared" si="11"/>
        <v>791.86400000000015</v>
      </c>
      <c r="AD36" s="113">
        <f t="shared" si="13"/>
        <v>791.86400000000015</v>
      </c>
      <c r="AE36" s="114">
        <v>1.5</v>
      </c>
      <c r="AF36" s="113">
        <f t="shared" si="12"/>
        <v>38</v>
      </c>
      <c r="AG36" s="115"/>
      <c r="AH36" s="86">
        <f t="shared" si="2"/>
        <v>791.86400000000015</v>
      </c>
      <c r="AI36" s="86">
        <f t="shared" si="6"/>
        <v>791.86400000000015</v>
      </c>
      <c r="AJ36" s="86" t="str">
        <f t="shared" si="3"/>
        <v>S/BM</v>
      </c>
      <c r="AK36" s="93">
        <f t="shared" si="15"/>
        <v>791.86400000000015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1</v>
      </c>
    </row>
    <row r="37" spans="1:42" ht="15.75" x14ac:dyDescent="0.25">
      <c r="A37" s="94">
        <f t="shared" si="0"/>
        <v>38</v>
      </c>
      <c r="B37" s="95">
        <f t="shared" si="1"/>
        <v>791.86400000000015</v>
      </c>
      <c r="C37" s="96" t="str">
        <f t="shared" si="5"/>
        <v/>
      </c>
      <c r="D37" s="184"/>
      <c r="X37" s="107"/>
      <c r="Y37" s="108"/>
      <c r="Z37" s="109"/>
      <c r="AA37" s="110"/>
      <c r="AB37" s="111"/>
      <c r="AC37" s="112">
        <f t="shared" si="11"/>
        <v>791.86400000000015</v>
      </c>
      <c r="AD37" s="113">
        <f t="shared" si="13"/>
        <v>791.86400000000015</v>
      </c>
      <c r="AE37" s="114">
        <v>0</v>
      </c>
      <c r="AF37" s="113">
        <f t="shared" si="12"/>
        <v>38</v>
      </c>
      <c r="AG37" s="115"/>
      <c r="AH37" s="86">
        <f t="shared" si="2"/>
        <v>791.86400000000015</v>
      </c>
      <c r="AI37" s="86">
        <f t="shared" si="6"/>
        <v>791.86400000000015</v>
      </c>
      <c r="AJ37" s="86" t="str">
        <f t="shared" si="3"/>
        <v>S/BM</v>
      </c>
      <c r="AK37" s="93">
        <f t="shared" si="15"/>
        <v>791.86400000000015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1</v>
      </c>
    </row>
    <row r="38" spans="1:42" ht="15.75" x14ac:dyDescent="0.25">
      <c r="A38" s="94">
        <f t="shared" si="0"/>
        <v>40</v>
      </c>
      <c r="B38" s="95">
        <f t="shared" si="1"/>
        <v>791.86400000000015</v>
      </c>
      <c r="C38" s="96" t="str">
        <f t="shared" si="5"/>
        <v/>
      </c>
      <c r="D38" s="184"/>
      <c r="X38" s="107"/>
      <c r="Y38" s="108"/>
      <c r="Z38" s="109"/>
      <c r="AA38" s="110"/>
      <c r="AB38" s="111"/>
      <c r="AC38" s="112">
        <f t="shared" si="11"/>
        <v>791.86400000000015</v>
      </c>
      <c r="AD38" s="113">
        <f t="shared" si="13"/>
        <v>791.86400000000015</v>
      </c>
      <c r="AE38" s="114">
        <v>2</v>
      </c>
      <c r="AF38" s="113">
        <f t="shared" si="12"/>
        <v>40</v>
      </c>
      <c r="AG38" s="116"/>
      <c r="AH38" s="86">
        <f t="shared" si="2"/>
        <v>791.86400000000015</v>
      </c>
      <c r="AI38" s="86">
        <f t="shared" si="6"/>
        <v>791.86400000000015</v>
      </c>
      <c r="AJ38" s="86" t="str">
        <f t="shared" si="3"/>
        <v>S/BM</v>
      </c>
      <c r="AK38" s="93">
        <f t="shared" si="15"/>
        <v>791.86400000000015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1</v>
      </c>
    </row>
    <row r="39" spans="1:42" ht="15.75" x14ac:dyDescent="0.25">
      <c r="A39" s="94">
        <f t="shared" si="0"/>
        <v>41.7</v>
      </c>
      <c r="B39" s="95">
        <f t="shared" si="1"/>
        <v>791.86400000000015</v>
      </c>
      <c r="C39" s="96" t="str">
        <f t="shared" si="5"/>
        <v/>
      </c>
      <c r="D39" s="184"/>
      <c r="X39" s="107"/>
      <c r="Y39" s="108"/>
      <c r="Z39" s="109"/>
      <c r="AA39" s="110"/>
      <c r="AB39" s="111"/>
      <c r="AC39" s="112">
        <f t="shared" si="11"/>
        <v>791.86400000000015</v>
      </c>
      <c r="AD39" s="113">
        <f t="shared" si="13"/>
        <v>791.86400000000015</v>
      </c>
      <c r="AE39" s="114">
        <v>1.7</v>
      </c>
      <c r="AF39" s="113">
        <f t="shared" si="12"/>
        <v>41.7</v>
      </c>
      <c r="AG39" s="116"/>
      <c r="AH39" s="86">
        <f t="shared" si="2"/>
        <v>791.86400000000015</v>
      </c>
      <c r="AI39" s="86">
        <f t="shared" si="6"/>
        <v>791.86400000000015</v>
      </c>
      <c r="AJ39" s="86" t="str">
        <f t="shared" si="3"/>
        <v>S/BM</v>
      </c>
      <c r="AK39" s="93">
        <f t="shared" si="15"/>
        <v>791.86400000000015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1</v>
      </c>
    </row>
    <row r="40" spans="1:42" ht="15.75" x14ac:dyDescent="0.25">
      <c r="A40" s="94">
        <f t="shared" si="0"/>
        <v>41.7</v>
      </c>
      <c r="B40" s="95">
        <f t="shared" si="1"/>
        <v>791.86400000000015</v>
      </c>
      <c r="C40" s="96" t="str">
        <f t="shared" si="5"/>
        <v/>
      </c>
      <c r="D40" s="184"/>
      <c r="X40" s="107"/>
      <c r="Y40" s="108"/>
      <c r="Z40" s="109"/>
      <c r="AA40" s="110"/>
      <c r="AB40" s="111"/>
      <c r="AC40" s="112">
        <f t="shared" si="11"/>
        <v>791.86400000000015</v>
      </c>
      <c r="AD40" s="113">
        <f t="shared" si="13"/>
        <v>791.86400000000015</v>
      </c>
      <c r="AE40" s="114">
        <v>0</v>
      </c>
      <c r="AF40" s="113">
        <f t="shared" si="12"/>
        <v>41.7</v>
      </c>
      <c r="AG40" s="116"/>
      <c r="AH40" s="86">
        <f t="shared" si="2"/>
        <v>791.86400000000015</v>
      </c>
      <c r="AI40" s="86">
        <f t="shared" si="6"/>
        <v>791.86400000000015</v>
      </c>
      <c r="AJ40" s="86" t="str">
        <f t="shared" si="3"/>
        <v>S/BM</v>
      </c>
      <c r="AK40" s="93">
        <f t="shared" si="15"/>
        <v>791.86400000000015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1</v>
      </c>
    </row>
    <row r="41" spans="1:42" ht="15.75" x14ac:dyDescent="0.25">
      <c r="A41" s="94">
        <f t="shared" si="0"/>
        <v>41.7</v>
      </c>
      <c r="B41" s="95">
        <f t="shared" si="1"/>
        <v>791.86400000000015</v>
      </c>
      <c r="C41" s="96" t="str">
        <f>IF(AG41="","",AG41)</f>
        <v/>
      </c>
      <c r="D41" s="184"/>
      <c r="X41" s="107"/>
      <c r="Y41" s="108"/>
      <c r="Z41" s="109"/>
      <c r="AA41" s="110"/>
      <c r="AB41" s="111"/>
      <c r="AC41" s="112">
        <f t="shared" si="11"/>
        <v>791.86400000000015</v>
      </c>
      <c r="AD41" s="113">
        <f t="shared" si="13"/>
        <v>791.86400000000015</v>
      </c>
      <c r="AE41" s="114">
        <v>0</v>
      </c>
      <c r="AF41" s="113">
        <f t="shared" si="12"/>
        <v>41.7</v>
      </c>
      <c r="AG41" s="116"/>
      <c r="AH41" s="86">
        <f t="shared" si="2"/>
        <v>791.86400000000015</v>
      </c>
      <c r="AI41" s="86">
        <f t="shared" si="6"/>
        <v>791.86400000000015</v>
      </c>
      <c r="AJ41" s="86" t="str">
        <f>IF(AG41="",AJ40,AG41)</f>
        <v>S/BM</v>
      </c>
      <c r="AK41" s="93">
        <f t="shared" si="15"/>
        <v>791.86400000000015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1</v>
      </c>
    </row>
    <row r="42" spans="1:42" ht="15.75" x14ac:dyDescent="0.25">
      <c r="A42" s="94">
        <f t="shared" si="0"/>
        <v>46.7</v>
      </c>
      <c r="B42" s="95">
        <f t="shared" si="1"/>
        <v>791.86400000000015</v>
      </c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>
        <f t="shared" si="11"/>
        <v>791.86400000000015</v>
      </c>
      <c r="AD42" s="113">
        <f t="shared" si="13"/>
        <v>791.86400000000015</v>
      </c>
      <c r="AE42" s="114">
        <v>5</v>
      </c>
      <c r="AF42" s="113">
        <f t="shared" si="12"/>
        <v>46.7</v>
      </c>
      <c r="AG42" s="116"/>
      <c r="AH42" s="86">
        <f t="shared" si="2"/>
        <v>791.86400000000015</v>
      </c>
      <c r="AI42" s="86">
        <f t="shared" si="6"/>
        <v>791.86400000000015</v>
      </c>
      <c r="AJ42" s="86" t="str">
        <f>IF(AG42="",AJ41,AG42)</f>
        <v>S/BM</v>
      </c>
      <c r="AK42" s="93">
        <f t="shared" si="15"/>
        <v>791.86400000000015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1</v>
      </c>
    </row>
    <row r="43" spans="1:42" ht="15.75" x14ac:dyDescent="0.25">
      <c r="A43" s="94">
        <f t="shared" si="0"/>
        <v>56.7</v>
      </c>
      <c r="B43" s="95">
        <f t="shared" si="1"/>
        <v>791.86400000000015</v>
      </c>
      <c r="C43" s="96" t="str">
        <f t="shared" si="5"/>
        <v/>
      </c>
      <c r="D43" s="184"/>
      <c r="X43" s="107"/>
      <c r="Y43" s="108"/>
      <c r="Z43" s="109"/>
      <c r="AA43" s="110"/>
      <c r="AB43" s="111"/>
      <c r="AC43" s="112">
        <f t="shared" si="11"/>
        <v>791.86400000000015</v>
      </c>
      <c r="AD43" s="113">
        <f t="shared" si="13"/>
        <v>791.86400000000015</v>
      </c>
      <c r="AE43" s="114">
        <v>10</v>
      </c>
      <c r="AF43" s="113">
        <f t="shared" si="12"/>
        <v>56.7</v>
      </c>
      <c r="AG43" s="116"/>
      <c r="AH43" s="86">
        <f t="shared" si="2"/>
        <v>791.86400000000015</v>
      </c>
      <c r="AI43" s="86">
        <f t="shared" si="6"/>
        <v>791.86400000000015</v>
      </c>
      <c r="AJ43" s="86" t="str">
        <f t="shared" si="3"/>
        <v>S/BM</v>
      </c>
      <c r="AK43" s="93">
        <f t="shared" si="15"/>
        <v>791.86400000000015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1</v>
      </c>
    </row>
    <row r="44" spans="1:42" ht="15.75" x14ac:dyDescent="0.25">
      <c r="A44" s="94">
        <f t="shared" si="0"/>
        <v>60.6</v>
      </c>
      <c r="B44" s="95">
        <f t="shared" si="1"/>
        <v>791.86400000000015</v>
      </c>
      <c r="C44" s="96" t="str">
        <f t="shared" si="5"/>
        <v/>
      </c>
      <c r="D44" s="184"/>
      <c r="X44" s="107"/>
      <c r="Y44" s="108"/>
      <c r="Z44" s="109"/>
      <c r="AA44" s="110"/>
      <c r="AB44" s="111"/>
      <c r="AC44" s="112">
        <f t="shared" si="11"/>
        <v>791.86400000000015</v>
      </c>
      <c r="AD44" s="113">
        <f t="shared" si="13"/>
        <v>791.86400000000015</v>
      </c>
      <c r="AE44" s="114">
        <v>3.9</v>
      </c>
      <c r="AF44" s="113">
        <f t="shared" si="12"/>
        <v>60.6</v>
      </c>
      <c r="AG44" s="115"/>
      <c r="AH44" s="86">
        <f t="shared" si="2"/>
        <v>791.86400000000015</v>
      </c>
      <c r="AI44" s="86">
        <f t="shared" si="6"/>
        <v>791.86400000000015</v>
      </c>
      <c r="AJ44" s="86" t="str">
        <f t="shared" si="3"/>
        <v>S/BM</v>
      </c>
      <c r="AK44" s="93">
        <f t="shared" si="15"/>
        <v>791.86400000000015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1</v>
      </c>
    </row>
    <row r="45" spans="1:42" ht="15.75" x14ac:dyDescent="0.25">
      <c r="A45" s="94">
        <f t="shared" si="0"/>
        <v>60.6</v>
      </c>
      <c r="B45" s="95">
        <f t="shared" si="1"/>
        <v>791.86400000000015</v>
      </c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>
        <f t="shared" si="11"/>
        <v>791.86400000000015</v>
      </c>
      <c r="AD45" s="113">
        <f t="shared" si="13"/>
        <v>791.86400000000015</v>
      </c>
      <c r="AE45" s="121">
        <v>0</v>
      </c>
      <c r="AF45" s="113">
        <f t="shared" si="12"/>
        <v>60.6</v>
      </c>
      <c r="AG45" s="115"/>
      <c r="AH45" s="86">
        <f t="shared" si="2"/>
        <v>791.86400000000015</v>
      </c>
      <c r="AI45" s="86">
        <f t="shared" si="6"/>
        <v>791.86400000000015</v>
      </c>
      <c r="AJ45" s="86" t="str">
        <f t="shared" si="3"/>
        <v>S/BM</v>
      </c>
      <c r="AK45" s="93">
        <f t="shared" si="15"/>
        <v>791.86400000000015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1</v>
      </c>
    </row>
    <row r="46" spans="1:42" ht="15.75" x14ac:dyDescent="0.25">
      <c r="A46" s="94">
        <f t="shared" si="0"/>
        <v>60.6</v>
      </c>
      <c r="B46" s="95">
        <f t="shared" si="1"/>
        <v>791.86400000000015</v>
      </c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>
        <f t="shared" si="11"/>
        <v>791.86400000000015</v>
      </c>
      <c r="AD46" s="113">
        <f t="shared" si="13"/>
        <v>791.86400000000015</v>
      </c>
      <c r="AE46" s="121">
        <v>0</v>
      </c>
      <c r="AF46" s="113">
        <f t="shared" si="12"/>
        <v>60.6</v>
      </c>
      <c r="AG46" s="116"/>
      <c r="AH46" s="86">
        <f t="shared" si="2"/>
        <v>791.86400000000015</v>
      </c>
      <c r="AI46" s="86">
        <f t="shared" si="6"/>
        <v>791.86400000000015</v>
      </c>
      <c r="AJ46" s="86" t="str">
        <f t="shared" si="3"/>
        <v>S/BM</v>
      </c>
      <c r="AK46" s="93">
        <f t="shared" si="15"/>
        <v>791.86400000000015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1</v>
      </c>
    </row>
    <row r="47" spans="1:42" ht="15.75" x14ac:dyDescent="0.25">
      <c r="A47" s="94">
        <f t="shared" si="0"/>
        <v>60.6</v>
      </c>
      <c r="B47" s="95">
        <f t="shared" si="1"/>
        <v>791.86400000000015</v>
      </c>
      <c r="C47" s="96" t="str">
        <f t="shared" ref="C47:C51" si="16">IF(AG47="","",AG47)</f>
        <v/>
      </c>
      <c r="D47" s="184"/>
      <c r="X47" s="107"/>
      <c r="Y47" s="108"/>
      <c r="Z47" s="109"/>
      <c r="AA47" s="119"/>
      <c r="AB47" s="120"/>
      <c r="AC47" s="112">
        <f>IF(AA47="",AD47+Z47,"")</f>
        <v>791.86400000000015</v>
      </c>
      <c r="AD47" s="113">
        <f t="shared" si="13"/>
        <v>791.86400000000015</v>
      </c>
      <c r="AE47" s="121"/>
      <c r="AF47" s="113">
        <f>+AF46+AE47</f>
        <v>60.6</v>
      </c>
      <c r="AG47" s="116"/>
      <c r="AH47" s="86">
        <f>IF(AND(AJ47="NAOI",AJ47=AJ48),AK47,AI47)</f>
        <v>791.86400000000015</v>
      </c>
      <c r="AI47" s="86">
        <f>IF(AA47="",AC47,AI46)</f>
        <v>791.86400000000015</v>
      </c>
      <c r="AJ47" s="86" t="str">
        <f t="shared" si="3"/>
        <v>S/BM</v>
      </c>
      <c r="AK47" s="93">
        <f>IF(AND(AJ47="NAOI",AJ46="NAOI"),AK46,AD47)</f>
        <v>791.86400000000015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1</v>
      </c>
    </row>
    <row r="48" spans="1:42" ht="15.75" x14ac:dyDescent="0.25">
      <c r="A48" s="94">
        <f t="shared" si="0"/>
        <v>60.6</v>
      </c>
      <c r="B48" s="95">
        <f t="shared" si="1"/>
        <v>791.86400000000015</v>
      </c>
      <c r="C48" s="96" t="str">
        <f t="shared" si="16"/>
        <v/>
      </c>
      <c r="D48" s="184"/>
      <c r="X48" s="107"/>
      <c r="Y48" s="108"/>
      <c r="Z48" s="109"/>
      <c r="AA48" s="119"/>
      <c r="AB48" s="120"/>
      <c r="AC48" s="112">
        <f t="shared" ref="AC48:AC51" si="17">IF(AA48="",AD48+Z48,"")</f>
        <v>791.86400000000015</v>
      </c>
      <c r="AD48" s="113">
        <f t="shared" si="13"/>
        <v>791.86400000000015</v>
      </c>
      <c r="AE48" s="121"/>
      <c r="AF48" s="113">
        <f t="shared" ref="AF48:AF51" si="18">+AF47+AE48</f>
        <v>60.6</v>
      </c>
      <c r="AG48" s="116"/>
      <c r="AH48" s="86">
        <f>IF(AND(AJ48="NAOI",AJ48=AJ49),AK48,AI48)</f>
        <v>791.86400000000015</v>
      </c>
      <c r="AI48" s="86">
        <f>IF(AA48="",AC48,AI47)</f>
        <v>791.86400000000015</v>
      </c>
      <c r="AJ48" s="86" t="str">
        <f t="shared" si="3"/>
        <v>S/BM</v>
      </c>
      <c r="AK48" s="93">
        <f>IF(AND(AJ48="NAOI",AJ47="NAOI"),AK47,AD48)</f>
        <v>791.86400000000015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1</v>
      </c>
    </row>
    <row r="49" spans="1:42" ht="15.75" x14ac:dyDescent="0.25">
      <c r="A49" s="94">
        <f t="shared" si="0"/>
        <v>60.6</v>
      </c>
      <c r="B49" s="95">
        <f t="shared" si="1"/>
        <v>791.86400000000015</v>
      </c>
      <c r="C49" s="96" t="str">
        <f t="shared" si="16"/>
        <v/>
      </c>
      <c r="D49" s="184"/>
      <c r="X49" s="107"/>
      <c r="Y49" s="108"/>
      <c r="Z49" s="109"/>
      <c r="AA49" s="119"/>
      <c r="AB49" s="120"/>
      <c r="AC49" s="112">
        <f t="shared" si="17"/>
        <v>791.86400000000015</v>
      </c>
      <c r="AD49" s="113">
        <f t="shared" si="13"/>
        <v>791.86400000000015</v>
      </c>
      <c r="AE49" s="121"/>
      <c r="AF49" s="113">
        <f t="shared" si="18"/>
        <v>60.6</v>
      </c>
      <c r="AG49" s="116"/>
      <c r="AH49" s="86">
        <f>IF(AND(AJ49="NAOI",AJ49=AJ50),AK49,AI49)</f>
        <v>791.86400000000015</v>
      </c>
      <c r="AI49" s="86">
        <f>IF(AA49="",AC49,AI48)</f>
        <v>791.86400000000015</v>
      </c>
      <c r="AJ49" s="86" t="str">
        <f t="shared" si="3"/>
        <v>S/BM</v>
      </c>
      <c r="AK49" s="93">
        <f>IF(AND(AJ49="NAOI",AJ48="NAOI"),AK48,AD49)</f>
        <v>791.86400000000015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1</v>
      </c>
    </row>
    <row r="50" spans="1:42" ht="15.75" x14ac:dyDescent="0.25">
      <c r="A50" s="94">
        <f t="shared" si="0"/>
        <v>60.6</v>
      </c>
      <c r="B50" s="95">
        <f t="shared" si="1"/>
        <v>791.86400000000015</v>
      </c>
      <c r="C50" s="96" t="str">
        <f t="shared" si="16"/>
        <v/>
      </c>
      <c r="D50" s="184"/>
      <c r="X50" s="107"/>
      <c r="Y50" s="108"/>
      <c r="Z50" s="109"/>
      <c r="AA50" s="119"/>
      <c r="AB50" s="120"/>
      <c r="AC50" s="112">
        <f t="shared" si="17"/>
        <v>791.86400000000015</v>
      </c>
      <c r="AD50" s="113">
        <f t="shared" si="13"/>
        <v>791.86400000000015</v>
      </c>
      <c r="AE50" s="121"/>
      <c r="AF50" s="113">
        <f t="shared" si="18"/>
        <v>60.6</v>
      </c>
      <c r="AG50" s="116"/>
      <c r="AH50" s="86">
        <f>IF(AND(AJ50="NAOI",AJ50=AJ51),AK50,AI50)</f>
        <v>791.86400000000015</v>
      </c>
      <c r="AI50" s="86">
        <f>IF(AA50="",AC50,AI49)</f>
        <v>791.86400000000015</v>
      </c>
      <c r="AJ50" s="86" t="str">
        <f t="shared" si="3"/>
        <v>S/BM</v>
      </c>
      <c r="AK50" s="93">
        <f>IF(AND(AJ50="NAOI",AJ49="NAOI"),AK49,AD50)</f>
        <v>791.86400000000015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1</v>
      </c>
    </row>
    <row r="51" spans="1:42" ht="16.5" thickBot="1" x14ac:dyDescent="0.3">
      <c r="A51" s="122">
        <f t="shared" si="0"/>
        <v>60.6</v>
      </c>
      <c r="B51" s="123">
        <f t="shared" si="1"/>
        <v>791.86400000000015</v>
      </c>
      <c r="C51" s="96" t="str">
        <f t="shared" si="16"/>
        <v/>
      </c>
      <c r="D51" s="184"/>
      <c r="X51" s="124"/>
      <c r="Y51" s="125"/>
      <c r="Z51" s="126"/>
      <c r="AA51" s="127"/>
      <c r="AB51" s="128"/>
      <c r="AC51" s="129">
        <f t="shared" si="17"/>
        <v>791.86400000000015</v>
      </c>
      <c r="AD51" s="130">
        <f t="shared" si="13"/>
        <v>791.86400000000015</v>
      </c>
      <c r="AE51" s="131"/>
      <c r="AF51" s="130">
        <f t="shared" si="18"/>
        <v>60.6</v>
      </c>
      <c r="AG51" s="132"/>
      <c r="AH51" s="86">
        <f>IF(AND(AJ51="NAOI",AJ51=AJ52),AK51,AI51)</f>
        <v>791.86400000000015</v>
      </c>
      <c r="AI51" s="86">
        <f>IF(AA51="",AC51,AI50)</f>
        <v>791.86400000000015</v>
      </c>
      <c r="AJ51" s="86" t="str">
        <f t="shared" si="3"/>
        <v>S/BM</v>
      </c>
      <c r="AK51" s="93">
        <f>IF(AND(AJ51="NAOI",AJ50="NAOI"),AK50,AD51)</f>
        <v>791.86400000000015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1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13</v>
      </c>
      <c r="B53" s="136">
        <f>AL4</f>
        <v>786.74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26.8</v>
      </c>
      <c r="B54" s="136">
        <f>AN4</f>
        <v>786.74</v>
      </c>
      <c r="C54" s="139" t="s">
        <v>10</v>
      </c>
      <c r="D54" s="192"/>
    </row>
    <row r="55" spans="1:42" ht="20.100000000000001" customHeight="1" x14ac:dyDescent="0.2">
      <c r="A55" s="140">
        <v>25</v>
      </c>
      <c r="B55" s="141">
        <v>786.471</v>
      </c>
      <c r="C55" s="142" t="s">
        <v>8</v>
      </c>
      <c r="D55" s="192"/>
    </row>
    <row r="56" spans="1:42" ht="20.100000000000001" customHeight="1" x14ac:dyDescent="0.2">
      <c r="A56" s="140">
        <v>25</v>
      </c>
      <c r="B56" s="143">
        <f>B55+3</f>
        <v>789.471</v>
      </c>
      <c r="C56" s="142" t="s">
        <v>8</v>
      </c>
      <c r="D56" s="192"/>
    </row>
    <row r="57" spans="1:42" ht="20.100000000000001" customHeight="1" x14ac:dyDescent="0.2">
      <c r="A57" s="63">
        <v>25.5</v>
      </c>
      <c r="B57" s="143">
        <v>788.85400000000004</v>
      </c>
      <c r="C57" s="144" t="s">
        <v>2</v>
      </c>
      <c r="D57" s="192"/>
    </row>
    <row r="58" spans="1:42" ht="20.100000000000001" customHeight="1" thickBot="1" x14ac:dyDescent="0.25">
      <c r="A58" s="140">
        <v>25.5</v>
      </c>
      <c r="B58" s="143">
        <f>B57+1.5</f>
        <v>790.35400000000004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71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786.471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0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66</v>
      </c>
      <c r="C69" s="193"/>
    </row>
    <row r="70" spans="1:4" ht="14.25" x14ac:dyDescent="0.2">
      <c r="A70" s="157" t="s">
        <v>57</v>
      </c>
      <c r="B70" s="193" t="s">
        <v>66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42810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805" priority="84" stopIfTrue="1">
      <formula>$AP$47=1</formula>
    </cfRule>
  </conditionalFormatting>
  <conditionalFormatting sqref="AC46:AF46">
    <cfRule type="expression" dxfId="804" priority="83" stopIfTrue="1">
      <formula>$AP$46</formula>
    </cfRule>
  </conditionalFormatting>
  <conditionalFormatting sqref="AC50:AF50">
    <cfRule type="expression" dxfId="803" priority="82" stopIfTrue="1">
      <formula>$AP$50=1</formula>
    </cfRule>
  </conditionalFormatting>
  <conditionalFormatting sqref="AC51:AF51">
    <cfRule type="expression" dxfId="802" priority="81" stopIfTrue="1">
      <formula>$AP$51=1</formula>
    </cfRule>
  </conditionalFormatting>
  <conditionalFormatting sqref="AC49:AF49">
    <cfRule type="expression" dxfId="801" priority="80" stopIfTrue="1">
      <formula>$AP$49=1</formula>
    </cfRule>
  </conditionalFormatting>
  <conditionalFormatting sqref="AC48:AF48">
    <cfRule type="expression" dxfId="800" priority="79" stopIfTrue="1">
      <formula>$AP$48=1</formula>
    </cfRule>
  </conditionalFormatting>
  <conditionalFormatting sqref="AC45:AF45">
    <cfRule type="expression" dxfId="799" priority="78" stopIfTrue="1">
      <formula>$AP$45=1</formula>
    </cfRule>
  </conditionalFormatting>
  <conditionalFormatting sqref="AC44:AF44">
    <cfRule type="expression" dxfId="798" priority="77" stopIfTrue="1">
      <formula>$AP$44=1</formula>
    </cfRule>
  </conditionalFormatting>
  <conditionalFormatting sqref="AC43:AF43">
    <cfRule type="expression" dxfId="797" priority="76" stopIfTrue="1">
      <formula>$AP$43=1</formula>
    </cfRule>
  </conditionalFormatting>
  <conditionalFormatting sqref="AC42:AF42">
    <cfRule type="expression" dxfId="796" priority="75" stopIfTrue="1">
      <formula>$AP$42=1</formula>
    </cfRule>
  </conditionalFormatting>
  <conditionalFormatting sqref="AC41:AF41">
    <cfRule type="expression" dxfId="795" priority="74" stopIfTrue="1">
      <formula>$AP$41=1</formula>
    </cfRule>
  </conditionalFormatting>
  <conditionalFormatting sqref="AC40:AF40">
    <cfRule type="expression" dxfId="794" priority="73" stopIfTrue="1">
      <formula>$AP$40=1</formula>
    </cfRule>
  </conditionalFormatting>
  <conditionalFormatting sqref="AC39:AF39">
    <cfRule type="expression" dxfId="793" priority="72" stopIfTrue="1">
      <formula>$AP$39=1</formula>
    </cfRule>
  </conditionalFormatting>
  <conditionalFormatting sqref="AC38:AF38">
    <cfRule type="expression" dxfId="792" priority="71" stopIfTrue="1">
      <formula>$AP$38=1</formula>
    </cfRule>
  </conditionalFormatting>
  <conditionalFormatting sqref="AC37:AF37">
    <cfRule type="expression" dxfId="791" priority="70" stopIfTrue="1">
      <formula>$AP$37=1</formula>
    </cfRule>
  </conditionalFormatting>
  <conditionalFormatting sqref="AC36:AF36">
    <cfRule type="expression" dxfId="790" priority="69" stopIfTrue="1">
      <formula>$AP$36=1</formula>
    </cfRule>
  </conditionalFormatting>
  <conditionalFormatting sqref="AC35:AF35">
    <cfRule type="expression" dxfId="789" priority="67" stopIfTrue="1">
      <formula>$AP$35=1</formula>
    </cfRule>
    <cfRule type="expression" dxfId="788" priority="68" stopIfTrue="1">
      <formula>$AP$35=1</formula>
    </cfRule>
  </conditionalFormatting>
  <conditionalFormatting sqref="AC34:AF34">
    <cfRule type="expression" dxfId="787" priority="66" stopIfTrue="1">
      <formula>$AP$34=1</formula>
    </cfRule>
  </conditionalFormatting>
  <conditionalFormatting sqref="AC33:AF33">
    <cfRule type="expression" dxfId="786" priority="65" stopIfTrue="1">
      <formula>$AP$33=1</formula>
    </cfRule>
  </conditionalFormatting>
  <conditionalFormatting sqref="AC32:AF32">
    <cfRule type="expression" dxfId="785" priority="64" stopIfTrue="1">
      <formula>$AP$32=1</formula>
    </cfRule>
  </conditionalFormatting>
  <conditionalFormatting sqref="AC31:AF31">
    <cfRule type="expression" dxfId="784" priority="63" stopIfTrue="1">
      <formula>$AP$31=1</formula>
    </cfRule>
  </conditionalFormatting>
  <conditionalFormatting sqref="AC30:AF30">
    <cfRule type="expression" dxfId="783" priority="62" stopIfTrue="1">
      <formula>$AP$30</formula>
    </cfRule>
  </conditionalFormatting>
  <conditionalFormatting sqref="AC29:AD29 AF29">
    <cfRule type="expression" dxfId="782" priority="61" stopIfTrue="1">
      <formula>$AP$29=1</formula>
    </cfRule>
  </conditionalFormatting>
  <conditionalFormatting sqref="AC28:AD28 AF28">
    <cfRule type="expression" dxfId="781" priority="60" stopIfTrue="1">
      <formula>$AP$28=1</formula>
    </cfRule>
  </conditionalFormatting>
  <conditionalFormatting sqref="AC27:AD27 AF27">
    <cfRule type="expression" dxfId="780" priority="59" stopIfTrue="1">
      <formula>$AP$27=1</formula>
    </cfRule>
  </conditionalFormatting>
  <conditionalFormatting sqref="AC26:AD26 AF26">
    <cfRule type="expression" dxfId="779" priority="58" stopIfTrue="1">
      <formula>$AP$26=1</formula>
    </cfRule>
  </conditionalFormatting>
  <conditionalFormatting sqref="AC25:AD25 AF25">
    <cfRule type="expression" dxfId="778" priority="57" stopIfTrue="1">
      <formula>$AP$25=1</formula>
    </cfRule>
  </conditionalFormatting>
  <conditionalFormatting sqref="AC24:AD24 AF24">
    <cfRule type="expression" dxfId="777" priority="56" stopIfTrue="1">
      <formula>$AP$24=1</formula>
    </cfRule>
  </conditionalFormatting>
  <conditionalFormatting sqref="AC23:AD23 AF23">
    <cfRule type="expression" dxfId="776" priority="55" stopIfTrue="1">
      <formula>$AP$23=1</formula>
    </cfRule>
  </conditionalFormatting>
  <conditionalFormatting sqref="AC22:AD22 AF22">
    <cfRule type="expression" dxfId="775" priority="54" stopIfTrue="1">
      <formula>$AP$22=1</formula>
    </cfRule>
  </conditionalFormatting>
  <conditionalFormatting sqref="AC21:AD21 AF21">
    <cfRule type="expression" dxfId="774" priority="53" stopIfTrue="1">
      <formula>$AP$21=1</formula>
    </cfRule>
  </conditionalFormatting>
  <conditionalFormatting sqref="AC20:AD20 AF20">
    <cfRule type="expression" dxfId="773" priority="52" stopIfTrue="1">
      <formula>$AP$20=1</formula>
    </cfRule>
  </conditionalFormatting>
  <conditionalFormatting sqref="AC19:AD19 AF19">
    <cfRule type="expression" dxfId="772" priority="51" stopIfTrue="1">
      <formula>$AP$19=1</formula>
    </cfRule>
  </conditionalFormatting>
  <conditionalFormatting sqref="AC18:AD18 AF18">
    <cfRule type="expression" dxfId="771" priority="50" stopIfTrue="1">
      <formula>$AP$18=1</formula>
    </cfRule>
  </conditionalFormatting>
  <conditionalFormatting sqref="AC17:AD17 AF17">
    <cfRule type="expression" dxfId="770" priority="49" stopIfTrue="1">
      <formula>$AP$17=1</formula>
    </cfRule>
  </conditionalFormatting>
  <conditionalFormatting sqref="AC16:AD16 AF16">
    <cfRule type="expression" dxfId="769" priority="48" stopIfTrue="1">
      <formula>$AP$16=1</formula>
    </cfRule>
  </conditionalFormatting>
  <conditionalFormatting sqref="AC15:AD15 AF15">
    <cfRule type="expression" dxfId="768" priority="47" stopIfTrue="1">
      <formula>$AP$15=1</formula>
    </cfRule>
  </conditionalFormatting>
  <conditionalFormatting sqref="AC14:AD14 AF14">
    <cfRule type="expression" dxfId="767" priority="46" stopIfTrue="1">
      <formula>$AP$14=1</formula>
    </cfRule>
  </conditionalFormatting>
  <conditionalFormatting sqref="AC13:AD13 AF13">
    <cfRule type="expression" dxfId="766" priority="45" stopIfTrue="1">
      <formula>$AP$13=1</formula>
    </cfRule>
  </conditionalFormatting>
  <conditionalFormatting sqref="AC12:AF12 AE13:AE29">
    <cfRule type="expression" dxfId="765" priority="44" stopIfTrue="1">
      <formula>$AP$12=1</formula>
    </cfRule>
  </conditionalFormatting>
  <conditionalFormatting sqref="AC11:AF11">
    <cfRule type="expression" dxfId="764" priority="43" stopIfTrue="1">
      <formula>$AP$11=1</formula>
    </cfRule>
  </conditionalFormatting>
  <conditionalFormatting sqref="A51:B51">
    <cfRule type="expression" dxfId="763" priority="42" stopIfTrue="1">
      <formula>$AP$51=1</formula>
    </cfRule>
  </conditionalFormatting>
  <conditionalFormatting sqref="A50:B50">
    <cfRule type="expression" dxfId="762" priority="41" stopIfTrue="1">
      <formula>$AP$50=1</formula>
    </cfRule>
  </conditionalFormatting>
  <conditionalFormatting sqref="A49:B49">
    <cfRule type="expression" dxfId="761" priority="40" stopIfTrue="1">
      <formula>$AP$49=1</formula>
    </cfRule>
  </conditionalFormatting>
  <conditionalFormatting sqref="A48:B48">
    <cfRule type="expression" dxfId="760" priority="39" stopIfTrue="1">
      <formula>$AP$48=1</formula>
    </cfRule>
  </conditionalFormatting>
  <conditionalFormatting sqref="A47:B47">
    <cfRule type="expression" dxfId="759" priority="38" stopIfTrue="1">
      <formula>$AP$47=1</formula>
    </cfRule>
  </conditionalFormatting>
  <conditionalFormatting sqref="A46:B46">
    <cfRule type="expression" dxfId="758" priority="37" stopIfTrue="1">
      <formula>$AP$46=1</formula>
    </cfRule>
  </conditionalFormatting>
  <conditionalFormatting sqref="A45:B45">
    <cfRule type="expression" dxfId="757" priority="36" stopIfTrue="1">
      <formula>$AP$45=1</formula>
    </cfRule>
  </conditionalFormatting>
  <conditionalFormatting sqref="A44:B44">
    <cfRule type="expression" dxfId="756" priority="35" stopIfTrue="1">
      <formula>$AP$44=1</formula>
    </cfRule>
  </conditionalFormatting>
  <conditionalFormatting sqref="A43:B43">
    <cfRule type="expression" dxfId="755" priority="34" stopIfTrue="1">
      <formula>$AP$43=1</formula>
    </cfRule>
  </conditionalFormatting>
  <conditionalFormatting sqref="A42:B42">
    <cfRule type="expression" dxfId="754" priority="33" stopIfTrue="1">
      <formula>$AP$42=1</formula>
    </cfRule>
  </conditionalFormatting>
  <conditionalFormatting sqref="A41:B41">
    <cfRule type="expression" dxfId="753" priority="32" stopIfTrue="1">
      <formula>$AP$41=1</formula>
    </cfRule>
  </conditionalFormatting>
  <conditionalFormatting sqref="A40:B40">
    <cfRule type="expression" dxfId="752" priority="31" stopIfTrue="1">
      <formula>$AP$40=1</formula>
    </cfRule>
  </conditionalFormatting>
  <conditionalFormatting sqref="A39:B39">
    <cfRule type="expression" dxfId="751" priority="30" stopIfTrue="1">
      <formula>$AP$39=1</formula>
    </cfRule>
  </conditionalFormatting>
  <conditionalFormatting sqref="A38:B38">
    <cfRule type="expression" dxfId="750" priority="29" stopIfTrue="1">
      <formula>$AP$38=1</formula>
    </cfRule>
  </conditionalFormatting>
  <conditionalFormatting sqref="A37:B37">
    <cfRule type="expression" dxfId="749" priority="28" stopIfTrue="1">
      <formula>$AP$37=1</formula>
    </cfRule>
  </conditionalFormatting>
  <conditionalFormatting sqref="A36:B36">
    <cfRule type="expression" dxfId="748" priority="27" stopIfTrue="1">
      <formula>$AP$36=1</formula>
    </cfRule>
  </conditionalFormatting>
  <conditionalFormatting sqref="A35:B35">
    <cfRule type="expression" dxfId="747" priority="26" stopIfTrue="1">
      <formula>$AP$35=1</formula>
    </cfRule>
  </conditionalFormatting>
  <conditionalFormatting sqref="A34:B34">
    <cfRule type="expression" dxfId="746" priority="25" stopIfTrue="1">
      <formula>$AP$34=1</formula>
    </cfRule>
  </conditionalFormatting>
  <conditionalFormatting sqref="A33:B33">
    <cfRule type="expression" dxfId="745" priority="24" stopIfTrue="1">
      <formula>$AP$33=1</formula>
    </cfRule>
  </conditionalFormatting>
  <conditionalFormatting sqref="A32:B32">
    <cfRule type="expression" dxfId="744" priority="23" stopIfTrue="1">
      <formula>$AP$32=1</formula>
    </cfRule>
  </conditionalFormatting>
  <conditionalFormatting sqref="A31:B31">
    <cfRule type="expression" dxfId="743" priority="22" stopIfTrue="1">
      <formula>$AP$31=1</formula>
    </cfRule>
  </conditionalFormatting>
  <conditionalFormatting sqref="A30:B30">
    <cfRule type="expression" dxfId="742" priority="21" stopIfTrue="1">
      <formula>$AP$30=1</formula>
    </cfRule>
  </conditionalFormatting>
  <conditionalFormatting sqref="A29:B29">
    <cfRule type="expression" dxfId="741" priority="20" stopIfTrue="1">
      <formula>$AP$29=1</formula>
    </cfRule>
  </conditionalFormatting>
  <conditionalFormatting sqref="A28:B28">
    <cfRule type="expression" dxfId="740" priority="19" stopIfTrue="1">
      <formula>$AP$28=1</formula>
    </cfRule>
  </conditionalFormatting>
  <conditionalFormatting sqref="A27:B27">
    <cfRule type="expression" dxfId="739" priority="18" stopIfTrue="1">
      <formula>$AP$27=1</formula>
    </cfRule>
  </conditionalFormatting>
  <conditionalFormatting sqref="A26:B26">
    <cfRule type="expression" dxfId="738" priority="17" stopIfTrue="1">
      <formula>$AP$26=1</formula>
    </cfRule>
  </conditionalFormatting>
  <conditionalFormatting sqref="A25:B25">
    <cfRule type="expression" dxfId="737" priority="16" stopIfTrue="1">
      <formula>$AP$25=1</formula>
    </cfRule>
  </conditionalFormatting>
  <conditionalFormatting sqref="A24:B24">
    <cfRule type="expression" dxfId="736" priority="15" stopIfTrue="1">
      <formula>$AP$24=1</formula>
    </cfRule>
  </conditionalFormatting>
  <conditionalFormatting sqref="A23:B23">
    <cfRule type="expression" dxfId="735" priority="14" stopIfTrue="1">
      <formula>$AP$23=1</formula>
    </cfRule>
  </conditionalFormatting>
  <conditionalFormatting sqref="A22:B22">
    <cfRule type="expression" dxfId="734" priority="13" stopIfTrue="1">
      <formula>$AP$22=1</formula>
    </cfRule>
  </conditionalFormatting>
  <conditionalFormatting sqref="A21:B21">
    <cfRule type="expression" dxfId="733" priority="12" stopIfTrue="1">
      <formula>$AP$21=1</formula>
    </cfRule>
  </conditionalFormatting>
  <conditionalFormatting sqref="A20:B20">
    <cfRule type="expression" dxfId="732" priority="11" stopIfTrue="1">
      <formula>$AP$20=1</formula>
    </cfRule>
  </conditionalFormatting>
  <conditionalFormatting sqref="A19:B19">
    <cfRule type="expression" dxfId="731" priority="10" stopIfTrue="1">
      <formula>$AP$19=1</formula>
    </cfRule>
  </conditionalFormatting>
  <conditionalFormatting sqref="A18:B18">
    <cfRule type="expression" dxfId="730" priority="9" stopIfTrue="1">
      <formula>$AP$18=1</formula>
    </cfRule>
  </conditionalFormatting>
  <conditionalFormatting sqref="A17:B17">
    <cfRule type="expression" dxfId="729" priority="8" stopIfTrue="1">
      <formula>$AP$17=1</formula>
    </cfRule>
  </conditionalFormatting>
  <conditionalFormatting sqref="A16:B16">
    <cfRule type="expression" dxfId="728" priority="7" stopIfTrue="1">
      <formula>$AP$16=1</formula>
    </cfRule>
  </conditionalFormatting>
  <conditionalFormatting sqref="A15:B15">
    <cfRule type="expression" dxfId="727" priority="6" stopIfTrue="1">
      <formula>$AP$15=1</formula>
    </cfRule>
  </conditionalFormatting>
  <conditionalFormatting sqref="A14:B14">
    <cfRule type="expression" dxfId="726" priority="5" stopIfTrue="1">
      <formula>$AP$14=1</formula>
    </cfRule>
  </conditionalFormatting>
  <conditionalFormatting sqref="A13:B13">
    <cfRule type="expression" dxfId="725" priority="4" stopIfTrue="1">
      <formula>$AP$13=1</formula>
    </cfRule>
  </conditionalFormatting>
  <conditionalFormatting sqref="A12:B12">
    <cfRule type="expression" dxfId="724" priority="3" stopIfTrue="1">
      <formula>$AP$12=1</formula>
    </cfRule>
  </conditionalFormatting>
  <conditionalFormatting sqref="A11:B11">
    <cfRule type="expression" dxfId="723" priority="2" stopIfTrue="1">
      <formula>$AP$11=1</formula>
    </cfRule>
  </conditionalFormatting>
  <conditionalFormatting sqref="A10:B10">
    <cfRule type="expression" dxfId="722" priority="1" stopIfTrue="1">
      <formula>$AP$10=1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AP75"/>
  <sheetViews>
    <sheetView topLeftCell="A10" zoomScale="70" zoomScaleNormal="70" workbookViewId="0">
      <selection activeCell="AD5" sqref="AD5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69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786.87700000000007</v>
      </c>
      <c r="AM4" s="93">
        <f>SUM(AM5:AM46)</f>
        <v>10</v>
      </c>
      <c r="AN4" s="93">
        <f>SUM(AN5:AN46)</f>
        <v>786.87700000000007</v>
      </c>
      <c r="AO4" s="93">
        <f>SUM(AO5:AO46)</f>
        <v>27</v>
      </c>
      <c r="AP4" s="86"/>
    </row>
    <row r="5" spans="1:42" ht="15.75" x14ac:dyDescent="0.25">
      <c r="A5" s="94">
        <f t="shared" ref="A5:A30" si="0">AF5</f>
        <v>0</v>
      </c>
      <c r="B5" s="95">
        <f t="shared" ref="B5:B30" si="1">AD5</f>
        <v>791.86</v>
      </c>
      <c r="C5" s="96" t="str">
        <f>IF(AG5="","",AG5)</f>
        <v xml:space="preserve">S/BM </v>
      </c>
      <c r="D5" s="184"/>
      <c r="X5" s="97"/>
      <c r="Y5" s="98"/>
      <c r="Z5" s="99">
        <v>2.1859999999999999</v>
      </c>
      <c r="AA5" s="100"/>
      <c r="AB5" s="101"/>
      <c r="AC5" s="102">
        <f>IF(AA5="",AD5+Z5,"")</f>
        <v>794.04600000000005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794.04600000000005</v>
      </c>
      <c r="AI5" s="86">
        <f>IF(AA5="",AC5,AI4)</f>
        <v>794.04600000000005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793.98500000000001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6.0999999999999999E-2</v>
      </c>
      <c r="AB6" s="111"/>
      <c r="AC6" s="112" t="str">
        <f>IF(AA6="",AD6+Z6,"")</f>
        <v/>
      </c>
      <c r="AD6" s="113">
        <f>IF(AA6="",AH5-AB6,AH5-AA6)</f>
        <v>793.98500000000001</v>
      </c>
      <c r="AE6" s="114">
        <v>0</v>
      </c>
      <c r="AF6" s="113">
        <f>AE6</f>
        <v>0</v>
      </c>
      <c r="AG6" s="115" t="s">
        <v>4</v>
      </c>
      <c r="AH6" s="86">
        <f t="shared" si="2"/>
        <v>794.04600000000005</v>
      </c>
      <c r="AI6" s="86">
        <f t="shared" ref="AI6:AI46" si="6">IF(AA6="",AC6,AI5)</f>
        <v>794.04600000000005</v>
      </c>
      <c r="AJ6" s="86" t="str">
        <f t="shared" si="3"/>
        <v>PRI</v>
      </c>
      <c r="AK6" s="93">
        <f t="shared" si="4"/>
        <v>793.98500000000001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5</v>
      </c>
      <c r="B7" s="95">
        <f t="shared" si="1"/>
        <v>790.72</v>
      </c>
      <c r="C7" s="96" t="str">
        <f t="shared" si="5"/>
        <v/>
      </c>
      <c r="D7" s="184"/>
      <c r="X7" s="107"/>
      <c r="Y7" s="108"/>
      <c r="Z7" s="109"/>
      <c r="AA7" s="110">
        <v>3.3260000000000001</v>
      </c>
      <c r="AB7" s="111"/>
      <c r="AC7" s="112" t="str">
        <f t="shared" ref="AC7:AC30" si="11">IF(AA7="",AD7+Z7,"")</f>
        <v/>
      </c>
      <c r="AD7" s="113">
        <f>IF(AA7="",AH6-AB7,AH6-AA7)</f>
        <v>790.72</v>
      </c>
      <c r="AE7" s="114">
        <v>5</v>
      </c>
      <c r="AF7" s="113">
        <f t="shared" ref="AF7:AF30" si="12">+AF6+AE7</f>
        <v>5</v>
      </c>
      <c r="AG7" s="116"/>
      <c r="AH7" s="86">
        <f t="shared" si="2"/>
        <v>794.04600000000005</v>
      </c>
      <c r="AI7" s="86">
        <f t="shared" si="6"/>
        <v>794.04600000000005</v>
      </c>
      <c r="AJ7" s="86" t="str">
        <f t="shared" si="3"/>
        <v>PRI</v>
      </c>
      <c r="AK7" s="93">
        <f t="shared" si="4"/>
        <v>790.72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5</v>
      </c>
      <c r="B8" s="95">
        <f t="shared" si="1"/>
        <v>789.50300000000004</v>
      </c>
      <c r="C8" s="96" t="str">
        <f t="shared" si="5"/>
        <v/>
      </c>
      <c r="D8" s="184"/>
      <c r="X8" s="107" t="s">
        <v>47</v>
      </c>
      <c r="Y8" s="108"/>
      <c r="Z8" s="109">
        <v>0.14899999999999999</v>
      </c>
      <c r="AA8" s="110"/>
      <c r="AB8" s="111">
        <v>4.5430000000000001</v>
      </c>
      <c r="AC8" s="112">
        <f t="shared" si="11"/>
        <v>789.65200000000004</v>
      </c>
      <c r="AD8" s="113">
        <f>IF(AA8="",AH7-AB8,AH7-AA8)</f>
        <v>789.50300000000004</v>
      </c>
      <c r="AE8" s="114">
        <v>0</v>
      </c>
      <c r="AF8" s="113">
        <f t="shared" si="12"/>
        <v>5</v>
      </c>
      <c r="AG8" s="116"/>
      <c r="AH8" s="86">
        <f t="shared" si="2"/>
        <v>789.65200000000004</v>
      </c>
      <c r="AI8" s="86">
        <f t="shared" si="6"/>
        <v>789.65200000000004</v>
      </c>
      <c r="AJ8" s="86" t="str">
        <f t="shared" si="3"/>
        <v>PRI</v>
      </c>
      <c r="AK8" s="93">
        <f t="shared" si="4"/>
        <v>789.50300000000004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8</v>
      </c>
      <c r="B9" s="95">
        <f t="shared" si="1"/>
        <v>788.51</v>
      </c>
      <c r="C9" s="96" t="str">
        <f t="shared" si="5"/>
        <v/>
      </c>
      <c r="D9" s="184"/>
      <c r="X9" s="107"/>
      <c r="Y9" s="108"/>
      <c r="Z9" s="109"/>
      <c r="AA9" s="110">
        <v>1.1419999999999999</v>
      </c>
      <c r="AB9" s="111"/>
      <c r="AC9" s="112" t="str">
        <f t="shared" si="11"/>
        <v/>
      </c>
      <c r="AD9" s="113">
        <f>IF(AA9="",AH8-AB9,AH8-AA9)</f>
        <v>788.51</v>
      </c>
      <c r="AE9" s="114">
        <v>3</v>
      </c>
      <c r="AF9" s="113">
        <f t="shared" si="12"/>
        <v>8</v>
      </c>
      <c r="AG9" s="115"/>
      <c r="AH9" s="86">
        <f t="shared" si="2"/>
        <v>789.65200000000004</v>
      </c>
      <c r="AI9" s="86">
        <f t="shared" si="6"/>
        <v>789.65200000000004</v>
      </c>
      <c r="AJ9" s="86" t="str">
        <f t="shared" si="3"/>
        <v>PRI</v>
      </c>
      <c r="AK9" s="93">
        <f t="shared" si="4"/>
        <v>788.51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8</v>
      </c>
      <c r="B10" s="95">
        <f t="shared" si="1"/>
        <v>787.51</v>
      </c>
      <c r="C10" s="96" t="str">
        <f t="shared" si="5"/>
        <v/>
      </c>
      <c r="D10" s="184"/>
      <c r="E10" s="84">
        <f>(B12+B35)/2</f>
        <v>393.09850000000006</v>
      </c>
      <c r="X10" s="107"/>
      <c r="Y10" s="108"/>
      <c r="Z10" s="109"/>
      <c r="AA10" s="110">
        <v>2.1419999999999999</v>
      </c>
      <c r="AB10" s="111"/>
      <c r="AC10" s="112" t="str">
        <f t="shared" si="11"/>
        <v/>
      </c>
      <c r="AD10" s="113">
        <f t="shared" ref="AD10:AD30" si="13">IF(AJ9="S/BM",AD9,IF(AA10="",AH9-AB10,AH9-AA10))</f>
        <v>787.51</v>
      </c>
      <c r="AE10" s="114">
        <v>0</v>
      </c>
      <c r="AF10" s="113">
        <f t="shared" si="12"/>
        <v>8</v>
      </c>
      <c r="AG10" s="116"/>
      <c r="AH10" s="86">
        <f t="shared" si="2"/>
        <v>789.65200000000004</v>
      </c>
      <c r="AI10" s="86">
        <f t="shared" si="6"/>
        <v>789.65200000000004</v>
      </c>
      <c r="AJ10" s="86" t="str">
        <f t="shared" si="3"/>
        <v>PRI</v>
      </c>
      <c r="AK10" s="93">
        <f t="shared" si="4"/>
        <v>787.51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10</v>
      </c>
      <c r="B11" s="95">
        <f t="shared" si="1"/>
        <v>786.87700000000007</v>
      </c>
      <c r="C11" s="96" t="str">
        <f t="shared" si="5"/>
        <v>NAOI</v>
      </c>
      <c r="D11" s="184"/>
      <c r="E11" s="117">
        <v>0.33</v>
      </c>
      <c r="X11" s="107"/>
      <c r="Y11" s="108"/>
      <c r="Z11" s="109"/>
      <c r="AA11" s="110">
        <v>2.7749999999999999</v>
      </c>
      <c r="AB11" s="111"/>
      <c r="AC11" s="112" t="str">
        <f t="shared" si="11"/>
        <v/>
      </c>
      <c r="AD11" s="113">
        <f t="shared" si="13"/>
        <v>786.87700000000007</v>
      </c>
      <c r="AE11" s="114">
        <v>2</v>
      </c>
      <c r="AF11" s="113">
        <f t="shared" si="12"/>
        <v>10</v>
      </c>
      <c r="AG11" s="116" t="s">
        <v>9</v>
      </c>
      <c r="AH11" s="86">
        <f t="shared" si="2"/>
        <v>786.87700000000007</v>
      </c>
      <c r="AI11" s="86">
        <f t="shared" si="6"/>
        <v>789.65200000000004</v>
      </c>
      <c r="AJ11" s="86" t="str">
        <f t="shared" si="3"/>
        <v>NAOI</v>
      </c>
      <c r="AK11" s="93">
        <f t="shared" si="4"/>
        <v>786.87700000000007</v>
      </c>
      <c r="AL11" s="86">
        <f t="shared" si="7"/>
        <v>786.87700000000007</v>
      </c>
      <c r="AM11" s="93">
        <f t="shared" si="8"/>
        <v>10</v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17</v>
      </c>
      <c r="B12" s="95">
        <f t="shared" si="1"/>
        <v>786.19700000000012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0.68</v>
      </c>
      <c r="AB12" s="111"/>
      <c r="AC12" s="112" t="str">
        <f>IF(AA12="",AD12+Z12,"")</f>
        <v/>
      </c>
      <c r="AD12" s="113">
        <f t="shared" si="13"/>
        <v>786.19700000000012</v>
      </c>
      <c r="AE12" s="114">
        <v>7</v>
      </c>
      <c r="AF12" s="113">
        <f t="shared" si="12"/>
        <v>17</v>
      </c>
      <c r="AG12" s="115"/>
      <c r="AH12" s="86">
        <f t="shared" si="2"/>
        <v>786.87700000000007</v>
      </c>
      <c r="AI12" s="86">
        <f t="shared" si="6"/>
        <v>789.65200000000004</v>
      </c>
      <c r="AJ12" s="86" t="str">
        <f t="shared" si="3"/>
        <v>NAOI</v>
      </c>
      <c r="AK12" s="93">
        <f t="shared" si="4"/>
        <v>786.87700000000007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18</v>
      </c>
      <c r="B13" s="95">
        <f t="shared" si="1"/>
        <v>785.89700000000005</v>
      </c>
      <c r="C13" s="96" t="str">
        <f t="shared" si="5"/>
        <v/>
      </c>
      <c r="D13" s="184"/>
      <c r="E13" s="117">
        <v>0.35</v>
      </c>
      <c r="X13" s="107"/>
      <c r="Y13" s="108"/>
      <c r="Z13" s="109"/>
      <c r="AA13" s="110">
        <v>0.98</v>
      </c>
      <c r="AB13" s="111"/>
      <c r="AC13" s="112" t="str">
        <f t="shared" si="11"/>
        <v/>
      </c>
      <c r="AD13" s="113">
        <f t="shared" si="13"/>
        <v>785.89700000000005</v>
      </c>
      <c r="AE13" s="114">
        <v>1</v>
      </c>
      <c r="AF13" s="113">
        <f t="shared" si="12"/>
        <v>18</v>
      </c>
      <c r="AG13" s="116"/>
      <c r="AH13" s="86">
        <f t="shared" si="2"/>
        <v>786.87700000000007</v>
      </c>
      <c r="AI13" s="86">
        <f t="shared" si="6"/>
        <v>789.65200000000004</v>
      </c>
      <c r="AJ13" s="86" t="str">
        <f t="shared" si="3"/>
        <v>NAOI</v>
      </c>
      <c r="AK13" s="93">
        <f t="shared" si="4"/>
        <v>786.87700000000007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19</v>
      </c>
      <c r="B14" s="95">
        <f t="shared" si="1"/>
        <v>785.92700000000002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0.95</v>
      </c>
      <c r="AB14" s="111"/>
      <c r="AC14" s="112" t="str">
        <f t="shared" si="11"/>
        <v/>
      </c>
      <c r="AD14" s="113">
        <f t="shared" si="13"/>
        <v>785.92700000000002</v>
      </c>
      <c r="AE14" s="114">
        <v>1</v>
      </c>
      <c r="AF14" s="113">
        <f t="shared" si="12"/>
        <v>19</v>
      </c>
      <c r="AG14" s="116"/>
      <c r="AH14" s="86">
        <f t="shared" si="2"/>
        <v>786.87700000000007</v>
      </c>
      <c r="AI14" s="86">
        <f t="shared" si="6"/>
        <v>789.65200000000004</v>
      </c>
      <c r="AJ14" s="86" t="str">
        <f t="shared" si="3"/>
        <v>NAOI</v>
      </c>
      <c r="AK14" s="93">
        <f>IF(AND(AJ14="NAOI",AJ13="NAOI"),AK13,AD14)</f>
        <v>786.87700000000007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21</v>
      </c>
      <c r="B15" s="95">
        <f t="shared" si="1"/>
        <v>785.32700000000011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1.55</v>
      </c>
      <c r="AB15" s="111"/>
      <c r="AC15" s="112" t="str">
        <f t="shared" si="11"/>
        <v/>
      </c>
      <c r="AD15" s="113">
        <f t="shared" si="13"/>
        <v>785.32700000000011</v>
      </c>
      <c r="AE15" s="114">
        <v>2</v>
      </c>
      <c r="AF15" s="113">
        <f t="shared" si="12"/>
        <v>21</v>
      </c>
      <c r="AG15" s="115"/>
      <c r="AH15" s="86">
        <f t="shared" si="2"/>
        <v>786.87700000000007</v>
      </c>
      <c r="AI15" s="86">
        <f t="shared" si="6"/>
        <v>789.65200000000004</v>
      </c>
      <c r="AJ15" s="86" t="str">
        <f t="shared" si="3"/>
        <v>NAOI</v>
      </c>
      <c r="AK15" s="93">
        <f>IF(AND(AJ15="NAOI",AJ14="NAOI"),AK14,AD15)</f>
        <v>786.87700000000007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22</v>
      </c>
      <c r="B16" s="95">
        <f t="shared" si="1"/>
        <v>785.31700000000012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1.56</v>
      </c>
      <c r="AB16" s="111"/>
      <c r="AC16" s="112" t="str">
        <f t="shared" si="11"/>
        <v/>
      </c>
      <c r="AD16" s="113">
        <f t="shared" si="13"/>
        <v>785.31700000000012</v>
      </c>
      <c r="AE16" s="114">
        <v>1</v>
      </c>
      <c r="AF16" s="113">
        <f t="shared" si="12"/>
        <v>22</v>
      </c>
      <c r="AG16" s="118"/>
      <c r="AH16" s="86">
        <f t="shared" si="2"/>
        <v>786.87700000000007</v>
      </c>
      <c r="AI16" s="86">
        <f t="shared" si="6"/>
        <v>789.65200000000004</v>
      </c>
      <c r="AJ16" s="86" t="str">
        <f t="shared" si="3"/>
        <v>NAOI</v>
      </c>
      <c r="AK16" s="93">
        <f>IF(AND(AJ16="NAOI",AJ15="NAOI"),AK15,AD16)</f>
        <v>786.87700000000007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22.5</v>
      </c>
      <c r="B17" s="95">
        <f t="shared" si="1"/>
        <v>785.29700000000003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1.58</v>
      </c>
      <c r="AB17" s="111"/>
      <c r="AC17" s="112" t="str">
        <f t="shared" si="11"/>
        <v/>
      </c>
      <c r="AD17" s="113">
        <f t="shared" si="13"/>
        <v>785.29700000000003</v>
      </c>
      <c r="AE17" s="114">
        <v>0.5</v>
      </c>
      <c r="AF17" s="113">
        <f t="shared" si="12"/>
        <v>22.5</v>
      </c>
      <c r="AG17" s="118"/>
      <c r="AH17" s="86">
        <f t="shared" si="2"/>
        <v>786.87700000000007</v>
      </c>
      <c r="AI17" s="86">
        <f t="shared" si="6"/>
        <v>789.65200000000004</v>
      </c>
      <c r="AJ17" s="86" t="str">
        <f t="shared" si="3"/>
        <v>NAOI</v>
      </c>
      <c r="AK17" s="93">
        <f t="shared" ref="AK17:AK46" si="15">IF(AND(AJ17="NAOI",AJ16="NAOI"),AK16,AD17)</f>
        <v>786.87700000000007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23</v>
      </c>
      <c r="B18" s="95">
        <f t="shared" si="1"/>
        <v>785.06700000000012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1.81</v>
      </c>
      <c r="AB18" s="111"/>
      <c r="AC18" s="112" t="str">
        <f t="shared" si="11"/>
        <v/>
      </c>
      <c r="AD18" s="113">
        <f t="shared" si="13"/>
        <v>785.06700000000012</v>
      </c>
      <c r="AE18" s="114">
        <v>0.5</v>
      </c>
      <c r="AF18" s="113">
        <f t="shared" si="12"/>
        <v>23</v>
      </c>
      <c r="AG18" s="118"/>
      <c r="AH18" s="86">
        <f t="shared" si="2"/>
        <v>786.87700000000007</v>
      </c>
      <c r="AI18" s="86">
        <f t="shared" si="6"/>
        <v>789.65200000000004</v>
      </c>
      <c r="AJ18" s="86" t="str">
        <f t="shared" si="3"/>
        <v>NAOI</v>
      </c>
      <c r="AK18" s="93">
        <f t="shared" si="15"/>
        <v>786.87700000000007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23.5</v>
      </c>
      <c r="B19" s="95">
        <f t="shared" si="1"/>
        <v>785.20700000000011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1.67</v>
      </c>
      <c r="AB19" s="111"/>
      <c r="AC19" s="112" t="str">
        <f t="shared" si="11"/>
        <v/>
      </c>
      <c r="AD19" s="113">
        <f t="shared" si="13"/>
        <v>785.20700000000011</v>
      </c>
      <c r="AE19" s="114">
        <v>0.5</v>
      </c>
      <c r="AF19" s="113">
        <f t="shared" si="12"/>
        <v>23.5</v>
      </c>
      <c r="AG19" s="118"/>
      <c r="AH19" s="86">
        <f t="shared" si="2"/>
        <v>786.87700000000007</v>
      </c>
      <c r="AI19" s="86">
        <f t="shared" si="6"/>
        <v>789.65200000000004</v>
      </c>
      <c r="AJ19" s="86" t="str">
        <f t="shared" si="3"/>
        <v>NAOI</v>
      </c>
      <c r="AK19" s="93">
        <f t="shared" si="15"/>
        <v>786.87700000000007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24</v>
      </c>
      <c r="B20" s="95">
        <f t="shared" si="1"/>
        <v>785.02700000000004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1.85</v>
      </c>
      <c r="AB20" s="111"/>
      <c r="AC20" s="112" t="str">
        <f t="shared" si="11"/>
        <v/>
      </c>
      <c r="AD20" s="113">
        <f t="shared" si="13"/>
        <v>785.02700000000004</v>
      </c>
      <c r="AE20" s="114">
        <v>0.5</v>
      </c>
      <c r="AF20" s="113">
        <f t="shared" si="12"/>
        <v>24</v>
      </c>
      <c r="AG20" s="118"/>
      <c r="AH20" s="86">
        <f t="shared" si="2"/>
        <v>786.87700000000007</v>
      </c>
      <c r="AI20" s="86">
        <f t="shared" si="6"/>
        <v>789.65200000000004</v>
      </c>
      <c r="AJ20" s="86" t="str">
        <f t="shared" si="3"/>
        <v>NAOI</v>
      </c>
      <c r="AK20" s="93">
        <f t="shared" si="15"/>
        <v>786.87700000000007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24.5</v>
      </c>
      <c r="B21" s="95">
        <f t="shared" si="1"/>
        <v>785.0870000000001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1.79</v>
      </c>
      <c r="AB21" s="111"/>
      <c r="AC21" s="112" t="str">
        <f t="shared" si="11"/>
        <v/>
      </c>
      <c r="AD21" s="113">
        <f t="shared" si="13"/>
        <v>785.0870000000001</v>
      </c>
      <c r="AE21" s="114">
        <v>0.5</v>
      </c>
      <c r="AF21" s="113">
        <f t="shared" si="12"/>
        <v>24.5</v>
      </c>
      <c r="AG21" s="118"/>
      <c r="AH21" s="86">
        <f t="shared" si="2"/>
        <v>786.87700000000007</v>
      </c>
      <c r="AI21" s="86">
        <f t="shared" si="6"/>
        <v>789.65200000000004</v>
      </c>
      <c r="AJ21" s="86" t="str">
        <f t="shared" si="3"/>
        <v>NAOI</v>
      </c>
      <c r="AK21" s="93">
        <f t="shared" si="15"/>
        <v>786.87700000000007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25</v>
      </c>
      <c r="B22" s="95">
        <f t="shared" si="1"/>
        <v>784.87700000000007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2</v>
      </c>
      <c r="AB22" s="111"/>
      <c r="AC22" s="112" t="str">
        <f t="shared" si="11"/>
        <v/>
      </c>
      <c r="AD22" s="113">
        <f t="shared" si="13"/>
        <v>784.87700000000007</v>
      </c>
      <c r="AE22" s="114">
        <v>0.5</v>
      </c>
      <c r="AF22" s="113">
        <f t="shared" si="12"/>
        <v>25</v>
      </c>
      <c r="AG22" s="118"/>
      <c r="AH22" s="86">
        <f t="shared" si="2"/>
        <v>786.87700000000007</v>
      </c>
      <c r="AI22" s="86">
        <f t="shared" si="6"/>
        <v>789.65200000000004</v>
      </c>
      <c r="AJ22" s="86" t="str">
        <f t="shared" si="3"/>
        <v>NAOI</v>
      </c>
      <c r="AK22" s="93">
        <f t="shared" si="15"/>
        <v>786.87700000000007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25.5</v>
      </c>
      <c r="B23" s="95">
        <f t="shared" si="1"/>
        <v>784.72700000000009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2.15</v>
      </c>
      <c r="AB23" s="111"/>
      <c r="AC23" s="112" t="str">
        <f t="shared" si="11"/>
        <v/>
      </c>
      <c r="AD23" s="113">
        <f t="shared" si="13"/>
        <v>784.72700000000009</v>
      </c>
      <c r="AE23" s="114">
        <v>0.5</v>
      </c>
      <c r="AF23" s="113">
        <f t="shared" si="12"/>
        <v>25.5</v>
      </c>
      <c r="AG23" s="118"/>
      <c r="AH23" s="86">
        <f t="shared" si="2"/>
        <v>786.87700000000007</v>
      </c>
      <c r="AI23" s="86">
        <f t="shared" si="6"/>
        <v>789.65200000000004</v>
      </c>
      <c r="AJ23" s="86" t="str">
        <f t="shared" si="3"/>
        <v>NAOI</v>
      </c>
      <c r="AK23" s="93">
        <f t="shared" si="15"/>
        <v>786.87700000000007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26</v>
      </c>
      <c r="B24" s="95">
        <f t="shared" si="1"/>
        <v>784.7170000000001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2.16</v>
      </c>
      <c r="AB24" s="111"/>
      <c r="AC24" s="112" t="str">
        <f t="shared" si="11"/>
        <v/>
      </c>
      <c r="AD24" s="113">
        <f t="shared" si="13"/>
        <v>784.7170000000001</v>
      </c>
      <c r="AE24" s="114">
        <v>0.5</v>
      </c>
      <c r="AF24" s="113">
        <f t="shared" si="12"/>
        <v>26</v>
      </c>
      <c r="AG24" s="118"/>
      <c r="AH24" s="86">
        <f t="shared" si="2"/>
        <v>786.87700000000007</v>
      </c>
      <c r="AI24" s="86">
        <f t="shared" si="6"/>
        <v>789.65200000000004</v>
      </c>
      <c r="AJ24" s="86" t="str">
        <f t="shared" si="3"/>
        <v>NAOI</v>
      </c>
      <c r="AK24" s="93">
        <f t="shared" si="15"/>
        <v>786.87700000000007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27</v>
      </c>
      <c r="B25" s="95">
        <f t="shared" si="1"/>
        <v>786.67700000000002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0.2</v>
      </c>
      <c r="AB25" s="111"/>
      <c r="AC25" s="112" t="str">
        <f t="shared" si="11"/>
        <v/>
      </c>
      <c r="AD25" s="113">
        <f t="shared" si="13"/>
        <v>786.67700000000002</v>
      </c>
      <c r="AE25" s="114">
        <v>1</v>
      </c>
      <c r="AF25" s="113">
        <f t="shared" si="12"/>
        <v>27</v>
      </c>
      <c r="AG25" s="118"/>
      <c r="AH25" s="86">
        <f t="shared" si="2"/>
        <v>789.65200000000004</v>
      </c>
      <c r="AI25" s="86">
        <f t="shared" si="6"/>
        <v>789.65200000000004</v>
      </c>
      <c r="AJ25" s="86" t="str">
        <f t="shared" si="3"/>
        <v>NAOI</v>
      </c>
      <c r="AK25" s="93">
        <f t="shared" si="15"/>
        <v>786.87700000000007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27</v>
      </c>
      <c r="B26" s="95">
        <f t="shared" si="1"/>
        <v>786.87700000000007</v>
      </c>
      <c r="C26" s="96" t="str">
        <f t="shared" si="5"/>
        <v>NAOD</v>
      </c>
      <c r="D26" s="184"/>
      <c r="E26" s="117">
        <v>1.7</v>
      </c>
      <c r="X26" s="107"/>
      <c r="Y26" s="108"/>
      <c r="Z26" s="109"/>
      <c r="AA26" s="110">
        <v>2.7749999999999999</v>
      </c>
      <c r="AB26" s="111"/>
      <c r="AC26" s="112" t="str">
        <f t="shared" si="11"/>
        <v/>
      </c>
      <c r="AD26" s="113">
        <f t="shared" si="13"/>
        <v>786.87700000000007</v>
      </c>
      <c r="AE26" s="114">
        <v>0</v>
      </c>
      <c r="AF26" s="113">
        <f t="shared" si="12"/>
        <v>27</v>
      </c>
      <c r="AG26" s="115" t="s">
        <v>10</v>
      </c>
      <c r="AH26" s="86">
        <f t="shared" si="2"/>
        <v>789.65200000000004</v>
      </c>
      <c r="AI26" s="86">
        <f t="shared" si="6"/>
        <v>789.65200000000004</v>
      </c>
      <c r="AJ26" s="86" t="str">
        <f t="shared" si="3"/>
        <v>NAOD</v>
      </c>
      <c r="AK26" s="93">
        <f t="shared" si="15"/>
        <v>786.87700000000007</v>
      </c>
      <c r="AL26" s="86" t="str">
        <f t="shared" si="7"/>
        <v/>
      </c>
      <c r="AM26" s="93" t="str">
        <f t="shared" si="8"/>
        <v/>
      </c>
      <c r="AN26" s="86">
        <f t="shared" si="9"/>
        <v>786.87700000000007</v>
      </c>
      <c r="AO26" s="86">
        <f t="shared" si="10"/>
        <v>27</v>
      </c>
      <c r="AP26" s="86">
        <f t="shared" si="14"/>
        <v>0</v>
      </c>
    </row>
    <row r="27" spans="1:42" ht="15.75" x14ac:dyDescent="0.25">
      <c r="A27" s="94">
        <f t="shared" si="0"/>
        <v>27</v>
      </c>
      <c r="B27" s="95">
        <f t="shared" si="1"/>
        <v>789.43900000000008</v>
      </c>
      <c r="C27" s="96" t="str">
        <f t="shared" si="5"/>
        <v/>
      </c>
      <c r="D27" s="184"/>
      <c r="E27" s="117">
        <v>1.7</v>
      </c>
      <c r="X27" s="107" t="s">
        <v>48</v>
      </c>
      <c r="Y27" s="108"/>
      <c r="Z27" s="109">
        <v>4.6829999999999998</v>
      </c>
      <c r="AA27" s="110"/>
      <c r="AB27" s="111">
        <v>0.21299999999999999</v>
      </c>
      <c r="AC27" s="112">
        <f t="shared" si="11"/>
        <v>794.12200000000007</v>
      </c>
      <c r="AD27" s="113">
        <f t="shared" si="13"/>
        <v>789.43900000000008</v>
      </c>
      <c r="AE27" s="114">
        <v>0</v>
      </c>
      <c r="AF27" s="113">
        <f t="shared" si="12"/>
        <v>27</v>
      </c>
      <c r="AG27" s="115"/>
      <c r="AH27" s="86">
        <f t="shared" si="2"/>
        <v>794.12200000000007</v>
      </c>
      <c r="AI27" s="86">
        <f t="shared" si="6"/>
        <v>794.12200000000007</v>
      </c>
      <c r="AJ27" s="86" t="str">
        <f t="shared" si="3"/>
        <v>NAOD</v>
      </c>
      <c r="AK27" s="93">
        <f t="shared" si="15"/>
        <v>789.43900000000008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27</v>
      </c>
      <c r="B28" s="95">
        <f t="shared" si="1"/>
        <v>790.84500000000003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3.2770000000000001</v>
      </c>
      <c r="AB28" s="111"/>
      <c r="AC28" s="112" t="str">
        <f t="shared" si="11"/>
        <v/>
      </c>
      <c r="AD28" s="113">
        <f t="shared" si="13"/>
        <v>790.84500000000003</v>
      </c>
      <c r="AE28" s="114">
        <v>0</v>
      </c>
      <c r="AF28" s="113">
        <f t="shared" si="12"/>
        <v>27</v>
      </c>
      <c r="AG28" s="115"/>
      <c r="AH28" s="86">
        <f t="shared" si="2"/>
        <v>794.12200000000007</v>
      </c>
      <c r="AI28" s="86">
        <f t="shared" si="6"/>
        <v>794.12200000000007</v>
      </c>
      <c r="AJ28" s="86" t="str">
        <f t="shared" si="3"/>
        <v>NAOD</v>
      </c>
      <c r="AK28" s="93">
        <f t="shared" si="15"/>
        <v>790.84500000000003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28</v>
      </c>
      <c r="B29" s="95">
        <f t="shared" si="1"/>
        <v>791.12500000000011</v>
      </c>
      <c r="C29" s="96" t="str">
        <f t="shared" si="5"/>
        <v>PRD</v>
      </c>
      <c r="D29" s="184"/>
      <c r="E29" s="117">
        <v>1.2</v>
      </c>
      <c r="X29" s="107"/>
      <c r="Y29" s="108"/>
      <c r="Z29" s="109"/>
      <c r="AA29" s="110">
        <v>2.9969999999999999</v>
      </c>
      <c r="AB29" s="111"/>
      <c r="AC29" s="112" t="str">
        <f t="shared" si="11"/>
        <v/>
      </c>
      <c r="AD29" s="113">
        <f t="shared" si="13"/>
        <v>791.12500000000011</v>
      </c>
      <c r="AE29" s="114">
        <v>1</v>
      </c>
      <c r="AF29" s="113">
        <f t="shared" si="12"/>
        <v>28</v>
      </c>
      <c r="AG29" s="116" t="s">
        <v>5</v>
      </c>
      <c r="AH29" s="86">
        <f t="shared" si="2"/>
        <v>794.12200000000007</v>
      </c>
      <c r="AI29" s="86">
        <f t="shared" si="6"/>
        <v>794.12200000000007</v>
      </c>
      <c r="AJ29" s="86" t="str">
        <f t="shared" si="3"/>
        <v>PRD</v>
      </c>
      <c r="AK29" s="93">
        <f t="shared" si="15"/>
        <v>791.12500000000011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28</v>
      </c>
      <c r="B30" s="95">
        <f t="shared" si="1"/>
        <v>791.86200000000008</v>
      </c>
      <c r="C30" s="96" t="str">
        <f t="shared" si="5"/>
        <v xml:space="preserve">S/BM </v>
      </c>
      <c r="D30" s="184"/>
      <c r="E30" s="117">
        <v>0.8</v>
      </c>
      <c r="X30" s="107"/>
      <c r="Y30" s="108"/>
      <c r="Z30" s="109"/>
      <c r="AA30" s="110">
        <v>2.2599999999999998</v>
      </c>
      <c r="AB30" s="111"/>
      <c r="AC30" s="112" t="str">
        <f t="shared" si="11"/>
        <v/>
      </c>
      <c r="AD30" s="113">
        <f t="shared" si="13"/>
        <v>791.86200000000008</v>
      </c>
      <c r="AE30" s="114">
        <v>0</v>
      </c>
      <c r="AF30" s="113">
        <f t="shared" si="12"/>
        <v>28</v>
      </c>
      <c r="AG30" s="115" t="s">
        <v>46</v>
      </c>
      <c r="AH30" s="86">
        <f t="shared" si="2"/>
        <v>794.12200000000007</v>
      </c>
      <c r="AI30" s="86">
        <f t="shared" si="6"/>
        <v>794.12200000000007</v>
      </c>
      <c r="AJ30" s="86" t="str">
        <f t="shared" si="3"/>
        <v xml:space="preserve">S/BM </v>
      </c>
      <c r="AK30" s="93">
        <f t="shared" si="15"/>
        <v>791.86200000000008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/>
      <c r="B31" s="95"/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/>
      <c r="AB31" s="111"/>
      <c r="AC31" s="112"/>
      <c r="AD31" s="113"/>
      <c r="AE31" s="114"/>
      <c r="AF31" s="113"/>
      <c r="AG31" s="118"/>
      <c r="AH31" s="86">
        <f t="shared" si="2"/>
        <v>0</v>
      </c>
      <c r="AI31" s="86">
        <f t="shared" si="6"/>
        <v>0</v>
      </c>
      <c r="AJ31" s="86" t="str">
        <f t="shared" si="3"/>
        <v xml:space="preserve">S/BM </v>
      </c>
      <c r="AK31" s="93">
        <f t="shared" si="15"/>
        <v>0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/>
      <c r="B32" s="95"/>
      <c r="C32" s="96" t="str">
        <f t="shared" si="5"/>
        <v/>
      </c>
      <c r="D32" s="184"/>
      <c r="E32" s="117">
        <v>0.35</v>
      </c>
      <c r="X32" s="107"/>
      <c r="Y32" s="108"/>
      <c r="Z32" s="109"/>
      <c r="AA32" s="110"/>
      <c r="AB32" s="111"/>
      <c r="AC32" s="112"/>
      <c r="AD32" s="113"/>
      <c r="AE32" s="114"/>
      <c r="AF32" s="113"/>
      <c r="AG32" s="118"/>
      <c r="AH32" s="86">
        <f t="shared" si="2"/>
        <v>0</v>
      </c>
      <c r="AI32" s="86">
        <f t="shared" si="6"/>
        <v>0</v>
      </c>
      <c r="AJ32" s="86" t="str">
        <f t="shared" si="3"/>
        <v xml:space="preserve">S/BM </v>
      </c>
      <c r="AK32" s="93">
        <f t="shared" si="15"/>
        <v>0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/>
      <c r="B33" s="95"/>
      <c r="C33" s="96" t="str">
        <f t="shared" si="5"/>
        <v/>
      </c>
      <c r="D33" s="184"/>
      <c r="X33" s="107"/>
      <c r="Y33" s="108"/>
      <c r="Z33" s="109"/>
      <c r="AA33" s="110"/>
      <c r="AB33" s="111"/>
      <c r="AC33" s="112"/>
      <c r="AD33" s="113"/>
      <c r="AE33" s="114"/>
      <c r="AF33" s="113"/>
      <c r="AG33" s="118"/>
      <c r="AH33" s="86">
        <f t="shared" si="2"/>
        <v>0</v>
      </c>
      <c r="AI33" s="86">
        <f t="shared" si="6"/>
        <v>0</v>
      </c>
      <c r="AJ33" s="86" t="str">
        <f t="shared" si="3"/>
        <v xml:space="preserve">S/BM </v>
      </c>
      <c r="AK33" s="93">
        <f t="shared" si="15"/>
        <v>0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5"/>
        <v/>
      </c>
      <c r="D34" s="184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2"/>
        <v>0</v>
      </c>
      <c r="AI34" s="86">
        <f t="shared" si="6"/>
        <v>0</v>
      </c>
      <c r="AJ34" s="86" t="str">
        <f t="shared" si="3"/>
        <v xml:space="preserve">S/BM </v>
      </c>
      <c r="AK34" s="93">
        <f t="shared" si="15"/>
        <v>0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/>
      <c r="B35" s="95"/>
      <c r="C35" s="96" t="str">
        <f t="shared" si="5"/>
        <v/>
      </c>
      <c r="D35" s="184"/>
      <c r="X35" s="107"/>
      <c r="Y35" s="108"/>
      <c r="Z35" s="109"/>
      <c r="AA35" s="110"/>
      <c r="AB35" s="111"/>
      <c r="AC35" s="112"/>
      <c r="AD35" s="113"/>
      <c r="AE35" s="114"/>
      <c r="AF35" s="113"/>
      <c r="AG35" s="116"/>
      <c r="AH35" s="86">
        <f t="shared" si="2"/>
        <v>0</v>
      </c>
      <c r="AI35" s="86">
        <f t="shared" si="6"/>
        <v>0</v>
      </c>
      <c r="AJ35" s="86" t="str">
        <f t="shared" si="3"/>
        <v xml:space="preserve">S/BM </v>
      </c>
      <c r="AK35" s="93">
        <f t="shared" si="15"/>
        <v>0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/>
      <c r="B36" s="95"/>
      <c r="C36" s="96" t="str">
        <f t="shared" si="5"/>
        <v/>
      </c>
      <c r="D36" s="184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 xml:space="preserve">S/BM </v>
      </c>
      <c r="AK36" s="93">
        <f t="shared" si="15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/>
      <c r="B37" s="95"/>
      <c r="C37" s="96" t="str">
        <f t="shared" si="5"/>
        <v/>
      </c>
      <c r="D37" s="184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 xml:space="preserve">S/BM </v>
      </c>
      <c r="AK37" s="93">
        <f t="shared" si="15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/>
      <c r="B38" s="95"/>
      <c r="C38" s="96" t="str">
        <f t="shared" si="5"/>
        <v/>
      </c>
      <c r="D38" s="184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 xml:space="preserve">S/BM </v>
      </c>
      <c r="AK38" s="93">
        <f t="shared" si="15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5"/>
        <v/>
      </c>
      <c r="D39" s="184"/>
      <c r="X39" s="107"/>
      <c r="Y39" s="108"/>
      <c r="Z39" s="109"/>
      <c r="AA39" s="110"/>
      <c r="AB39" s="111"/>
      <c r="AC39" s="112"/>
      <c r="AD39" s="113"/>
      <c r="AE39" s="114"/>
      <c r="AF39" s="113"/>
      <c r="AG39" s="116"/>
      <c r="AH39" s="86">
        <f t="shared" si="2"/>
        <v>0</v>
      </c>
      <c r="AI39" s="86">
        <f t="shared" si="6"/>
        <v>0</v>
      </c>
      <c r="AJ39" s="86" t="str">
        <f t="shared" si="3"/>
        <v xml:space="preserve">S/BM </v>
      </c>
      <c r="AK39" s="93">
        <f t="shared" si="15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/>
      </c>
      <c r="D40" s="184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 xml:space="preserve">S/BM </v>
      </c>
      <c r="AK40" s="93">
        <f t="shared" si="15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84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 xml:space="preserve">S/BM 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6">IF(AG47="","",AG47)</f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6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/>
      <c r="B49" s="95"/>
      <c r="C49" s="96" t="str">
        <f t="shared" si="16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/>
      <c r="B50" s="95"/>
      <c r="C50" s="96" t="str">
        <f t="shared" si="16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/>
      <c r="B51" s="123"/>
      <c r="C51" s="96" t="str">
        <f t="shared" si="16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10</v>
      </c>
      <c r="B53" s="136">
        <f>AL4</f>
        <v>786.87700000000007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27</v>
      </c>
      <c r="B54" s="136">
        <f>AN4</f>
        <v>786.87700000000007</v>
      </c>
      <c r="C54" s="139" t="s">
        <v>10</v>
      </c>
      <c r="D54" s="192"/>
    </row>
    <row r="55" spans="1:42" ht="20.100000000000001" customHeight="1" x14ac:dyDescent="0.2">
      <c r="A55" s="140">
        <v>25</v>
      </c>
      <c r="B55" s="141">
        <v>786.46</v>
      </c>
      <c r="C55" s="142" t="s">
        <v>8</v>
      </c>
      <c r="D55" s="192"/>
    </row>
    <row r="56" spans="1:42" ht="20.100000000000001" customHeight="1" x14ac:dyDescent="0.2">
      <c r="A56" s="140">
        <v>25</v>
      </c>
      <c r="B56" s="143">
        <f>B55+3</f>
        <v>789.46</v>
      </c>
      <c r="C56" s="142" t="s">
        <v>8</v>
      </c>
      <c r="D56" s="192"/>
    </row>
    <row r="57" spans="1:42" ht="20.100000000000001" customHeight="1" x14ac:dyDescent="0.2">
      <c r="A57" s="63">
        <v>25.5</v>
      </c>
      <c r="B57" s="143">
        <v>788.68</v>
      </c>
      <c r="C57" s="144" t="s">
        <v>2</v>
      </c>
      <c r="D57" s="192"/>
    </row>
    <row r="58" spans="1:42" ht="20.100000000000001" customHeight="1" thickBot="1" x14ac:dyDescent="0.25">
      <c r="A58" s="140">
        <v>25.5</v>
      </c>
      <c r="B58" s="143">
        <f>B57+1.5</f>
        <v>790.18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49</v>
      </c>
      <c r="B61" s="152"/>
      <c r="C61" s="163">
        <v>0.42</v>
      </c>
      <c r="D61" s="149"/>
    </row>
    <row r="62" spans="1:42" ht="18" x14ac:dyDescent="0.25">
      <c r="A62" s="151" t="s">
        <v>50</v>
      </c>
      <c r="B62" s="152"/>
      <c r="C62" s="154">
        <f>B55</f>
        <v>786.46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2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68</v>
      </c>
      <c r="C69" s="193"/>
    </row>
    <row r="70" spans="1:4" ht="14.25" x14ac:dyDescent="0.2">
      <c r="A70" s="157" t="s">
        <v>57</v>
      </c>
      <c r="B70" s="193" t="s">
        <v>68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42985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721" priority="84" stopIfTrue="1">
      <formula>$AP$47=1</formula>
    </cfRule>
  </conditionalFormatting>
  <conditionalFormatting sqref="AC46:AF46">
    <cfRule type="expression" dxfId="720" priority="83" stopIfTrue="1">
      <formula>$AP$46</formula>
    </cfRule>
  </conditionalFormatting>
  <conditionalFormatting sqref="AC50:AF50">
    <cfRule type="expression" dxfId="719" priority="82" stopIfTrue="1">
      <formula>$AP$50=1</formula>
    </cfRule>
  </conditionalFormatting>
  <conditionalFormatting sqref="AC51:AF51">
    <cfRule type="expression" dxfId="718" priority="81" stopIfTrue="1">
      <formula>$AP$51=1</formula>
    </cfRule>
  </conditionalFormatting>
  <conditionalFormatting sqref="AC49:AF49">
    <cfRule type="expression" dxfId="717" priority="80" stopIfTrue="1">
      <formula>$AP$49=1</formula>
    </cfRule>
  </conditionalFormatting>
  <conditionalFormatting sqref="AC48:AF48">
    <cfRule type="expression" dxfId="716" priority="79" stopIfTrue="1">
      <formula>$AP$48=1</formula>
    </cfRule>
  </conditionalFormatting>
  <conditionalFormatting sqref="AC45:AF45">
    <cfRule type="expression" dxfId="715" priority="78" stopIfTrue="1">
      <formula>$AP$45=1</formula>
    </cfRule>
  </conditionalFormatting>
  <conditionalFormatting sqref="AC44:AF44">
    <cfRule type="expression" dxfId="714" priority="77" stopIfTrue="1">
      <formula>$AP$44=1</formula>
    </cfRule>
  </conditionalFormatting>
  <conditionalFormatting sqref="AC43:AF43">
    <cfRule type="expression" dxfId="713" priority="76" stopIfTrue="1">
      <formula>$AP$43=1</formula>
    </cfRule>
  </conditionalFormatting>
  <conditionalFormatting sqref="AC42:AF42">
    <cfRule type="expression" dxfId="712" priority="75" stopIfTrue="1">
      <formula>$AP$42=1</formula>
    </cfRule>
  </conditionalFormatting>
  <conditionalFormatting sqref="AC41:AF41">
    <cfRule type="expression" dxfId="711" priority="74" stopIfTrue="1">
      <formula>$AP$41=1</formula>
    </cfRule>
  </conditionalFormatting>
  <conditionalFormatting sqref="AC40:AF40">
    <cfRule type="expression" dxfId="710" priority="73" stopIfTrue="1">
      <formula>$AP$40=1</formula>
    </cfRule>
  </conditionalFormatting>
  <conditionalFormatting sqref="AC39:AF39">
    <cfRule type="expression" dxfId="709" priority="72" stopIfTrue="1">
      <formula>$AP$39=1</formula>
    </cfRule>
  </conditionalFormatting>
  <conditionalFormatting sqref="AC38:AF38">
    <cfRule type="expression" dxfId="708" priority="71" stopIfTrue="1">
      <formula>$AP$38=1</formula>
    </cfRule>
  </conditionalFormatting>
  <conditionalFormatting sqref="AC37:AF37">
    <cfRule type="expression" dxfId="707" priority="70" stopIfTrue="1">
      <formula>$AP$37=1</formula>
    </cfRule>
  </conditionalFormatting>
  <conditionalFormatting sqref="AC36:AF36">
    <cfRule type="expression" dxfId="706" priority="69" stopIfTrue="1">
      <formula>$AP$36=1</formula>
    </cfRule>
  </conditionalFormatting>
  <conditionalFormatting sqref="AC35:AF35">
    <cfRule type="expression" dxfId="705" priority="67" stopIfTrue="1">
      <formula>$AP$35=1</formula>
    </cfRule>
    <cfRule type="expression" dxfId="704" priority="68" stopIfTrue="1">
      <formula>$AP$35=1</formula>
    </cfRule>
  </conditionalFormatting>
  <conditionalFormatting sqref="AC34:AF34">
    <cfRule type="expression" dxfId="703" priority="66" stopIfTrue="1">
      <formula>$AP$34=1</formula>
    </cfRule>
  </conditionalFormatting>
  <conditionalFormatting sqref="AC33:AF33">
    <cfRule type="expression" dxfId="702" priority="65" stopIfTrue="1">
      <formula>$AP$33=1</formula>
    </cfRule>
  </conditionalFormatting>
  <conditionalFormatting sqref="AC32:AF32">
    <cfRule type="expression" dxfId="701" priority="64" stopIfTrue="1">
      <formula>$AP$32=1</formula>
    </cfRule>
  </conditionalFormatting>
  <conditionalFormatting sqref="AC31:AF31">
    <cfRule type="expression" dxfId="700" priority="63" stopIfTrue="1">
      <formula>$AP$31=1</formula>
    </cfRule>
  </conditionalFormatting>
  <conditionalFormatting sqref="AC30:AF30">
    <cfRule type="expression" dxfId="699" priority="62" stopIfTrue="1">
      <formula>$AP$30</formula>
    </cfRule>
  </conditionalFormatting>
  <conditionalFormatting sqref="AC29:AD29 AF29">
    <cfRule type="expression" dxfId="698" priority="61" stopIfTrue="1">
      <formula>$AP$29=1</formula>
    </cfRule>
  </conditionalFormatting>
  <conditionalFormatting sqref="AC28:AD28 AF28">
    <cfRule type="expression" dxfId="697" priority="60" stopIfTrue="1">
      <formula>$AP$28=1</formula>
    </cfRule>
  </conditionalFormatting>
  <conditionalFormatting sqref="AC27:AD27 AF27">
    <cfRule type="expression" dxfId="696" priority="59" stopIfTrue="1">
      <formula>$AP$27=1</formula>
    </cfRule>
  </conditionalFormatting>
  <conditionalFormatting sqref="AC26:AD26 AF26">
    <cfRule type="expression" dxfId="695" priority="58" stopIfTrue="1">
      <formula>$AP$26=1</formula>
    </cfRule>
  </conditionalFormatting>
  <conditionalFormatting sqref="AC25:AD25 AF25">
    <cfRule type="expression" dxfId="694" priority="57" stopIfTrue="1">
      <formula>$AP$25=1</formula>
    </cfRule>
  </conditionalFormatting>
  <conditionalFormatting sqref="AC24:AD24 AF24">
    <cfRule type="expression" dxfId="693" priority="56" stopIfTrue="1">
      <formula>$AP$24=1</formula>
    </cfRule>
  </conditionalFormatting>
  <conditionalFormatting sqref="AC23:AD23 AF23">
    <cfRule type="expression" dxfId="692" priority="55" stopIfTrue="1">
      <formula>$AP$23=1</formula>
    </cfRule>
  </conditionalFormatting>
  <conditionalFormatting sqref="AC22:AD22 AF22">
    <cfRule type="expression" dxfId="691" priority="54" stopIfTrue="1">
      <formula>$AP$22=1</formula>
    </cfRule>
  </conditionalFormatting>
  <conditionalFormatting sqref="AC21:AD21 AF21">
    <cfRule type="expression" dxfId="690" priority="53" stopIfTrue="1">
      <formula>$AP$21=1</formula>
    </cfRule>
  </conditionalFormatting>
  <conditionalFormatting sqref="AC20:AD20 AF20">
    <cfRule type="expression" dxfId="689" priority="52" stopIfTrue="1">
      <formula>$AP$20=1</formula>
    </cfRule>
  </conditionalFormatting>
  <conditionalFormatting sqref="AC19:AD19 AF19">
    <cfRule type="expression" dxfId="688" priority="51" stopIfTrue="1">
      <formula>$AP$19=1</formula>
    </cfRule>
  </conditionalFormatting>
  <conditionalFormatting sqref="AC18:AD18 AF18">
    <cfRule type="expression" dxfId="687" priority="50" stopIfTrue="1">
      <formula>$AP$18=1</formula>
    </cfRule>
  </conditionalFormatting>
  <conditionalFormatting sqref="AC17:AD17 AF17">
    <cfRule type="expression" dxfId="686" priority="49" stopIfTrue="1">
      <formula>$AP$17=1</formula>
    </cfRule>
  </conditionalFormatting>
  <conditionalFormatting sqref="AC16:AD16 AF16">
    <cfRule type="expression" dxfId="685" priority="48" stopIfTrue="1">
      <formula>$AP$16=1</formula>
    </cfRule>
  </conditionalFormatting>
  <conditionalFormatting sqref="AC15:AD15 AF15">
    <cfRule type="expression" dxfId="684" priority="47" stopIfTrue="1">
      <formula>$AP$15=1</formula>
    </cfRule>
  </conditionalFormatting>
  <conditionalFormatting sqref="AC14:AD14 AF14">
    <cfRule type="expression" dxfId="683" priority="46" stopIfTrue="1">
      <formula>$AP$14=1</formula>
    </cfRule>
  </conditionalFormatting>
  <conditionalFormatting sqref="AC13:AD13 AF13">
    <cfRule type="expression" dxfId="682" priority="45" stopIfTrue="1">
      <formula>$AP$13=1</formula>
    </cfRule>
  </conditionalFormatting>
  <conditionalFormatting sqref="AC12:AF12 AE13:AE29">
    <cfRule type="expression" dxfId="681" priority="44" stopIfTrue="1">
      <formula>$AP$12=1</formula>
    </cfRule>
  </conditionalFormatting>
  <conditionalFormatting sqref="AC11:AF11">
    <cfRule type="expression" dxfId="680" priority="43" stopIfTrue="1">
      <formula>$AP$11=1</formula>
    </cfRule>
  </conditionalFormatting>
  <conditionalFormatting sqref="A51:B51">
    <cfRule type="expression" dxfId="679" priority="42" stopIfTrue="1">
      <formula>$AP$51=1</formula>
    </cfRule>
  </conditionalFormatting>
  <conditionalFormatting sqref="A50:B50">
    <cfRule type="expression" dxfId="678" priority="41" stopIfTrue="1">
      <formula>$AP$50=1</formula>
    </cfRule>
  </conditionalFormatting>
  <conditionalFormatting sqref="A49:B49">
    <cfRule type="expression" dxfId="677" priority="40" stopIfTrue="1">
      <formula>$AP$49=1</formula>
    </cfRule>
  </conditionalFormatting>
  <conditionalFormatting sqref="A48:B48">
    <cfRule type="expression" dxfId="676" priority="39" stopIfTrue="1">
      <formula>$AP$48=1</formula>
    </cfRule>
  </conditionalFormatting>
  <conditionalFormatting sqref="A47:B47">
    <cfRule type="expression" dxfId="675" priority="38" stopIfTrue="1">
      <formula>$AP$47=1</formula>
    </cfRule>
  </conditionalFormatting>
  <conditionalFormatting sqref="A46:B46">
    <cfRule type="expression" dxfId="674" priority="37" stopIfTrue="1">
      <formula>$AP$46=1</formula>
    </cfRule>
  </conditionalFormatting>
  <conditionalFormatting sqref="A45:B45">
    <cfRule type="expression" dxfId="673" priority="36" stopIfTrue="1">
      <formula>$AP$45=1</formula>
    </cfRule>
  </conditionalFormatting>
  <conditionalFormatting sqref="A44:B44">
    <cfRule type="expression" dxfId="672" priority="35" stopIfTrue="1">
      <formula>$AP$44=1</formula>
    </cfRule>
  </conditionalFormatting>
  <conditionalFormatting sqref="A43:B43">
    <cfRule type="expression" dxfId="671" priority="34" stopIfTrue="1">
      <formula>$AP$43=1</formula>
    </cfRule>
  </conditionalFormatting>
  <conditionalFormatting sqref="A42:B42">
    <cfRule type="expression" dxfId="670" priority="33" stopIfTrue="1">
      <formula>$AP$42=1</formula>
    </cfRule>
  </conditionalFormatting>
  <conditionalFormatting sqref="A41:B41">
    <cfRule type="expression" dxfId="669" priority="32" stopIfTrue="1">
      <formula>$AP$41=1</formula>
    </cfRule>
  </conditionalFormatting>
  <conditionalFormatting sqref="A40:B40">
    <cfRule type="expression" dxfId="668" priority="31" stopIfTrue="1">
      <formula>$AP$40=1</formula>
    </cfRule>
  </conditionalFormatting>
  <conditionalFormatting sqref="A39:B39">
    <cfRule type="expression" dxfId="667" priority="30" stopIfTrue="1">
      <formula>$AP$39=1</formula>
    </cfRule>
  </conditionalFormatting>
  <conditionalFormatting sqref="A38:B38">
    <cfRule type="expression" dxfId="666" priority="29" stopIfTrue="1">
      <formula>$AP$38=1</formula>
    </cfRule>
  </conditionalFormatting>
  <conditionalFormatting sqref="A37:B37">
    <cfRule type="expression" dxfId="665" priority="28" stopIfTrue="1">
      <formula>$AP$37=1</formula>
    </cfRule>
  </conditionalFormatting>
  <conditionalFormatting sqref="A36:B36">
    <cfRule type="expression" dxfId="664" priority="27" stopIfTrue="1">
      <formula>$AP$36=1</formula>
    </cfRule>
  </conditionalFormatting>
  <conditionalFormatting sqref="A35:B35">
    <cfRule type="expression" dxfId="663" priority="26" stopIfTrue="1">
      <formula>$AP$35=1</formula>
    </cfRule>
  </conditionalFormatting>
  <conditionalFormatting sqref="A34:B34">
    <cfRule type="expression" dxfId="662" priority="25" stopIfTrue="1">
      <formula>$AP$34=1</formula>
    </cfRule>
  </conditionalFormatting>
  <conditionalFormatting sqref="A33:B33">
    <cfRule type="expression" dxfId="661" priority="24" stopIfTrue="1">
      <formula>$AP$33=1</formula>
    </cfRule>
  </conditionalFormatting>
  <conditionalFormatting sqref="A32:B32">
    <cfRule type="expression" dxfId="660" priority="23" stopIfTrue="1">
      <formula>$AP$32=1</formula>
    </cfRule>
  </conditionalFormatting>
  <conditionalFormatting sqref="A31:B31">
    <cfRule type="expression" dxfId="659" priority="22" stopIfTrue="1">
      <formula>$AP$31=1</formula>
    </cfRule>
  </conditionalFormatting>
  <conditionalFormatting sqref="A30:B30">
    <cfRule type="expression" dxfId="658" priority="21" stopIfTrue="1">
      <formula>$AP$30=1</formula>
    </cfRule>
  </conditionalFormatting>
  <conditionalFormatting sqref="A29:B29">
    <cfRule type="expression" dxfId="657" priority="20" stopIfTrue="1">
      <formula>$AP$29=1</formula>
    </cfRule>
  </conditionalFormatting>
  <conditionalFormatting sqref="A28:B28">
    <cfRule type="expression" dxfId="656" priority="19" stopIfTrue="1">
      <formula>$AP$28=1</formula>
    </cfRule>
  </conditionalFormatting>
  <conditionalFormatting sqref="A27:B27">
    <cfRule type="expression" dxfId="655" priority="18" stopIfTrue="1">
      <formula>$AP$27=1</formula>
    </cfRule>
  </conditionalFormatting>
  <conditionalFormatting sqref="A26:B26">
    <cfRule type="expression" dxfId="654" priority="17" stopIfTrue="1">
      <formula>$AP$26=1</formula>
    </cfRule>
  </conditionalFormatting>
  <conditionalFormatting sqref="A25:B25">
    <cfRule type="expression" dxfId="653" priority="16" stopIfTrue="1">
      <formula>$AP$25=1</formula>
    </cfRule>
  </conditionalFormatting>
  <conditionalFormatting sqref="A24:B24">
    <cfRule type="expression" dxfId="652" priority="15" stopIfTrue="1">
      <formula>$AP$24=1</formula>
    </cfRule>
  </conditionalFormatting>
  <conditionalFormatting sqref="A23:B23">
    <cfRule type="expression" dxfId="651" priority="14" stopIfTrue="1">
      <formula>$AP$23=1</formula>
    </cfRule>
  </conditionalFormatting>
  <conditionalFormatting sqref="A22:B22">
    <cfRule type="expression" dxfId="650" priority="13" stopIfTrue="1">
      <formula>$AP$22=1</formula>
    </cfRule>
  </conditionalFormatting>
  <conditionalFormatting sqref="A21:B21">
    <cfRule type="expression" dxfId="649" priority="12" stopIfTrue="1">
      <formula>$AP$21=1</formula>
    </cfRule>
  </conditionalFormatting>
  <conditionalFormatting sqref="A20:B20">
    <cfRule type="expression" dxfId="648" priority="11" stopIfTrue="1">
      <formula>$AP$20=1</formula>
    </cfRule>
  </conditionalFormatting>
  <conditionalFormatting sqref="A19:B19">
    <cfRule type="expression" dxfId="647" priority="10" stopIfTrue="1">
      <formula>$AP$19=1</formula>
    </cfRule>
  </conditionalFormatting>
  <conditionalFormatting sqref="A18:B18">
    <cfRule type="expression" dxfId="646" priority="9" stopIfTrue="1">
      <formula>$AP$18=1</formula>
    </cfRule>
  </conditionalFormatting>
  <conditionalFormatting sqref="A17:B17">
    <cfRule type="expression" dxfId="645" priority="8" stopIfTrue="1">
      <formula>$AP$17=1</formula>
    </cfRule>
  </conditionalFormatting>
  <conditionalFormatting sqref="A16:B16">
    <cfRule type="expression" dxfId="644" priority="7" stopIfTrue="1">
      <formula>$AP$16=1</formula>
    </cfRule>
  </conditionalFormatting>
  <conditionalFormatting sqref="A15:B15">
    <cfRule type="expression" dxfId="643" priority="6" stopIfTrue="1">
      <formula>$AP$15=1</formula>
    </cfRule>
  </conditionalFormatting>
  <conditionalFormatting sqref="A14:B14">
    <cfRule type="expression" dxfId="642" priority="5" stopIfTrue="1">
      <formula>$AP$14=1</formula>
    </cfRule>
  </conditionalFormatting>
  <conditionalFormatting sqref="A13:B13">
    <cfRule type="expression" dxfId="641" priority="4" stopIfTrue="1">
      <formula>$AP$13=1</formula>
    </cfRule>
  </conditionalFormatting>
  <conditionalFormatting sqref="A12:B12">
    <cfRule type="expression" dxfId="640" priority="3" stopIfTrue="1">
      <formula>$AP$12=1</formula>
    </cfRule>
  </conditionalFormatting>
  <conditionalFormatting sqref="A11:B11">
    <cfRule type="expression" dxfId="639" priority="2" stopIfTrue="1">
      <formula>$AP$11=1</formula>
    </cfRule>
  </conditionalFormatting>
  <conditionalFormatting sqref="A10:B10">
    <cfRule type="expression" dxfId="638" priority="1" stopIfTrue="1">
      <formula>$AP$10=1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AP75"/>
  <sheetViews>
    <sheetView topLeftCell="A10" zoomScale="70" zoomScaleNormal="70" workbookViewId="0">
      <selection activeCell="A57" sqref="A57:B58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74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787.01699999999994</v>
      </c>
      <c r="AM4" s="93">
        <f>SUM(AM5:AM46)</f>
        <v>11.7</v>
      </c>
      <c r="AN4" s="93">
        <f>SUM(AN5:AN46)</f>
        <v>787.02699999999993</v>
      </c>
      <c r="AO4" s="93">
        <f>SUM(AO5:AO46)</f>
        <v>27.680000000000003</v>
      </c>
      <c r="AP4" s="86"/>
    </row>
    <row r="5" spans="1:42" ht="15.75" x14ac:dyDescent="0.25">
      <c r="A5" s="94">
        <f t="shared" ref="A5:A30" si="0">AF5</f>
        <v>0</v>
      </c>
      <c r="B5" s="95">
        <f t="shared" ref="B5:B30" si="1">AD5</f>
        <v>791.86</v>
      </c>
      <c r="C5" s="96" t="str">
        <f>IF(AG5="","",AG5)</f>
        <v xml:space="preserve">S/BM </v>
      </c>
      <c r="D5" s="184"/>
      <c r="X5" s="97"/>
      <c r="Y5" s="98"/>
      <c r="Z5" s="99">
        <v>2.6070000000000002</v>
      </c>
      <c r="AA5" s="100"/>
      <c r="AB5" s="101"/>
      <c r="AC5" s="102">
        <f>IF(AA5="",AD5+Z5,"")</f>
        <v>794.46699999999998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794.46699999999998</v>
      </c>
      <c r="AI5" s="86">
        <f>IF(AA5="",AC5,AI4)</f>
        <v>794.46699999999998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792.11900000000003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2.3479999999999999</v>
      </c>
      <c r="AB6" s="111"/>
      <c r="AC6" s="112" t="str">
        <f>IF(AA6="",AD6+Z6,"")</f>
        <v/>
      </c>
      <c r="AD6" s="113">
        <f>IF(AA6="",AH5-AB6,AH5-AA6)</f>
        <v>792.11900000000003</v>
      </c>
      <c r="AE6" s="114">
        <v>0</v>
      </c>
      <c r="AF6" s="113">
        <f>AE6</f>
        <v>0</v>
      </c>
      <c r="AG6" s="115" t="s">
        <v>4</v>
      </c>
      <c r="AH6" s="86">
        <f t="shared" si="2"/>
        <v>794.46699999999998</v>
      </c>
      <c r="AI6" s="86">
        <f t="shared" ref="AI6:AI46" si="6">IF(AA6="",AC6,AI5)</f>
        <v>794.46699999999998</v>
      </c>
      <c r="AJ6" s="86" t="str">
        <f t="shared" si="3"/>
        <v>PRI</v>
      </c>
      <c r="AK6" s="93">
        <f t="shared" si="4"/>
        <v>792.11900000000003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1</v>
      </c>
      <c r="B7" s="95">
        <f t="shared" si="1"/>
        <v>790.755</v>
      </c>
      <c r="C7" s="96" t="str">
        <f t="shared" si="5"/>
        <v/>
      </c>
      <c r="D7" s="184"/>
      <c r="X7" s="107"/>
      <c r="Y7" s="108"/>
      <c r="Z7" s="109"/>
      <c r="AA7" s="110">
        <v>3.7120000000000002</v>
      </c>
      <c r="AB7" s="111"/>
      <c r="AC7" s="112" t="str">
        <f t="shared" ref="AC7:AC39" si="11">IF(AA7="",AD7+Z7,"")</f>
        <v/>
      </c>
      <c r="AD7" s="113">
        <f>IF(AA7="",AH6-AB7,AH6-AA7)</f>
        <v>790.755</v>
      </c>
      <c r="AE7" s="114">
        <v>1</v>
      </c>
      <c r="AF7" s="113">
        <f t="shared" ref="AF7:AF39" si="12">+AF6+AE7</f>
        <v>1</v>
      </c>
      <c r="AG7" s="116"/>
      <c r="AH7" s="86">
        <f t="shared" si="2"/>
        <v>794.46699999999998</v>
      </c>
      <c r="AI7" s="86">
        <f t="shared" si="6"/>
        <v>794.46699999999998</v>
      </c>
      <c r="AJ7" s="86" t="str">
        <f t="shared" si="3"/>
        <v>PRI</v>
      </c>
      <c r="AK7" s="93">
        <f t="shared" si="4"/>
        <v>790.755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6</v>
      </c>
      <c r="B8" s="95">
        <f t="shared" si="1"/>
        <v>789.57899999999995</v>
      </c>
      <c r="C8" s="96" t="str">
        <f t="shared" si="5"/>
        <v/>
      </c>
      <c r="D8" s="184"/>
      <c r="X8" s="107"/>
      <c r="Y8" s="108"/>
      <c r="Z8" s="109"/>
      <c r="AA8" s="110">
        <v>4.8879999999999999</v>
      </c>
      <c r="AB8" s="111"/>
      <c r="AC8" s="112" t="str">
        <f t="shared" si="11"/>
        <v/>
      </c>
      <c r="AD8" s="113">
        <f>IF(AA8="",AH7-AB8,AH7-AA8)</f>
        <v>789.57899999999995</v>
      </c>
      <c r="AE8" s="114">
        <v>5</v>
      </c>
      <c r="AF8" s="113">
        <f t="shared" si="12"/>
        <v>6</v>
      </c>
      <c r="AG8" s="116"/>
      <c r="AH8" s="86">
        <f t="shared" si="2"/>
        <v>794.46699999999998</v>
      </c>
      <c r="AI8" s="86">
        <f t="shared" si="6"/>
        <v>794.46699999999998</v>
      </c>
      <c r="AJ8" s="86" t="str">
        <f t="shared" si="3"/>
        <v>PRI</v>
      </c>
      <c r="AK8" s="93">
        <f t="shared" si="4"/>
        <v>789.57899999999995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6</v>
      </c>
      <c r="B9" s="95">
        <f t="shared" si="1"/>
        <v>789.49599999999998</v>
      </c>
      <c r="C9" s="96" t="str">
        <f t="shared" si="5"/>
        <v/>
      </c>
      <c r="D9" s="184"/>
      <c r="X9" s="107" t="s">
        <v>47</v>
      </c>
      <c r="Y9" s="108"/>
      <c r="Z9" s="109">
        <v>0.57799999999999996</v>
      </c>
      <c r="AA9" s="110"/>
      <c r="AB9" s="111">
        <v>4.9710000000000001</v>
      </c>
      <c r="AC9" s="112">
        <f t="shared" ref="AC9" si="13">IF(AA9="",AD9+Z9,"")</f>
        <v>790.07399999999996</v>
      </c>
      <c r="AD9" s="113">
        <f>IF(AA9="",AH8-AB9,AH8-AA9)</f>
        <v>789.49599999999998</v>
      </c>
      <c r="AE9" s="114">
        <v>0</v>
      </c>
      <c r="AF9" s="113">
        <f t="shared" si="12"/>
        <v>6</v>
      </c>
      <c r="AG9" s="115"/>
      <c r="AH9" s="86">
        <f t="shared" si="2"/>
        <v>790.07399999999996</v>
      </c>
      <c r="AI9" s="86">
        <f t="shared" si="6"/>
        <v>790.07399999999996</v>
      </c>
      <c r="AJ9" s="86" t="str">
        <f t="shared" si="3"/>
        <v>PRI</v>
      </c>
      <c r="AK9" s="93">
        <f t="shared" si="4"/>
        <v>789.49599999999998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11.7</v>
      </c>
      <c r="B10" s="95">
        <f t="shared" si="1"/>
        <v>787.01699999999994</v>
      </c>
      <c r="C10" s="96" t="str">
        <f t="shared" si="5"/>
        <v>NAOI</v>
      </c>
      <c r="D10" s="184"/>
      <c r="E10" s="84">
        <f>(B12+B35)/2</f>
        <v>787.44749999999999</v>
      </c>
      <c r="X10" s="107"/>
      <c r="Y10" s="108"/>
      <c r="Z10" s="109"/>
      <c r="AA10" s="110">
        <v>3.0569999999999999</v>
      </c>
      <c r="AB10" s="111"/>
      <c r="AC10" s="112" t="str">
        <f t="shared" si="11"/>
        <v/>
      </c>
      <c r="AD10" s="113">
        <f t="shared" ref="AD10:AD39" si="14">IF(AJ9="S/BM",AD9,IF(AA10="",AH9-AB10,AH9-AA10))</f>
        <v>787.01699999999994</v>
      </c>
      <c r="AE10" s="114">
        <v>5.7</v>
      </c>
      <c r="AF10" s="113">
        <f t="shared" si="12"/>
        <v>11.7</v>
      </c>
      <c r="AG10" s="115" t="s">
        <v>9</v>
      </c>
      <c r="AH10" s="86">
        <f t="shared" si="2"/>
        <v>787.01699999999994</v>
      </c>
      <c r="AI10" s="86">
        <f t="shared" si="6"/>
        <v>790.07399999999996</v>
      </c>
      <c r="AJ10" s="86" t="str">
        <f t="shared" si="3"/>
        <v>NAOI</v>
      </c>
      <c r="AK10" s="93">
        <f t="shared" si="4"/>
        <v>787.01699999999994</v>
      </c>
      <c r="AL10" s="86">
        <f t="shared" si="7"/>
        <v>787.01699999999994</v>
      </c>
      <c r="AM10" s="93">
        <f t="shared" si="8"/>
        <v>11.7</v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13.7</v>
      </c>
      <c r="B11" s="95">
        <f t="shared" si="1"/>
        <v>786.76699999999994</v>
      </c>
      <c r="C11" s="96" t="str">
        <f t="shared" si="5"/>
        <v/>
      </c>
      <c r="D11" s="184"/>
      <c r="E11" s="117">
        <v>0.33</v>
      </c>
      <c r="X11" s="107"/>
      <c r="Y11" s="108"/>
      <c r="Z11" s="109"/>
      <c r="AA11" s="110">
        <v>0.25</v>
      </c>
      <c r="AB11" s="111"/>
      <c r="AC11" s="112" t="str">
        <f t="shared" si="11"/>
        <v/>
      </c>
      <c r="AD11" s="113">
        <f t="shared" si="14"/>
        <v>786.76699999999994</v>
      </c>
      <c r="AE11" s="114">
        <v>2</v>
      </c>
      <c r="AF11" s="113">
        <f t="shared" si="12"/>
        <v>13.7</v>
      </c>
      <c r="AG11" s="115"/>
      <c r="AH11" s="86">
        <f t="shared" si="2"/>
        <v>787.01699999999994</v>
      </c>
      <c r="AI11" s="86">
        <f t="shared" si="6"/>
        <v>790.07399999999996</v>
      </c>
      <c r="AJ11" s="86" t="str">
        <f t="shared" si="3"/>
        <v>NAOI</v>
      </c>
      <c r="AK11" s="93">
        <f t="shared" si="4"/>
        <v>787.01699999999994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5">IF(AJ10="S/BM",1,0)</f>
        <v>0</v>
      </c>
    </row>
    <row r="12" spans="1:42" s="117" customFormat="1" ht="15.75" x14ac:dyDescent="0.25">
      <c r="A12" s="94">
        <f t="shared" si="0"/>
        <v>14.62</v>
      </c>
      <c r="B12" s="95">
        <f t="shared" si="1"/>
        <v>786.58699999999999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0.43</v>
      </c>
      <c r="AB12" s="111"/>
      <c r="AC12" s="112" t="str">
        <f>IF(AA12="",AD12+Z12,"")</f>
        <v/>
      </c>
      <c r="AD12" s="113">
        <f t="shared" si="14"/>
        <v>786.58699999999999</v>
      </c>
      <c r="AE12" s="114">
        <v>0.92</v>
      </c>
      <c r="AF12" s="113">
        <f t="shared" si="12"/>
        <v>14.62</v>
      </c>
      <c r="AG12" s="115"/>
      <c r="AH12" s="86">
        <f t="shared" si="2"/>
        <v>787.01699999999994</v>
      </c>
      <c r="AI12" s="86">
        <f t="shared" si="6"/>
        <v>790.07399999999996</v>
      </c>
      <c r="AJ12" s="86" t="str">
        <f t="shared" si="3"/>
        <v>NAOI</v>
      </c>
      <c r="AK12" s="93">
        <f t="shared" si="4"/>
        <v>787.01699999999994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5"/>
        <v>0</v>
      </c>
    </row>
    <row r="13" spans="1:42" s="117" customFormat="1" ht="15.75" x14ac:dyDescent="0.25">
      <c r="A13" s="94">
        <f t="shared" si="0"/>
        <v>15.6</v>
      </c>
      <c r="B13" s="95">
        <f t="shared" si="1"/>
        <v>786.50699999999995</v>
      </c>
      <c r="C13" s="96" t="str">
        <f t="shared" si="5"/>
        <v/>
      </c>
      <c r="D13" s="184"/>
      <c r="E13" s="117">
        <v>0.35</v>
      </c>
      <c r="X13" s="107"/>
      <c r="Y13" s="108"/>
      <c r="Z13" s="109"/>
      <c r="AA13" s="110">
        <v>0.51</v>
      </c>
      <c r="AB13" s="111"/>
      <c r="AC13" s="112" t="str">
        <f t="shared" si="11"/>
        <v/>
      </c>
      <c r="AD13" s="113">
        <f t="shared" si="14"/>
        <v>786.50699999999995</v>
      </c>
      <c r="AE13" s="114">
        <v>0.98</v>
      </c>
      <c r="AF13" s="113">
        <f t="shared" si="12"/>
        <v>15.6</v>
      </c>
      <c r="AG13" s="116"/>
      <c r="AH13" s="86">
        <f t="shared" si="2"/>
        <v>787.01699999999994</v>
      </c>
      <c r="AI13" s="86">
        <f t="shared" si="6"/>
        <v>790.07399999999996</v>
      </c>
      <c r="AJ13" s="86" t="str">
        <f t="shared" si="3"/>
        <v>NAOI</v>
      </c>
      <c r="AK13" s="93">
        <f t="shared" si="4"/>
        <v>787.01699999999994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5"/>
        <v>0</v>
      </c>
    </row>
    <row r="14" spans="1:42" s="117" customFormat="1" ht="15.75" x14ac:dyDescent="0.25">
      <c r="A14" s="94">
        <f t="shared" si="0"/>
        <v>16.03</v>
      </c>
      <c r="B14" s="95">
        <f t="shared" si="1"/>
        <v>786.50699999999995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0.51</v>
      </c>
      <c r="AB14" s="111"/>
      <c r="AC14" s="112" t="str">
        <f t="shared" si="11"/>
        <v/>
      </c>
      <c r="AD14" s="113">
        <f t="shared" si="14"/>
        <v>786.50699999999995</v>
      </c>
      <c r="AE14" s="114">
        <v>0.43</v>
      </c>
      <c r="AF14" s="113">
        <f t="shared" si="12"/>
        <v>16.03</v>
      </c>
      <c r="AG14" s="116"/>
      <c r="AH14" s="86">
        <f t="shared" si="2"/>
        <v>787.01699999999994</v>
      </c>
      <c r="AI14" s="86">
        <f t="shared" si="6"/>
        <v>790.07399999999996</v>
      </c>
      <c r="AJ14" s="86" t="str">
        <f t="shared" si="3"/>
        <v>NAOI</v>
      </c>
      <c r="AK14" s="93">
        <f>IF(AND(AJ14="NAOI",AJ13="NAOI"),AK13,AD14)</f>
        <v>787.01699999999994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5"/>
        <v>0</v>
      </c>
    </row>
    <row r="15" spans="1:42" s="117" customFormat="1" ht="15.75" x14ac:dyDescent="0.25">
      <c r="A15" s="94">
        <f t="shared" si="0"/>
        <v>17.010000000000002</v>
      </c>
      <c r="B15" s="95">
        <f t="shared" si="1"/>
        <v>786.40699999999993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0.61</v>
      </c>
      <c r="AB15" s="111"/>
      <c r="AC15" s="112" t="str">
        <f t="shared" si="11"/>
        <v/>
      </c>
      <c r="AD15" s="113">
        <f t="shared" si="14"/>
        <v>786.40699999999993</v>
      </c>
      <c r="AE15" s="114">
        <v>0.98</v>
      </c>
      <c r="AF15" s="113">
        <f t="shared" si="12"/>
        <v>17.010000000000002</v>
      </c>
      <c r="AG15" s="115"/>
      <c r="AH15" s="86">
        <f t="shared" si="2"/>
        <v>787.01699999999994</v>
      </c>
      <c r="AI15" s="86">
        <f t="shared" si="6"/>
        <v>790.07399999999996</v>
      </c>
      <c r="AJ15" s="86" t="str">
        <f t="shared" si="3"/>
        <v>NAOI</v>
      </c>
      <c r="AK15" s="93">
        <f>IF(AND(AJ15="NAOI",AJ14="NAOI"),AK14,AD15)</f>
        <v>787.01699999999994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5"/>
        <v>0</v>
      </c>
    </row>
    <row r="16" spans="1:42" s="117" customFormat="1" ht="15.75" x14ac:dyDescent="0.25">
      <c r="A16" s="94">
        <f t="shared" si="0"/>
        <v>17.650000000000002</v>
      </c>
      <c r="B16" s="95">
        <f t="shared" si="1"/>
        <v>786.39699999999993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0.62</v>
      </c>
      <c r="AB16" s="111"/>
      <c r="AC16" s="112" t="str">
        <f t="shared" si="11"/>
        <v/>
      </c>
      <c r="AD16" s="113">
        <f t="shared" si="14"/>
        <v>786.39699999999993</v>
      </c>
      <c r="AE16" s="114">
        <v>0.64</v>
      </c>
      <c r="AF16" s="113">
        <f t="shared" si="12"/>
        <v>17.650000000000002</v>
      </c>
      <c r="AG16" s="118"/>
      <c r="AH16" s="86">
        <f t="shared" si="2"/>
        <v>787.01699999999994</v>
      </c>
      <c r="AI16" s="86">
        <f t="shared" si="6"/>
        <v>790.07399999999996</v>
      </c>
      <c r="AJ16" s="86" t="str">
        <f t="shared" si="3"/>
        <v>NAOI</v>
      </c>
      <c r="AK16" s="93">
        <f>IF(AND(AJ16="NAOI",AJ15="NAOI"),AK15,AD16)</f>
        <v>787.01699999999994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5"/>
        <v>0</v>
      </c>
    </row>
    <row r="17" spans="1:42" s="117" customFormat="1" ht="15.75" x14ac:dyDescent="0.25">
      <c r="A17" s="94">
        <f t="shared" si="0"/>
        <v>18.450000000000003</v>
      </c>
      <c r="B17" s="95">
        <f t="shared" si="1"/>
        <v>786.27699999999993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0.74</v>
      </c>
      <c r="AB17" s="111"/>
      <c r="AC17" s="112" t="str">
        <f t="shared" si="11"/>
        <v/>
      </c>
      <c r="AD17" s="113">
        <f t="shared" si="14"/>
        <v>786.27699999999993</v>
      </c>
      <c r="AE17" s="114">
        <v>0.8</v>
      </c>
      <c r="AF17" s="113">
        <f t="shared" si="12"/>
        <v>18.450000000000003</v>
      </c>
      <c r="AG17" s="118"/>
      <c r="AH17" s="86">
        <f t="shared" si="2"/>
        <v>787.01699999999994</v>
      </c>
      <c r="AI17" s="86">
        <f t="shared" si="6"/>
        <v>790.07399999999996</v>
      </c>
      <c r="AJ17" s="86" t="str">
        <f t="shared" si="3"/>
        <v>NAOI</v>
      </c>
      <c r="AK17" s="93">
        <f t="shared" ref="AK17:AK46" si="16">IF(AND(AJ17="NAOI",AJ16="NAOI"),AK16,AD17)</f>
        <v>787.01699999999994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5"/>
        <v>0</v>
      </c>
    </row>
    <row r="18" spans="1:42" s="117" customFormat="1" ht="15.75" x14ac:dyDescent="0.25">
      <c r="A18" s="94">
        <f t="shared" si="0"/>
        <v>19.090000000000003</v>
      </c>
      <c r="B18" s="95">
        <f t="shared" si="1"/>
        <v>786.10699999999997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0.91</v>
      </c>
      <c r="AB18" s="111"/>
      <c r="AC18" s="112" t="str">
        <f t="shared" si="11"/>
        <v/>
      </c>
      <c r="AD18" s="113">
        <f t="shared" si="14"/>
        <v>786.10699999999997</v>
      </c>
      <c r="AE18" s="114">
        <v>0.64</v>
      </c>
      <c r="AF18" s="113">
        <f t="shared" si="12"/>
        <v>19.090000000000003</v>
      </c>
      <c r="AG18" s="118"/>
      <c r="AH18" s="86">
        <f t="shared" si="2"/>
        <v>787.01699999999994</v>
      </c>
      <c r="AI18" s="86">
        <f t="shared" si="6"/>
        <v>790.07399999999996</v>
      </c>
      <c r="AJ18" s="86" t="str">
        <f t="shared" si="3"/>
        <v>NAOI</v>
      </c>
      <c r="AK18" s="93">
        <f t="shared" si="16"/>
        <v>787.01699999999994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5"/>
        <v>0</v>
      </c>
    </row>
    <row r="19" spans="1:42" s="117" customFormat="1" ht="15.75" x14ac:dyDescent="0.25">
      <c r="A19" s="94">
        <f t="shared" si="0"/>
        <v>19.820000000000004</v>
      </c>
      <c r="B19" s="95">
        <f t="shared" si="1"/>
        <v>785.97699999999998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1.04</v>
      </c>
      <c r="AB19" s="111"/>
      <c r="AC19" s="112" t="str">
        <f t="shared" si="11"/>
        <v/>
      </c>
      <c r="AD19" s="113">
        <f t="shared" si="14"/>
        <v>785.97699999999998</v>
      </c>
      <c r="AE19" s="114">
        <v>0.73</v>
      </c>
      <c r="AF19" s="113">
        <f t="shared" si="12"/>
        <v>19.820000000000004</v>
      </c>
      <c r="AG19" s="118"/>
      <c r="AH19" s="86">
        <f t="shared" si="2"/>
        <v>787.01699999999994</v>
      </c>
      <c r="AI19" s="86">
        <f t="shared" si="6"/>
        <v>790.07399999999996</v>
      </c>
      <c r="AJ19" s="86" t="str">
        <f t="shared" si="3"/>
        <v>NAOI</v>
      </c>
      <c r="AK19" s="93">
        <f t="shared" si="16"/>
        <v>787.01699999999994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5"/>
        <v>0</v>
      </c>
    </row>
    <row r="20" spans="1:42" s="117" customFormat="1" ht="15.75" x14ac:dyDescent="0.25">
      <c r="A20" s="94">
        <f t="shared" si="0"/>
        <v>20.530000000000005</v>
      </c>
      <c r="B20" s="95">
        <f t="shared" si="1"/>
        <v>785.9369999999999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1.08</v>
      </c>
      <c r="AB20" s="111"/>
      <c r="AC20" s="112" t="str">
        <f t="shared" si="11"/>
        <v/>
      </c>
      <c r="AD20" s="113">
        <f t="shared" si="14"/>
        <v>785.9369999999999</v>
      </c>
      <c r="AE20" s="114">
        <v>0.71</v>
      </c>
      <c r="AF20" s="113">
        <f t="shared" si="12"/>
        <v>20.530000000000005</v>
      </c>
      <c r="AG20" s="118"/>
      <c r="AH20" s="86">
        <f t="shared" si="2"/>
        <v>787.01699999999994</v>
      </c>
      <c r="AI20" s="86">
        <f t="shared" si="6"/>
        <v>790.07399999999996</v>
      </c>
      <c r="AJ20" s="86" t="str">
        <f t="shared" si="3"/>
        <v>NAOI</v>
      </c>
      <c r="AK20" s="93">
        <f t="shared" si="16"/>
        <v>787.01699999999994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5"/>
        <v>0</v>
      </c>
    </row>
    <row r="21" spans="1:42" s="117" customFormat="1" ht="15.75" x14ac:dyDescent="0.25">
      <c r="A21" s="94">
        <f t="shared" si="0"/>
        <v>21.080000000000005</v>
      </c>
      <c r="B21" s="95">
        <f t="shared" si="1"/>
        <v>785.91699999999992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1.1000000000000001</v>
      </c>
      <c r="AB21" s="111"/>
      <c r="AC21" s="112" t="str">
        <f t="shared" si="11"/>
        <v/>
      </c>
      <c r="AD21" s="113">
        <f t="shared" si="14"/>
        <v>785.91699999999992</v>
      </c>
      <c r="AE21" s="114">
        <v>0.55000000000000004</v>
      </c>
      <c r="AF21" s="113">
        <f t="shared" si="12"/>
        <v>21.080000000000005</v>
      </c>
      <c r="AG21" s="118"/>
      <c r="AH21" s="86">
        <f t="shared" si="2"/>
        <v>787.01699999999994</v>
      </c>
      <c r="AI21" s="86">
        <f t="shared" si="6"/>
        <v>790.07399999999996</v>
      </c>
      <c r="AJ21" s="86" t="str">
        <f t="shared" si="3"/>
        <v>NAOI</v>
      </c>
      <c r="AK21" s="93">
        <f t="shared" si="16"/>
        <v>787.01699999999994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5"/>
        <v>0</v>
      </c>
    </row>
    <row r="22" spans="1:42" s="117" customFormat="1" ht="15.75" x14ac:dyDescent="0.25">
      <c r="A22" s="94">
        <f t="shared" si="0"/>
        <v>21.920000000000005</v>
      </c>
      <c r="B22" s="95">
        <f t="shared" si="1"/>
        <v>785.88699999999994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1.1299999999999999</v>
      </c>
      <c r="AB22" s="111"/>
      <c r="AC22" s="112" t="str">
        <f t="shared" si="11"/>
        <v/>
      </c>
      <c r="AD22" s="113">
        <f t="shared" si="14"/>
        <v>785.88699999999994</v>
      </c>
      <c r="AE22" s="114">
        <v>0.84</v>
      </c>
      <c r="AF22" s="113">
        <f t="shared" si="12"/>
        <v>21.920000000000005</v>
      </c>
      <c r="AG22" s="118"/>
      <c r="AH22" s="86">
        <f t="shared" si="2"/>
        <v>787.01699999999994</v>
      </c>
      <c r="AI22" s="86">
        <f t="shared" si="6"/>
        <v>790.07399999999996</v>
      </c>
      <c r="AJ22" s="86" t="str">
        <f t="shared" si="3"/>
        <v>NAOI</v>
      </c>
      <c r="AK22" s="93">
        <f t="shared" si="16"/>
        <v>787.01699999999994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5"/>
        <v>0</v>
      </c>
    </row>
    <row r="23" spans="1:42" s="117" customFormat="1" ht="15.75" x14ac:dyDescent="0.25">
      <c r="A23" s="94">
        <f t="shared" si="0"/>
        <v>22.780000000000005</v>
      </c>
      <c r="B23" s="95">
        <f t="shared" si="1"/>
        <v>785.70699999999999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1.31</v>
      </c>
      <c r="AB23" s="111"/>
      <c r="AC23" s="112" t="str">
        <f t="shared" si="11"/>
        <v/>
      </c>
      <c r="AD23" s="113">
        <f t="shared" si="14"/>
        <v>785.70699999999999</v>
      </c>
      <c r="AE23" s="114">
        <v>0.86</v>
      </c>
      <c r="AF23" s="113">
        <f t="shared" si="12"/>
        <v>22.780000000000005</v>
      </c>
      <c r="AG23" s="118"/>
      <c r="AH23" s="86">
        <f t="shared" si="2"/>
        <v>787.01699999999994</v>
      </c>
      <c r="AI23" s="86">
        <f t="shared" si="6"/>
        <v>790.07399999999996</v>
      </c>
      <c r="AJ23" s="86" t="str">
        <f t="shared" si="3"/>
        <v>NAOI</v>
      </c>
      <c r="AK23" s="93">
        <f t="shared" si="16"/>
        <v>787.01699999999994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5"/>
        <v>0</v>
      </c>
    </row>
    <row r="24" spans="1:42" s="117" customFormat="1" ht="15.75" x14ac:dyDescent="0.25">
      <c r="A24" s="94">
        <f t="shared" si="0"/>
        <v>23.480000000000004</v>
      </c>
      <c r="B24" s="95">
        <f t="shared" si="1"/>
        <v>785.72699999999998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1.29</v>
      </c>
      <c r="AB24" s="111"/>
      <c r="AC24" s="112" t="str">
        <f t="shared" si="11"/>
        <v/>
      </c>
      <c r="AD24" s="113">
        <f t="shared" si="14"/>
        <v>785.72699999999998</v>
      </c>
      <c r="AE24" s="114">
        <v>0.7</v>
      </c>
      <c r="AF24" s="113">
        <f t="shared" si="12"/>
        <v>23.480000000000004</v>
      </c>
      <c r="AG24" s="118"/>
      <c r="AH24" s="86">
        <f t="shared" si="2"/>
        <v>787.01699999999994</v>
      </c>
      <c r="AI24" s="86">
        <f t="shared" si="6"/>
        <v>790.07399999999996</v>
      </c>
      <c r="AJ24" s="86" t="str">
        <f t="shared" si="3"/>
        <v>NAOI</v>
      </c>
      <c r="AK24" s="93">
        <f t="shared" si="16"/>
        <v>787.01699999999994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5"/>
        <v>0</v>
      </c>
    </row>
    <row r="25" spans="1:42" s="117" customFormat="1" ht="15.75" x14ac:dyDescent="0.25">
      <c r="A25" s="94">
        <f t="shared" si="0"/>
        <v>24.180000000000003</v>
      </c>
      <c r="B25" s="95">
        <f t="shared" si="1"/>
        <v>785.52699999999993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1.49</v>
      </c>
      <c r="AB25" s="111"/>
      <c r="AC25" s="112" t="str">
        <f t="shared" si="11"/>
        <v/>
      </c>
      <c r="AD25" s="113">
        <f t="shared" si="14"/>
        <v>785.52699999999993</v>
      </c>
      <c r="AE25" s="114">
        <v>0.7</v>
      </c>
      <c r="AF25" s="113">
        <f t="shared" si="12"/>
        <v>24.180000000000003</v>
      </c>
      <c r="AG25" s="118"/>
      <c r="AH25" s="86">
        <f t="shared" si="2"/>
        <v>787.01699999999994</v>
      </c>
      <c r="AI25" s="86">
        <f t="shared" si="6"/>
        <v>790.07399999999996</v>
      </c>
      <c r="AJ25" s="86" t="str">
        <f t="shared" si="3"/>
        <v>NAOI</v>
      </c>
      <c r="AK25" s="93">
        <f t="shared" si="16"/>
        <v>787.01699999999994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5"/>
        <v>0</v>
      </c>
    </row>
    <row r="26" spans="1:42" s="117" customFormat="1" ht="15.75" x14ac:dyDescent="0.25">
      <c r="A26" s="94">
        <f t="shared" si="0"/>
        <v>24.950000000000003</v>
      </c>
      <c r="B26" s="95">
        <f t="shared" si="1"/>
        <v>785.65699999999993</v>
      </c>
      <c r="C26" s="96" t="str">
        <f t="shared" si="5"/>
        <v/>
      </c>
      <c r="D26" s="184"/>
      <c r="E26" s="117">
        <v>1.7</v>
      </c>
      <c r="X26" s="107"/>
      <c r="Y26" s="108"/>
      <c r="Z26" s="109"/>
      <c r="AA26" s="110">
        <v>1.36</v>
      </c>
      <c r="AB26" s="111"/>
      <c r="AC26" s="112" t="str">
        <f t="shared" si="11"/>
        <v/>
      </c>
      <c r="AD26" s="113">
        <f t="shared" si="14"/>
        <v>785.65699999999993</v>
      </c>
      <c r="AE26" s="114">
        <v>0.77</v>
      </c>
      <c r="AF26" s="113">
        <f t="shared" si="12"/>
        <v>24.950000000000003</v>
      </c>
      <c r="AG26" s="115"/>
      <c r="AH26" s="86">
        <f t="shared" si="2"/>
        <v>787.01699999999994</v>
      </c>
      <c r="AI26" s="86">
        <f t="shared" si="6"/>
        <v>790.07399999999996</v>
      </c>
      <c r="AJ26" s="86" t="str">
        <f t="shared" si="3"/>
        <v>NAOI</v>
      </c>
      <c r="AK26" s="93">
        <f t="shared" si="16"/>
        <v>787.01699999999994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5"/>
        <v>0</v>
      </c>
    </row>
    <row r="27" spans="1:42" ht="15.75" x14ac:dyDescent="0.25">
      <c r="A27" s="94">
        <f t="shared" si="0"/>
        <v>25.380000000000003</v>
      </c>
      <c r="B27" s="95">
        <f t="shared" si="1"/>
        <v>785.25699999999995</v>
      </c>
      <c r="C27" s="96" t="str">
        <f t="shared" si="5"/>
        <v/>
      </c>
      <c r="D27" s="184"/>
      <c r="E27" s="117">
        <v>1.7</v>
      </c>
      <c r="X27" s="107"/>
      <c r="Y27" s="108"/>
      <c r="Z27" s="109"/>
      <c r="AA27" s="110">
        <v>1.76</v>
      </c>
      <c r="AB27" s="111"/>
      <c r="AC27" s="112" t="str">
        <f t="shared" si="11"/>
        <v/>
      </c>
      <c r="AD27" s="113">
        <f t="shared" si="14"/>
        <v>785.25699999999995</v>
      </c>
      <c r="AE27" s="114">
        <v>0.43</v>
      </c>
      <c r="AF27" s="113">
        <f t="shared" si="12"/>
        <v>25.380000000000003</v>
      </c>
      <c r="AG27" s="115"/>
      <c r="AH27" s="86">
        <f t="shared" si="2"/>
        <v>787.01699999999994</v>
      </c>
      <c r="AI27" s="86">
        <f t="shared" si="6"/>
        <v>790.07399999999996</v>
      </c>
      <c r="AJ27" s="86" t="str">
        <f t="shared" si="3"/>
        <v>NAOI</v>
      </c>
      <c r="AK27" s="93">
        <f t="shared" si="16"/>
        <v>787.01699999999994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5"/>
        <v>0</v>
      </c>
    </row>
    <row r="28" spans="1:42" ht="15.75" x14ac:dyDescent="0.25">
      <c r="A28" s="94">
        <f t="shared" si="0"/>
        <v>25.900000000000002</v>
      </c>
      <c r="B28" s="95">
        <f t="shared" si="1"/>
        <v>785.25699999999995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1.76</v>
      </c>
      <c r="AB28" s="111"/>
      <c r="AC28" s="112" t="str">
        <f t="shared" si="11"/>
        <v/>
      </c>
      <c r="AD28" s="113">
        <f t="shared" si="14"/>
        <v>785.25699999999995</v>
      </c>
      <c r="AE28" s="114">
        <v>0.52</v>
      </c>
      <c r="AF28" s="113">
        <f t="shared" si="12"/>
        <v>25.900000000000002</v>
      </c>
      <c r="AG28" s="115"/>
      <c r="AH28" s="86">
        <f t="shared" si="2"/>
        <v>787.01699999999994</v>
      </c>
      <c r="AI28" s="86">
        <f t="shared" si="6"/>
        <v>790.07399999999996</v>
      </c>
      <c r="AJ28" s="86" t="str">
        <f t="shared" si="3"/>
        <v>NAOI</v>
      </c>
      <c r="AK28" s="93">
        <f t="shared" si="16"/>
        <v>787.01699999999994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5"/>
        <v>0</v>
      </c>
    </row>
    <row r="29" spans="1:42" ht="15.75" x14ac:dyDescent="0.25">
      <c r="A29" s="94">
        <f t="shared" si="0"/>
        <v>26.410000000000004</v>
      </c>
      <c r="B29" s="95">
        <f t="shared" si="1"/>
        <v>785.31699999999989</v>
      </c>
      <c r="C29" s="96" t="str">
        <f t="shared" si="5"/>
        <v/>
      </c>
      <c r="D29" s="184"/>
      <c r="E29" s="117">
        <v>1.2</v>
      </c>
      <c r="X29" s="107"/>
      <c r="Y29" s="108"/>
      <c r="Z29" s="109"/>
      <c r="AA29" s="110">
        <v>1.7</v>
      </c>
      <c r="AB29" s="111"/>
      <c r="AC29" s="112" t="str">
        <f t="shared" si="11"/>
        <v/>
      </c>
      <c r="AD29" s="113">
        <f t="shared" si="14"/>
        <v>785.31699999999989</v>
      </c>
      <c r="AE29" s="114">
        <v>0.51</v>
      </c>
      <c r="AF29" s="113">
        <f t="shared" si="12"/>
        <v>26.410000000000004</v>
      </c>
      <c r="AG29" s="116"/>
      <c r="AH29" s="86">
        <f t="shared" si="2"/>
        <v>787.01699999999994</v>
      </c>
      <c r="AI29" s="86">
        <f t="shared" si="6"/>
        <v>790.07399999999996</v>
      </c>
      <c r="AJ29" s="86" t="str">
        <f t="shared" si="3"/>
        <v>NAOI</v>
      </c>
      <c r="AK29" s="93">
        <f t="shared" si="16"/>
        <v>787.01699999999994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5"/>
        <v>0</v>
      </c>
    </row>
    <row r="30" spans="1:42" ht="15.75" x14ac:dyDescent="0.25">
      <c r="A30" s="94">
        <f t="shared" si="0"/>
        <v>27.180000000000003</v>
      </c>
      <c r="B30" s="95">
        <f t="shared" si="1"/>
        <v>785.17699999999991</v>
      </c>
      <c r="C30" s="96" t="str">
        <f t="shared" si="5"/>
        <v/>
      </c>
      <c r="D30" s="184"/>
      <c r="E30" s="117">
        <v>0.8</v>
      </c>
      <c r="X30" s="107"/>
      <c r="Y30" s="108"/>
      <c r="Z30" s="109"/>
      <c r="AA30" s="110">
        <v>1.84</v>
      </c>
      <c r="AB30" s="111"/>
      <c r="AC30" s="112" t="str">
        <f t="shared" si="11"/>
        <v/>
      </c>
      <c r="AD30" s="113">
        <f t="shared" si="14"/>
        <v>785.17699999999991</v>
      </c>
      <c r="AE30" s="114">
        <v>0.77</v>
      </c>
      <c r="AF30" s="113">
        <f t="shared" si="12"/>
        <v>27.180000000000003</v>
      </c>
      <c r="AG30" s="115"/>
      <c r="AH30" s="86">
        <f t="shared" si="2"/>
        <v>787.01699999999994</v>
      </c>
      <c r="AI30" s="86">
        <f t="shared" si="6"/>
        <v>790.07399999999996</v>
      </c>
      <c r="AJ30" s="86" t="str">
        <f t="shared" si="3"/>
        <v>NAOI</v>
      </c>
      <c r="AK30" s="93">
        <f t="shared" si="16"/>
        <v>787.01699999999994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5"/>
        <v>0</v>
      </c>
    </row>
    <row r="31" spans="1:42" ht="15.75" x14ac:dyDescent="0.25">
      <c r="A31" s="94">
        <f t="shared" ref="A31:A39" si="17">AF31</f>
        <v>27.680000000000003</v>
      </c>
      <c r="B31" s="95">
        <f t="shared" ref="B31:B39" si="18">AD31</f>
        <v>785.17699999999991</v>
      </c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>
        <v>1.84</v>
      </c>
      <c r="AB31" s="111"/>
      <c r="AC31" s="112" t="str">
        <f t="shared" si="11"/>
        <v/>
      </c>
      <c r="AD31" s="113">
        <f t="shared" si="14"/>
        <v>785.17699999999991</v>
      </c>
      <c r="AE31" s="114">
        <v>0.5</v>
      </c>
      <c r="AF31" s="113">
        <f t="shared" si="12"/>
        <v>27.680000000000003</v>
      </c>
      <c r="AG31" s="118"/>
      <c r="AH31" s="86">
        <f t="shared" si="2"/>
        <v>790.07399999999996</v>
      </c>
      <c r="AI31" s="86">
        <f t="shared" si="6"/>
        <v>790.07399999999996</v>
      </c>
      <c r="AJ31" s="86" t="str">
        <f t="shared" si="3"/>
        <v>NAOI</v>
      </c>
      <c r="AK31" s="93">
        <f t="shared" si="16"/>
        <v>787.01699999999994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5"/>
        <v>0</v>
      </c>
    </row>
    <row r="32" spans="1:42" ht="15.75" x14ac:dyDescent="0.25">
      <c r="A32" s="94">
        <f t="shared" si="17"/>
        <v>27.680000000000003</v>
      </c>
      <c r="B32" s="95">
        <f t="shared" si="18"/>
        <v>787.02699999999993</v>
      </c>
      <c r="C32" s="96" t="str">
        <f t="shared" si="5"/>
        <v>NAOD</v>
      </c>
      <c r="D32" s="184"/>
      <c r="E32" s="117">
        <v>0.35</v>
      </c>
      <c r="X32" s="107"/>
      <c r="Y32" s="108"/>
      <c r="Z32" s="109"/>
      <c r="AA32" s="110">
        <v>3.0470000000000002</v>
      </c>
      <c r="AB32" s="111"/>
      <c r="AC32" s="112" t="str">
        <f t="shared" si="11"/>
        <v/>
      </c>
      <c r="AD32" s="113">
        <f t="shared" si="14"/>
        <v>787.02699999999993</v>
      </c>
      <c r="AE32" s="114">
        <v>0</v>
      </c>
      <c r="AF32" s="113">
        <f t="shared" si="12"/>
        <v>27.680000000000003</v>
      </c>
      <c r="AG32" s="115" t="s">
        <v>10</v>
      </c>
      <c r="AH32" s="86">
        <f t="shared" si="2"/>
        <v>790.07399999999996</v>
      </c>
      <c r="AI32" s="86">
        <f t="shared" si="6"/>
        <v>790.07399999999996</v>
      </c>
      <c r="AJ32" s="86" t="str">
        <f t="shared" si="3"/>
        <v>NAOD</v>
      </c>
      <c r="AK32" s="93">
        <f t="shared" si="16"/>
        <v>787.02699999999993</v>
      </c>
      <c r="AL32" s="86" t="str">
        <f t="shared" si="7"/>
        <v/>
      </c>
      <c r="AM32" s="93" t="str">
        <f t="shared" si="8"/>
        <v/>
      </c>
      <c r="AN32" s="86">
        <f t="shared" si="9"/>
        <v>787.02699999999993</v>
      </c>
      <c r="AO32" s="86">
        <f t="shared" si="10"/>
        <v>27.680000000000003</v>
      </c>
      <c r="AP32" s="86">
        <f t="shared" si="15"/>
        <v>0</v>
      </c>
    </row>
    <row r="33" spans="1:42" ht="15.75" x14ac:dyDescent="0.25">
      <c r="A33" s="94">
        <f t="shared" si="17"/>
        <v>29.680000000000003</v>
      </c>
      <c r="B33" s="95">
        <f t="shared" si="18"/>
        <v>787.23699999999997</v>
      </c>
      <c r="C33" s="96" t="str">
        <f t="shared" si="5"/>
        <v/>
      </c>
      <c r="D33" s="184"/>
      <c r="X33" s="107"/>
      <c r="Y33" s="108"/>
      <c r="Z33" s="109"/>
      <c r="AA33" s="110">
        <v>2.8370000000000002</v>
      </c>
      <c r="AB33" s="111"/>
      <c r="AC33" s="112" t="str">
        <f t="shared" si="11"/>
        <v/>
      </c>
      <c r="AD33" s="113">
        <f t="shared" si="14"/>
        <v>787.23699999999997</v>
      </c>
      <c r="AE33" s="114">
        <v>2</v>
      </c>
      <c r="AF33" s="113">
        <f t="shared" si="12"/>
        <v>29.680000000000003</v>
      </c>
      <c r="AG33" s="115"/>
      <c r="AH33" s="86">
        <f t="shared" si="2"/>
        <v>790.07399999999996</v>
      </c>
      <c r="AI33" s="86">
        <f t="shared" si="6"/>
        <v>790.07399999999996</v>
      </c>
      <c r="AJ33" s="86" t="str">
        <f t="shared" si="3"/>
        <v>NAOD</v>
      </c>
      <c r="AK33" s="93">
        <f t="shared" si="16"/>
        <v>787.23699999999997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5"/>
        <v>0</v>
      </c>
    </row>
    <row r="34" spans="1:42" ht="15.75" x14ac:dyDescent="0.25">
      <c r="A34" s="94">
        <f t="shared" si="17"/>
        <v>30.680000000000003</v>
      </c>
      <c r="B34" s="95">
        <f t="shared" si="18"/>
        <v>788.06</v>
      </c>
      <c r="C34" s="96" t="str">
        <f t="shared" si="5"/>
        <v/>
      </c>
      <c r="D34" s="184"/>
      <c r="X34" s="107"/>
      <c r="Y34" s="108"/>
      <c r="Z34" s="109"/>
      <c r="AA34" s="110">
        <v>2.0139999999999998</v>
      </c>
      <c r="AB34" s="111"/>
      <c r="AC34" s="112" t="str">
        <f t="shared" si="11"/>
        <v/>
      </c>
      <c r="AD34" s="113">
        <f t="shared" si="14"/>
        <v>788.06</v>
      </c>
      <c r="AE34" s="114">
        <v>1</v>
      </c>
      <c r="AF34" s="113">
        <f t="shared" si="12"/>
        <v>30.680000000000003</v>
      </c>
      <c r="AG34" s="115"/>
      <c r="AH34" s="86">
        <f t="shared" si="2"/>
        <v>790.07399999999996</v>
      </c>
      <c r="AI34" s="86">
        <f t="shared" si="6"/>
        <v>790.07399999999996</v>
      </c>
      <c r="AJ34" s="86" t="str">
        <f t="shared" si="3"/>
        <v>NAOD</v>
      </c>
      <c r="AK34" s="93">
        <f t="shared" si="16"/>
        <v>788.06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5"/>
        <v>0</v>
      </c>
    </row>
    <row r="35" spans="1:42" ht="15.75" x14ac:dyDescent="0.25">
      <c r="A35" s="94">
        <f t="shared" si="17"/>
        <v>31.980000000000004</v>
      </c>
      <c r="B35" s="95">
        <f t="shared" si="18"/>
        <v>788.30799999999999</v>
      </c>
      <c r="C35" s="96" t="str">
        <f t="shared" si="5"/>
        <v/>
      </c>
      <c r="D35" s="184"/>
      <c r="X35" s="107"/>
      <c r="Y35" s="108"/>
      <c r="Z35" s="109"/>
      <c r="AA35" s="110">
        <v>1.766</v>
      </c>
      <c r="AB35" s="111"/>
      <c r="AC35" s="112" t="str">
        <f t="shared" si="11"/>
        <v/>
      </c>
      <c r="AD35" s="113">
        <f t="shared" si="14"/>
        <v>788.30799999999999</v>
      </c>
      <c r="AE35" s="114">
        <v>1.3</v>
      </c>
      <c r="AF35" s="113">
        <f t="shared" si="12"/>
        <v>31.980000000000004</v>
      </c>
      <c r="AG35" s="116"/>
      <c r="AH35" s="86">
        <f t="shared" si="2"/>
        <v>790.07399999999996</v>
      </c>
      <c r="AI35" s="86">
        <f t="shared" si="6"/>
        <v>790.07399999999996</v>
      </c>
      <c r="AJ35" s="86" t="str">
        <f t="shared" si="3"/>
        <v>NAOD</v>
      </c>
      <c r="AK35" s="93">
        <f t="shared" si="16"/>
        <v>788.30799999999999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5"/>
        <v>0</v>
      </c>
    </row>
    <row r="36" spans="1:42" ht="15.75" x14ac:dyDescent="0.25">
      <c r="A36" s="94">
        <f t="shared" si="17"/>
        <v>34.180000000000007</v>
      </c>
      <c r="B36" s="95">
        <f t="shared" si="18"/>
        <v>789.76</v>
      </c>
      <c r="C36" s="96" t="str">
        <f t="shared" si="5"/>
        <v/>
      </c>
      <c r="D36" s="184"/>
      <c r="X36" s="107"/>
      <c r="Y36" s="108"/>
      <c r="Z36" s="109"/>
      <c r="AA36" s="110">
        <v>0.314</v>
      </c>
      <c r="AB36" s="111"/>
      <c r="AC36" s="112" t="str">
        <f t="shared" si="11"/>
        <v/>
      </c>
      <c r="AD36" s="113">
        <f t="shared" si="14"/>
        <v>789.76</v>
      </c>
      <c r="AE36" s="114">
        <v>2.2000000000000002</v>
      </c>
      <c r="AF36" s="113">
        <f t="shared" si="12"/>
        <v>34.180000000000007</v>
      </c>
      <c r="AG36" s="115"/>
      <c r="AH36" s="86">
        <f t="shared" si="2"/>
        <v>790.07399999999996</v>
      </c>
      <c r="AI36" s="86">
        <f t="shared" si="6"/>
        <v>790.07399999999996</v>
      </c>
      <c r="AJ36" s="86" t="str">
        <f t="shared" si="3"/>
        <v>NAOD</v>
      </c>
      <c r="AK36" s="93">
        <f t="shared" si="16"/>
        <v>789.76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5"/>
        <v>0</v>
      </c>
    </row>
    <row r="37" spans="1:42" ht="15.75" x14ac:dyDescent="0.25">
      <c r="A37" s="94">
        <f t="shared" si="17"/>
        <v>34.180000000000007</v>
      </c>
      <c r="B37" s="95">
        <f t="shared" si="18"/>
        <v>789.85699999999997</v>
      </c>
      <c r="C37" s="96" t="str">
        <f t="shared" si="5"/>
        <v/>
      </c>
      <c r="D37" s="184"/>
      <c r="X37" s="107" t="s">
        <v>48</v>
      </c>
      <c r="Y37" s="108"/>
      <c r="Z37" s="109">
        <v>2.996</v>
      </c>
      <c r="AA37" s="110"/>
      <c r="AB37" s="111">
        <v>0.217</v>
      </c>
      <c r="AC37" s="112">
        <f t="shared" si="11"/>
        <v>792.85299999999995</v>
      </c>
      <c r="AD37" s="113">
        <f t="shared" si="14"/>
        <v>789.85699999999997</v>
      </c>
      <c r="AE37" s="114">
        <v>0</v>
      </c>
      <c r="AF37" s="113">
        <f t="shared" si="12"/>
        <v>34.180000000000007</v>
      </c>
      <c r="AG37" s="115"/>
      <c r="AH37" s="86">
        <f t="shared" si="2"/>
        <v>792.85299999999995</v>
      </c>
      <c r="AI37" s="86">
        <f t="shared" si="6"/>
        <v>792.85299999999995</v>
      </c>
      <c r="AJ37" s="86" t="str">
        <f t="shared" si="3"/>
        <v>NAOD</v>
      </c>
      <c r="AK37" s="93">
        <f t="shared" si="16"/>
        <v>789.85699999999997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5"/>
        <v>0</v>
      </c>
    </row>
    <row r="38" spans="1:42" ht="15.75" x14ac:dyDescent="0.25">
      <c r="A38" s="94">
        <f t="shared" si="17"/>
        <v>34.180000000000007</v>
      </c>
      <c r="B38" s="95">
        <f t="shared" si="18"/>
        <v>791.21899999999994</v>
      </c>
      <c r="C38" s="96" t="str">
        <f t="shared" si="5"/>
        <v>PRD</v>
      </c>
      <c r="D38" s="184"/>
      <c r="X38" s="107"/>
      <c r="Y38" s="108"/>
      <c r="Z38" s="109"/>
      <c r="AA38" s="110">
        <v>1.6339999999999999</v>
      </c>
      <c r="AB38" s="111"/>
      <c r="AC38" s="112" t="str">
        <f t="shared" si="11"/>
        <v/>
      </c>
      <c r="AD38" s="113">
        <f t="shared" si="14"/>
        <v>791.21899999999994</v>
      </c>
      <c r="AE38" s="114">
        <v>0</v>
      </c>
      <c r="AF38" s="113">
        <f t="shared" si="12"/>
        <v>34.180000000000007</v>
      </c>
      <c r="AG38" s="116" t="s">
        <v>5</v>
      </c>
      <c r="AH38" s="86">
        <f t="shared" si="2"/>
        <v>792.85299999999995</v>
      </c>
      <c r="AI38" s="86">
        <f t="shared" si="6"/>
        <v>792.85299999999995</v>
      </c>
      <c r="AJ38" s="86" t="str">
        <f t="shared" si="3"/>
        <v>PRD</v>
      </c>
      <c r="AK38" s="93">
        <f t="shared" si="16"/>
        <v>791.21899999999994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5"/>
        <v>0</v>
      </c>
    </row>
    <row r="39" spans="1:42" ht="15.75" x14ac:dyDescent="0.25">
      <c r="A39" s="94">
        <f t="shared" si="17"/>
        <v>34.180000000000007</v>
      </c>
      <c r="B39" s="95">
        <f t="shared" si="18"/>
        <v>791.8599999999999</v>
      </c>
      <c r="C39" s="96" t="str">
        <f t="shared" si="5"/>
        <v xml:space="preserve">S/BM </v>
      </c>
      <c r="D39" s="184"/>
      <c r="X39" s="107"/>
      <c r="Y39" s="108"/>
      <c r="Z39" s="109"/>
      <c r="AA39" s="110">
        <v>0.99299999999999999</v>
      </c>
      <c r="AB39" s="111"/>
      <c r="AC39" s="112" t="str">
        <f t="shared" si="11"/>
        <v/>
      </c>
      <c r="AD39" s="113">
        <f t="shared" si="14"/>
        <v>791.8599999999999</v>
      </c>
      <c r="AE39" s="114">
        <v>0</v>
      </c>
      <c r="AF39" s="113">
        <f t="shared" si="12"/>
        <v>34.180000000000007</v>
      </c>
      <c r="AG39" s="115" t="s">
        <v>46</v>
      </c>
      <c r="AH39" s="86">
        <f t="shared" si="2"/>
        <v>792.85299999999995</v>
      </c>
      <c r="AI39" s="86">
        <f t="shared" si="6"/>
        <v>792.85299999999995</v>
      </c>
      <c r="AJ39" s="86" t="str">
        <f t="shared" si="3"/>
        <v xml:space="preserve">S/BM </v>
      </c>
      <c r="AK39" s="93">
        <f t="shared" si="16"/>
        <v>791.8599999999999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5"/>
        <v>0</v>
      </c>
    </row>
    <row r="40" spans="1:42" ht="15.75" x14ac:dyDescent="0.25">
      <c r="A40" s="94"/>
      <c r="B40" s="95"/>
      <c r="C40" s="96" t="str">
        <f t="shared" si="5"/>
        <v/>
      </c>
      <c r="D40" s="184"/>
      <c r="X40" s="107"/>
      <c r="Y40" s="108"/>
      <c r="Z40" s="109"/>
      <c r="AA40" s="110"/>
      <c r="AB40" s="111"/>
      <c r="AC40" s="112"/>
      <c r="AD40" s="113"/>
      <c r="AE40" s="114"/>
      <c r="AF40" s="113"/>
      <c r="AG40" s="116"/>
      <c r="AH40" s="86">
        <f t="shared" si="2"/>
        <v>0</v>
      </c>
      <c r="AI40" s="86">
        <f t="shared" si="6"/>
        <v>0</v>
      </c>
      <c r="AJ40" s="86" t="str">
        <f t="shared" si="3"/>
        <v xml:space="preserve">S/BM </v>
      </c>
      <c r="AK40" s="93">
        <f t="shared" si="16"/>
        <v>0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5"/>
        <v>0</v>
      </c>
    </row>
    <row r="41" spans="1:42" ht="15.75" x14ac:dyDescent="0.25">
      <c r="A41" s="94"/>
      <c r="B41" s="95"/>
      <c r="C41" s="96" t="str">
        <f>IF(AG41="","",AG41)</f>
        <v/>
      </c>
      <c r="D41" s="184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 xml:space="preserve">S/BM </v>
      </c>
      <c r="AK41" s="93">
        <f t="shared" si="16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5"/>
        <v>0</v>
      </c>
    </row>
    <row r="42" spans="1:42" ht="15.75" x14ac:dyDescent="0.25">
      <c r="A42" s="94"/>
      <c r="B42" s="95"/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6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5"/>
        <v>0</v>
      </c>
    </row>
    <row r="43" spans="1:42" ht="15.75" x14ac:dyDescent="0.25">
      <c r="A43" s="94"/>
      <c r="B43" s="95"/>
      <c r="C43" s="96" t="str">
        <f t="shared" si="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6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5"/>
        <v>0</v>
      </c>
    </row>
    <row r="44" spans="1:42" ht="15.75" x14ac:dyDescent="0.25">
      <c r="A44" s="94"/>
      <c r="B44" s="95"/>
      <c r="C44" s="96" t="str">
        <f t="shared" si="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6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5"/>
        <v>0</v>
      </c>
    </row>
    <row r="45" spans="1:42" ht="15.75" x14ac:dyDescent="0.25">
      <c r="A45" s="94"/>
      <c r="B45" s="95"/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6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5"/>
        <v>0</v>
      </c>
    </row>
    <row r="46" spans="1:42" ht="15.75" x14ac:dyDescent="0.25">
      <c r="A46" s="94"/>
      <c r="B46" s="95"/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6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5"/>
        <v>0</v>
      </c>
    </row>
    <row r="47" spans="1:42" ht="15.75" x14ac:dyDescent="0.25">
      <c r="A47" s="94"/>
      <c r="B47" s="95"/>
      <c r="C47" s="96" t="str">
        <f t="shared" ref="C47:C51" si="19">IF(AG47="","",AG47)</f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9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20">IF(AJ47="S/BM",1,0)</f>
        <v>0</v>
      </c>
    </row>
    <row r="49" spans="1:42" ht="15.75" x14ac:dyDescent="0.25">
      <c r="A49" s="94"/>
      <c r="B49" s="95"/>
      <c r="C49" s="96" t="str">
        <f t="shared" si="19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20"/>
        <v>0</v>
      </c>
    </row>
    <row r="50" spans="1:42" ht="15.75" x14ac:dyDescent="0.25">
      <c r="A50" s="94"/>
      <c r="B50" s="95"/>
      <c r="C50" s="96" t="str">
        <f t="shared" si="19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20"/>
        <v>0</v>
      </c>
    </row>
    <row r="51" spans="1:42" ht="16.5" thickBot="1" x14ac:dyDescent="0.3">
      <c r="A51" s="122"/>
      <c r="B51" s="123"/>
      <c r="C51" s="96" t="str">
        <f t="shared" si="19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20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11.7</v>
      </c>
      <c r="B53" s="136">
        <f>AL4</f>
        <v>787.01699999999994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27.680000000000003</v>
      </c>
      <c r="B54" s="136">
        <f>AN4</f>
        <v>787.02699999999993</v>
      </c>
      <c r="C54" s="139" t="s">
        <v>10</v>
      </c>
      <c r="D54" s="192"/>
    </row>
    <row r="55" spans="1:42" ht="20.100000000000001" customHeight="1" x14ac:dyDescent="0.2">
      <c r="A55" s="140">
        <v>25</v>
      </c>
      <c r="B55" s="141">
        <v>786.46799999999996</v>
      </c>
      <c r="C55" s="142" t="s">
        <v>8</v>
      </c>
      <c r="D55" s="192"/>
    </row>
    <row r="56" spans="1:42" ht="20.100000000000001" customHeight="1" x14ac:dyDescent="0.2">
      <c r="A56" s="140">
        <v>25</v>
      </c>
      <c r="B56" s="143">
        <f>B55+3</f>
        <v>789.46799999999996</v>
      </c>
      <c r="C56" s="142" t="s">
        <v>8</v>
      </c>
      <c r="D56" s="192"/>
    </row>
    <row r="57" spans="1:42" ht="20.100000000000001" customHeight="1" x14ac:dyDescent="0.2">
      <c r="A57" s="63">
        <v>25.5</v>
      </c>
      <c r="B57" s="143">
        <v>788.85599999999999</v>
      </c>
      <c r="C57" s="144" t="s">
        <v>2</v>
      </c>
      <c r="D57" s="192"/>
    </row>
    <row r="58" spans="1:42" ht="20.100000000000001" customHeight="1" thickBot="1" x14ac:dyDescent="0.25">
      <c r="A58" s="140">
        <v>25.5</v>
      </c>
      <c r="B58" s="143">
        <f>B57+1.5</f>
        <v>790.35599999999999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70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786.46799999999996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4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72</v>
      </c>
      <c r="C69" s="193"/>
    </row>
    <row r="70" spans="1:4" ht="14.25" x14ac:dyDescent="0.2">
      <c r="A70" s="157" t="s">
        <v>57</v>
      </c>
      <c r="B70" s="193" t="s">
        <v>73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43192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637" priority="88" stopIfTrue="1">
      <formula>$AP$47=1</formula>
    </cfRule>
  </conditionalFormatting>
  <conditionalFormatting sqref="AC46:AF46">
    <cfRule type="expression" dxfId="636" priority="87" stopIfTrue="1">
      <formula>$AP$46</formula>
    </cfRule>
  </conditionalFormatting>
  <conditionalFormatting sqref="AC50:AF50">
    <cfRule type="expression" dxfId="635" priority="86" stopIfTrue="1">
      <formula>$AP$50=1</formula>
    </cfRule>
  </conditionalFormatting>
  <conditionalFormatting sqref="AC51:AF51">
    <cfRule type="expression" dxfId="634" priority="85" stopIfTrue="1">
      <formula>$AP$51=1</formula>
    </cfRule>
  </conditionalFormatting>
  <conditionalFormatting sqref="AC49:AF49">
    <cfRule type="expression" dxfId="633" priority="84" stopIfTrue="1">
      <formula>$AP$49=1</formula>
    </cfRule>
  </conditionalFormatting>
  <conditionalFormatting sqref="AC48:AF48">
    <cfRule type="expression" dxfId="632" priority="83" stopIfTrue="1">
      <formula>$AP$48=1</formula>
    </cfRule>
  </conditionalFormatting>
  <conditionalFormatting sqref="AC45:AF45">
    <cfRule type="expression" dxfId="631" priority="82" stopIfTrue="1">
      <formula>$AP$45=1</formula>
    </cfRule>
  </conditionalFormatting>
  <conditionalFormatting sqref="AC44:AF44">
    <cfRule type="expression" dxfId="630" priority="81" stopIfTrue="1">
      <formula>$AP$44=1</formula>
    </cfRule>
  </conditionalFormatting>
  <conditionalFormatting sqref="AC43:AF43">
    <cfRule type="expression" dxfId="629" priority="80" stopIfTrue="1">
      <formula>$AP$43=1</formula>
    </cfRule>
  </conditionalFormatting>
  <conditionalFormatting sqref="AC42:AF42">
    <cfRule type="expression" dxfId="628" priority="79" stopIfTrue="1">
      <formula>$AP$42=1</formula>
    </cfRule>
  </conditionalFormatting>
  <conditionalFormatting sqref="AC41:AF41">
    <cfRule type="expression" dxfId="627" priority="78" stopIfTrue="1">
      <formula>$AP$41=1</formula>
    </cfRule>
  </conditionalFormatting>
  <conditionalFormatting sqref="AE40">
    <cfRule type="expression" dxfId="626" priority="77" stopIfTrue="1">
      <formula>$AP$40=1</formula>
    </cfRule>
  </conditionalFormatting>
  <conditionalFormatting sqref="AE39">
    <cfRule type="expression" dxfId="625" priority="76" stopIfTrue="1">
      <formula>$AP$39=1</formula>
    </cfRule>
  </conditionalFormatting>
  <conditionalFormatting sqref="AE38">
    <cfRule type="expression" dxfId="624" priority="75" stopIfTrue="1">
      <formula>$AP$38=1</formula>
    </cfRule>
  </conditionalFormatting>
  <conditionalFormatting sqref="AE37">
    <cfRule type="expression" dxfId="623" priority="74" stopIfTrue="1">
      <formula>$AP$37=1</formula>
    </cfRule>
  </conditionalFormatting>
  <conditionalFormatting sqref="AE36">
    <cfRule type="expression" dxfId="622" priority="73" stopIfTrue="1">
      <formula>$AP$36=1</formula>
    </cfRule>
  </conditionalFormatting>
  <conditionalFormatting sqref="AE35">
    <cfRule type="expression" dxfId="621" priority="71" stopIfTrue="1">
      <formula>$AP$35=1</formula>
    </cfRule>
    <cfRule type="expression" dxfId="620" priority="72" stopIfTrue="1">
      <formula>$AP$35=1</formula>
    </cfRule>
  </conditionalFormatting>
  <conditionalFormatting sqref="AE34">
    <cfRule type="expression" dxfId="619" priority="70" stopIfTrue="1">
      <formula>$AP$34=1</formula>
    </cfRule>
  </conditionalFormatting>
  <conditionalFormatting sqref="AE33">
    <cfRule type="expression" dxfId="618" priority="69" stopIfTrue="1">
      <formula>$AP$33=1</formula>
    </cfRule>
  </conditionalFormatting>
  <conditionalFormatting sqref="AE32">
    <cfRule type="expression" dxfId="617" priority="68" stopIfTrue="1">
      <formula>$AP$32=1</formula>
    </cfRule>
  </conditionalFormatting>
  <conditionalFormatting sqref="AE31">
    <cfRule type="expression" dxfId="616" priority="67" stopIfTrue="1">
      <formula>$AP$31=1</formula>
    </cfRule>
  </conditionalFormatting>
  <conditionalFormatting sqref="AC30:AF30">
    <cfRule type="expression" dxfId="615" priority="66" stopIfTrue="1">
      <formula>$AP$30</formula>
    </cfRule>
  </conditionalFormatting>
  <conditionalFormatting sqref="AC29:AD29 AF29">
    <cfRule type="expression" dxfId="614" priority="65" stopIfTrue="1">
      <formula>$AP$29=1</formula>
    </cfRule>
  </conditionalFormatting>
  <conditionalFormatting sqref="AC28:AD28 AF28">
    <cfRule type="expression" dxfId="613" priority="64" stopIfTrue="1">
      <formula>$AP$28=1</formula>
    </cfRule>
  </conditionalFormatting>
  <conditionalFormatting sqref="AC27:AD27 AF27">
    <cfRule type="expression" dxfId="612" priority="63" stopIfTrue="1">
      <formula>$AP$27=1</formula>
    </cfRule>
  </conditionalFormatting>
  <conditionalFormatting sqref="AC26:AD26 AF26">
    <cfRule type="expression" dxfId="611" priority="62" stopIfTrue="1">
      <formula>$AP$26=1</formula>
    </cfRule>
  </conditionalFormatting>
  <conditionalFormatting sqref="AC25:AD25 AF25">
    <cfRule type="expression" dxfId="610" priority="61" stopIfTrue="1">
      <formula>$AP$25=1</formula>
    </cfRule>
  </conditionalFormatting>
  <conditionalFormatting sqref="AC24:AD24 AF24">
    <cfRule type="expression" dxfId="609" priority="60" stopIfTrue="1">
      <formula>$AP$24=1</formula>
    </cfRule>
  </conditionalFormatting>
  <conditionalFormatting sqref="AC23:AD23 AF23">
    <cfRule type="expression" dxfId="608" priority="59" stopIfTrue="1">
      <formula>$AP$23=1</formula>
    </cfRule>
  </conditionalFormatting>
  <conditionalFormatting sqref="AC22:AD22 AF22">
    <cfRule type="expression" dxfId="607" priority="58" stopIfTrue="1">
      <formula>$AP$22=1</formula>
    </cfRule>
  </conditionalFormatting>
  <conditionalFormatting sqref="AC21:AD21 AF21">
    <cfRule type="expression" dxfId="606" priority="57" stopIfTrue="1">
      <formula>$AP$21=1</formula>
    </cfRule>
  </conditionalFormatting>
  <conditionalFormatting sqref="AC20:AD20 AF20">
    <cfRule type="expression" dxfId="605" priority="56" stopIfTrue="1">
      <formula>$AP$20=1</formula>
    </cfRule>
  </conditionalFormatting>
  <conditionalFormatting sqref="AC19:AD19 AF19">
    <cfRule type="expression" dxfId="604" priority="55" stopIfTrue="1">
      <formula>$AP$19=1</formula>
    </cfRule>
  </conditionalFormatting>
  <conditionalFormatting sqref="AC18:AD18 AF18">
    <cfRule type="expression" dxfId="603" priority="54" stopIfTrue="1">
      <formula>$AP$18=1</formula>
    </cfRule>
  </conditionalFormatting>
  <conditionalFormatting sqref="AC17:AD17 AF17">
    <cfRule type="expression" dxfId="602" priority="53" stopIfTrue="1">
      <formula>$AP$17=1</formula>
    </cfRule>
  </conditionalFormatting>
  <conditionalFormatting sqref="AC16:AD16 AF16">
    <cfRule type="expression" dxfId="601" priority="52" stopIfTrue="1">
      <formula>$AP$16=1</formula>
    </cfRule>
  </conditionalFormatting>
  <conditionalFormatting sqref="AC15:AD15 AF15">
    <cfRule type="expression" dxfId="600" priority="51" stopIfTrue="1">
      <formula>$AP$15=1</formula>
    </cfRule>
  </conditionalFormatting>
  <conditionalFormatting sqref="AC14:AD14 AF14">
    <cfRule type="expression" dxfId="599" priority="50" stopIfTrue="1">
      <formula>$AP$14=1</formula>
    </cfRule>
  </conditionalFormatting>
  <conditionalFormatting sqref="AC13:AD13 AF13">
    <cfRule type="expression" dxfId="598" priority="49" stopIfTrue="1">
      <formula>$AP$13=1</formula>
    </cfRule>
  </conditionalFormatting>
  <conditionalFormatting sqref="AC12:AF12 AE13:AE29">
    <cfRule type="expression" dxfId="597" priority="48" stopIfTrue="1">
      <formula>$AP$12=1</formula>
    </cfRule>
  </conditionalFormatting>
  <conditionalFormatting sqref="AC11:AF11">
    <cfRule type="expression" dxfId="596" priority="47" stopIfTrue="1">
      <formula>$AP$11=1</formula>
    </cfRule>
  </conditionalFormatting>
  <conditionalFormatting sqref="A51:B51">
    <cfRule type="expression" dxfId="595" priority="46" stopIfTrue="1">
      <formula>$AP$51=1</formula>
    </cfRule>
  </conditionalFormatting>
  <conditionalFormatting sqref="A50:B50">
    <cfRule type="expression" dxfId="594" priority="45" stopIfTrue="1">
      <formula>$AP$50=1</formula>
    </cfRule>
  </conditionalFormatting>
  <conditionalFormatting sqref="A49:B49">
    <cfRule type="expression" dxfId="593" priority="44" stopIfTrue="1">
      <formula>$AP$49=1</formula>
    </cfRule>
  </conditionalFormatting>
  <conditionalFormatting sqref="A48:B48">
    <cfRule type="expression" dxfId="592" priority="43" stopIfTrue="1">
      <formula>$AP$48=1</formula>
    </cfRule>
  </conditionalFormatting>
  <conditionalFormatting sqref="A47:B47">
    <cfRule type="expression" dxfId="591" priority="42" stopIfTrue="1">
      <formula>$AP$47=1</formula>
    </cfRule>
  </conditionalFormatting>
  <conditionalFormatting sqref="A46:B46">
    <cfRule type="expression" dxfId="590" priority="41" stopIfTrue="1">
      <formula>$AP$46=1</formula>
    </cfRule>
  </conditionalFormatting>
  <conditionalFormatting sqref="A45:B45">
    <cfRule type="expression" dxfId="589" priority="40" stopIfTrue="1">
      <formula>$AP$45=1</formula>
    </cfRule>
  </conditionalFormatting>
  <conditionalFormatting sqref="A44:B44">
    <cfRule type="expression" dxfId="588" priority="39" stopIfTrue="1">
      <formula>$AP$44=1</formula>
    </cfRule>
  </conditionalFormatting>
  <conditionalFormatting sqref="A43:B43">
    <cfRule type="expression" dxfId="587" priority="38" stopIfTrue="1">
      <formula>$AP$43=1</formula>
    </cfRule>
  </conditionalFormatting>
  <conditionalFormatting sqref="A42:B42">
    <cfRule type="expression" dxfId="586" priority="37" stopIfTrue="1">
      <formula>$AP$42=1</formula>
    </cfRule>
  </conditionalFormatting>
  <conditionalFormatting sqref="A41:B41">
    <cfRule type="expression" dxfId="585" priority="36" stopIfTrue="1">
      <formula>$AP$41=1</formula>
    </cfRule>
  </conditionalFormatting>
  <conditionalFormatting sqref="A40:B40">
    <cfRule type="expression" dxfId="584" priority="35" stopIfTrue="1">
      <formula>$AP$40=1</formula>
    </cfRule>
  </conditionalFormatting>
  <conditionalFormatting sqref="A30:B39">
    <cfRule type="expression" dxfId="583" priority="25" stopIfTrue="1">
      <formula>$AP$30=1</formula>
    </cfRule>
  </conditionalFormatting>
  <conditionalFormatting sqref="A29:B29">
    <cfRule type="expression" dxfId="582" priority="24" stopIfTrue="1">
      <formula>$AP$29=1</formula>
    </cfRule>
  </conditionalFormatting>
  <conditionalFormatting sqref="A28:B28">
    <cfRule type="expression" dxfId="581" priority="23" stopIfTrue="1">
      <formula>$AP$28=1</formula>
    </cfRule>
  </conditionalFormatting>
  <conditionalFormatting sqref="A27:B27">
    <cfRule type="expression" dxfId="580" priority="22" stopIfTrue="1">
      <formula>$AP$27=1</formula>
    </cfRule>
  </conditionalFormatting>
  <conditionalFormatting sqref="A26:B26">
    <cfRule type="expression" dxfId="579" priority="21" stopIfTrue="1">
      <formula>$AP$26=1</formula>
    </cfRule>
  </conditionalFormatting>
  <conditionalFormatting sqref="A25:B25">
    <cfRule type="expression" dxfId="578" priority="20" stopIfTrue="1">
      <formula>$AP$25=1</formula>
    </cfRule>
  </conditionalFormatting>
  <conditionalFormatting sqref="A24:B24">
    <cfRule type="expression" dxfId="577" priority="19" stopIfTrue="1">
      <formula>$AP$24=1</formula>
    </cfRule>
  </conditionalFormatting>
  <conditionalFormatting sqref="A23:B23">
    <cfRule type="expression" dxfId="576" priority="18" stopIfTrue="1">
      <formula>$AP$23=1</formula>
    </cfRule>
  </conditionalFormatting>
  <conditionalFormatting sqref="A22:B22">
    <cfRule type="expression" dxfId="575" priority="17" stopIfTrue="1">
      <formula>$AP$22=1</formula>
    </cfRule>
  </conditionalFormatting>
  <conditionalFormatting sqref="A21:B21">
    <cfRule type="expression" dxfId="574" priority="16" stopIfTrue="1">
      <formula>$AP$21=1</formula>
    </cfRule>
  </conditionalFormatting>
  <conditionalFormatting sqref="A20:B20">
    <cfRule type="expression" dxfId="573" priority="15" stopIfTrue="1">
      <formula>$AP$20=1</formula>
    </cfRule>
  </conditionalFormatting>
  <conditionalFormatting sqref="A19:B19">
    <cfRule type="expression" dxfId="572" priority="14" stopIfTrue="1">
      <formula>$AP$19=1</formula>
    </cfRule>
  </conditionalFormatting>
  <conditionalFormatting sqref="A18:B18">
    <cfRule type="expression" dxfId="571" priority="13" stopIfTrue="1">
      <formula>$AP$18=1</formula>
    </cfRule>
  </conditionalFormatting>
  <conditionalFormatting sqref="A17:B17">
    <cfRule type="expression" dxfId="570" priority="12" stopIfTrue="1">
      <formula>$AP$17=1</formula>
    </cfRule>
  </conditionalFormatting>
  <conditionalFormatting sqref="A16:B16">
    <cfRule type="expression" dxfId="569" priority="11" stopIfTrue="1">
      <formula>$AP$16=1</formula>
    </cfRule>
  </conditionalFormatting>
  <conditionalFormatting sqref="A15:B15">
    <cfRule type="expression" dxfId="568" priority="10" stopIfTrue="1">
      <formula>$AP$15=1</formula>
    </cfRule>
  </conditionalFormatting>
  <conditionalFormatting sqref="A14:B14">
    <cfRule type="expression" dxfId="567" priority="9" stopIfTrue="1">
      <formula>$AP$14=1</formula>
    </cfRule>
  </conditionalFormatting>
  <conditionalFormatting sqref="A13:B13">
    <cfRule type="expression" dxfId="566" priority="8" stopIfTrue="1">
      <formula>$AP$13=1</formula>
    </cfRule>
  </conditionalFormatting>
  <conditionalFormatting sqref="A12:B12">
    <cfRule type="expression" dxfId="565" priority="7" stopIfTrue="1">
      <formula>$AP$12=1</formula>
    </cfRule>
  </conditionalFormatting>
  <conditionalFormatting sqref="A11:B11">
    <cfRule type="expression" dxfId="564" priority="6" stopIfTrue="1">
      <formula>$AP$11=1</formula>
    </cfRule>
  </conditionalFormatting>
  <conditionalFormatting sqref="A10:B10">
    <cfRule type="expression" dxfId="563" priority="5" stopIfTrue="1">
      <formula>$AP$10=1</formula>
    </cfRule>
  </conditionalFormatting>
  <conditionalFormatting sqref="AF31">
    <cfRule type="expression" dxfId="562" priority="4" stopIfTrue="1">
      <formula>$AP$30</formula>
    </cfRule>
  </conditionalFormatting>
  <conditionalFormatting sqref="AD31:AD40">
    <cfRule type="expression" dxfId="561" priority="3" stopIfTrue="1">
      <formula>$AP$30</formula>
    </cfRule>
  </conditionalFormatting>
  <conditionalFormatting sqref="AF32:AF40">
    <cfRule type="expression" dxfId="560" priority="2" stopIfTrue="1">
      <formula>$AP$30</formula>
    </cfRule>
  </conditionalFormatting>
  <conditionalFormatting sqref="AC31:AC40">
    <cfRule type="expression" dxfId="559" priority="1" stopIfTrue="1">
      <formula>$AP$30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AP75"/>
  <sheetViews>
    <sheetView zoomScale="70" zoomScaleNormal="70" workbookViewId="0">
      <selection activeCell="AF21" sqref="AF21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76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786.71900000000005</v>
      </c>
      <c r="AM4" s="93">
        <f>SUM(AM5:AM46)</f>
        <v>13.3</v>
      </c>
      <c r="AN4" s="93">
        <f>SUM(AN5:AN46)</f>
        <v>786.71900000000005</v>
      </c>
      <c r="AO4" s="93">
        <f>SUM(AO5:AO46)</f>
        <v>26.099999999999998</v>
      </c>
      <c r="AP4" s="86"/>
    </row>
    <row r="5" spans="1:42" ht="15.75" x14ac:dyDescent="0.25">
      <c r="A5" s="94">
        <f t="shared" ref="A5:A39" si="0">AF5</f>
        <v>0</v>
      </c>
      <c r="B5" s="95">
        <f t="shared" ref="B5:B39" si="1">AD5</f>
        <v>791.86</v>
      </c>
      <c r="C5" s="96" t="str">
        <f>IF(AG5="","",AG5)</f>
        <v xml:space="preserve">S/BM </v>
      </c>
      <c r="D5" s="184"/>
      <c r="X5" s="97"/>
      <c r="Y5" s="98"/>
      <c r="Z5" s="99">
        <v>2.3639999999999999</v>
      </c>
      <c r="AA5" s="100"/>
      <c r="AB5" s="101"/>
      <c r="AC5" s="102">
        <f>IF(AA5="",AD5+Z5,"")</f>
        <v>794.22400000000005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794.22400000000005</v>
      </c>
      <c r="AI5" s="86">
        <f>IF(AA5="",AC5,AI4)</f>
        <v>794.22400000000005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793.84900000000005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0.375</v>
      </c>
      <c r="AB6" s="111"/>
      <c r="AC6" s="112" t="str">
        <f>IF(AA6="",AD6+Z6,"")</f>
        <v/>
      </c>
      <c r="AD6" s="113">
        <f>IF(AA6="",AH5-AB6,AH5-AA6)</f>
        <v>793.84900000000005</v>
      </c>
      <c r="AE6" s="114">
        <v>0</v>
      </c>
      <c r="AF6" s="113">
        <f>AE6</f>
        <v>0</v>
      </c>
      <c r="AG6" s="115" t="s">
        <v>4</v>
      </c>
      <c r="AH6" s="86">
        <f t="shared" si="2"/>
        <v>794.22400000000005</v>
      </c>
      <c r="AI6" s="86">
        <f t="shared" ref="AI6:AI46" si="6">IF(AA6="",AC6,AI5)</f>
        <v>794.22400000000005</v>
      </c>
      <c r="AJ6" s="86" t="str">
        <f t="shared" si="3"/>
        <v>PRI</v>
      </c>
      <c r="AK6" s="93">
        <f t="shared" si="4"/>
        <v>793.84900000000005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2</v>
      </c>
      <c r="B7" s="95">
        <f t="shared" si="1"/>
        <v>791.75300000000004</v>
      </c>
      <c r="C7" s="96" t="str">
        <f t="shared" si="5"/>
        <v/>
      </c>
      <c r="D7" s="184"/>
      <c r="X7" s="107"/>
      <c r="Y7" s="108"/>
      <c r="Z7" s="109"/>
      <c r="AA7" s="110">
        <v>2.4710000000000001</v>
      </c>
      <c r="AB7" s="111"/>
      <c r="AC7" s="112" t="str">
        <f t="shared" ref="AC7:AC39" si="11">IF(AA7="",AD7+Z7,"")</f>
        <v/>
      </c>
      <c r="AD7" s="113">
        <f>IF(AA7="",AH6-AB7,AH6-AA7)</f>
        <v>791.75300000000004</v>
      </c>
      <c r="AE7" s="114">
        <v>2</v>
      </c>
      <c r="AF7" s="113">
        <f t="shared" ref="AF7:AF40" si="12">+AF6+AE7</f>
        <v>2</v>
      </c>
      <c r="AG7" s="116"/>
      <c r="AH7" s="86">
        <f t="shared" si="2"/>
        <v>794.22400000000005</v>
      </c>
      <c r="AI7" s="86">
        <f t="shared" si="6"/>
        <v>794.22400000000005</v>
      </c>
      <c r="AJ7" s="86" t="str">
        <f t="shared" si="3"/>
        <v>PRI</v>
      </c>
      <c r="AK7" s="93">
        <f t="shared" si="4"/>
        <v>791.75300000000004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2</v>
      </c>
      <c r="B8" s="95">
        <f t="shared" si="1"/>
        <v>790.15700000000004</v>
      </c>
      <c r="C8" s="96" t="str">
        <f t="shared" si="5"/>
        <v/>
      </c>
      <c r="D8" s="184"/>
      <c r="X8" s="107" t="s">
        <v>47</v>
      </c>
      <c r="Y8" s="108"/>
      <c r="Z8" s="109">
        <v>0.48899999999999999</v>
      </c>
      <c r="AA8" s="110"/>
      <c r="AB8" s="111">
        <v>4.0670000000000002</v>
      </c>
      <c r="AC8" s="112">
        <f t="shared" si="11"/>
        <v>790.64600000000007</v>
      </c>
      <c r="AD8" s="113">
        <f>IF(AA8="",AH7-AB8,AH7-AA8)</f>
        <v>790.15700000000004</v>
      </c>
      <c r="AE8" s="114">
        <v>0</v>
      </c>
      <c r="AF8" s="113">
        <f t="shared" si="12"/>
        <v>2</v>
      </c>
      <c r="AG8" s="116"/>
      <c r="AH8" s="86">
        <f t="shared" si="2"/>
        <v>790.64600000000007</v>
      </c>
      <c r="AI8" s="86">
        <f t="shared" si="6"/>
        <v>790.64600000000007</v>
      </c>
      <c r="AJ8" s="86" t="str">
        <f t="shared" si="3"/>
        <v>PRI</v>
      </c>
      <c r="AK8" s="93">
        <f t="shared" si="4"/>
        <v>790.15700000000004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4</v>
      </c>
      <c r="B9" s="95">
        <f t="shared" si="1"/>
        <v>790.4430000000001</v>
      </c>
      <c r="C9" s="96" t="str">
        <f t="shared" si="5"/>
        <v/>
      </c>
      <c r="D9" s="184"/>
      <c r="X9" s="107"/>
      <c r="Y9" s="108"/>
      <c r="Z9" s="109"/>
      <c r="AA9" s="110">
        <v>0.20300000000000001</v>
      </c>
      <c r="AB9" s="111"/>
      <c r="AC9" s="112" t="str">
        <f t="shared" si="11"/>
        <v/>
      </c>
      <c r="AD9" s="113">
        <f>IF(AA9="",AH8-AB9,AH8-AA9)</f>
        <v>790.4430000000001</v>
      </c>
      <c r="AE9" s="114">
        <v>2</v>
      </c>
      <c r="AF9" s="113">
        <f t="shared" si="12"/>
        <v>4</v>
      </c>
      <c r="AG9" s="115"/>
      <c r="AH9" s="86">
        <f t="shared" si="2"/>
        <v>790.64600000000007</v>
      </c>
      <c r="AI9" s="86">
        <f t="shared" si="6"/>
        <v>790.64600000000007</v>
      </c>
      <c r="AJ9" s="86" t="str">
        <f t="shared" si="3"/>
        <v>PRI</v>
      </c>
      <c r="AK9" s="93">
        <f t="shared" si="4"/>
        <v>790.4430000000001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7</v>
      </c>
      <c r="B10" s="95">
        <f t="shared" si="1"/>
        <v>788.43300000000011</v>
      </c>
      <c r="C10" s="96" t="str">
        <f t="shared" si="5"/>
        <v/>
      </c>
      <c r="D10" s="184"/>
      <c r="E10" s="84">
        <f>(B12+B35)/2</f>
        <v>788.49650000000008</v>
      </c>
      <c r="X10" s="107"/>
      <c r="Y10" s="108"/>
      <c r="Z10" s="109"/>
      <c r="AA10" s="110">
        <v>2.2130000000000001</v>
      </c>
      <c r="AB10" s="111"/>
      <c r="AC10" s="112" t="str">
        <f t="shared" si="11"/>
        <v/>
      </c>
      <c r="AD10" s="113">
        <f t="shared" ref="AD10:AD40" si="13">IF(AJ9="S/BM",AD9,IF(AA10="",AH9-AB10,AH9-AA10))</f>
        <v>788.43300000000011</v>
      </c>
      <c r="AE10" s="114">
        <v>3</v>
      </c>
      <c r="AF10" s="113">
        <f t="shared" si="12"/>
        <v>7</v>
      </c>
      <c r="AG10" s="115"/>
      <c r="AH10" s="86">
        <f t="shared" si="2"/>
        <v>790.64600000000007</v>
      </c>
      <c r="AI10" s="86">
        <f t="shared" si="6"/>
        <v>790.64600000000007</v>
      </c>
      <c r="AJ10" s="86" t="str">
        <f t="shared" si="3"/>
        <v>PRI</v>
      </c>
      <c r="AK10" s="93">
        <f t="shared" si="4"/>
        <v>788.43300000000011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8.3000000000000007</v>
      </c>
      <c r="B11" s="95">
        <f t="shared" si="1"/>
        <v>787.74700000000007</v>
      </c>
      <c r="C11" s="96" t="str">
        <f t="shared" si="5"/>
        <v/>
      </c>
      <c r="D11" s="184"/>
      <c r="E11" s="117">
        <v>0.33</v>
      </c>
      <c r="X11" s="107"/>
      <c r="Y11" s="108"/>
      <c r="Z11" s="109"/>
      <c r="AA11" s="110">
        <v>2.899</v>
      </c>
      <c r="AB11" s="111"/>
      <c r="AC11" s="112" t="str">
        <f t="shared" si="11"/>
        <v/>
      </c>
      <c r="AD11" s="113">
        <f t="shared" si="13"/>
        <v>787.74700000000007</v>
      </c>
      <c r="AE11" s="114">
        <v>1.3</v>
      </c>
      <c r="AF11" s="113">
        <f t="shared" si="12"/>
        <v>8.3000000000000007</v>
      </c>
      <c r="AG11" s="115"/>
      <c r="AH11" s="86">
        <f t="shared" si="2"/>
        <v>790.64600000000007</v>
      </c>
      <c r="AI11" s="86">
        <f t="shared" si="6"/>
        <v>790.64600000000007</v>
      </c>
      <c r="AJ11" s="86" t="str">
        <f t="shared" si="3"/>
        <v>PRI</v>
      </c>
      <c r="AK11" s="93">
        <f t="shared" si="4"/>
        <v>787.74700000000007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12.3</v>
      </c>
      <c r="B12" s="95">
        <f t="shared" si="1"/>
        <v>787.51200000000006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3.1339999999999999</v>
      </c>
      <c r="AB12" s="111"/>
      <c r="AC12" s="112" t="str">
        <f>IF(AA12="",AD12+Z12,"")</f>
        <v/>
      </c>
      <c r="AD12" s="113">
        <f t="shared" si="13"/>
        <v>787.51200000000006</v>
      </c>
      <c r="AE12" s="114">
        <v>4</v>
      </c>
      <c r="AF12" s="113">
        <f t="shared" si="12"/>
        <v>12.3</v>
      </c>
      <c r="AG12" s="115"/>
      <c r="AH12" s="86">
        <f t="shared" si="2"/>
        <v>790.64600000000007</v>
      </c>
      <c r="AI12" s="86">
        <f t="shared" si="6"/>
        <v>790.64600000000007</v>
      </c>
      <c r="AJ12" s="86" t="str">
        <f t="shared" si="3"/>
        <v>PRI</v>
      </c>
      <c r="AK12" s="93">
        <f t="shared" si="4"/>
        <v>787.51200000000006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13.3</v>
      </c>
      <c r="B13" s="95">
        <f t="shared" si="1"/>
        <v>786.71900000000005</v>
      </c>
      <c r="C13" s="96" t="str">
        <f t="shared" si="5"/>
        <v>NAOI</v>
      </c>
      <c r="D13" s="184"/>
      <c r="E13" s="117">
        <v>0.35</v>
      </c>
      <c r="X13" s="107"/>
      <c r="Y13" s="108"/>
      <c r="Z13" s="109"/>
      <c r="AA13" s="110">
        <v>3.927</v>
      </c>
      <c r="AB13" s="111"/>
      <c r="AC13" s="112" t="str">
        <f t="shared" si="11"/>
        <v/>
      </c>
      <c r="AD13" s="113">
        <f t="shared" si="13"/>
        <v>786.71900000000005</v>
      </c>
      <c r="AE13" s="114">
        <v>1</v>
      </c>
      <c r="AF13" s="113">
        <f t="shared" si="12"/>
        <v>13.3</v>
      </c>
      <c r="AG13" s="115" t="s">
        <v>9</v>
      </c>
      <c r="AH13" s="86">
        <f t="shared" si="2"/>
        <v>786.71900000000005</v>
      </c>
      <c r="AI13" s="86">
        <f t="shared" si="6"/>
        <v>790.64600000000007</v>
      </c>
      <c r="AJ13" s="86" t="str">
        <f t="shared" si="3"/>
        <v>NAOI</v>
      </c>
      <c r="AK13" s="93">
        <f t="shared" si="4"/>
        <v>786.71900000000005</v>
      </c>
      <c r="AL13" s="86">
        <f t="shared" si="7"/>
        <v>786.71900000000005</v>
      </c>
      <c r="AM13" s="93">
        <f t="shared" si="8"/>
        <v>13.3</v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16.3</v>
      </c>
      <c r="B14" s="95">
        <f t="shared" si="1"/>
        <v>785.99900000000002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0.72</v>
      </c>
      <c r="AB14" s="111"/>
      <c r="AC14" s="112" t="str">
        <f t="shared" si="11"/>
        <v/>
      </c>
      <c r="AD14" s="113">
        <f t="shared" si="13"/>
        <v>785.99900000000002</v>
      </c>
      <c r="AE14" s="114">
        <v>3</v>
      </c>
      <c r="AF14" s="113">
        <f t="shared" si="12"/>
        <v>16.3</v>
      </c>
      <c r="AG14" s="116"/>
      <c r="AH14" s="86">
        <f t="shared" si="2"/>
        <v>786.71900000000005</v>
      </c>
      <c r="AI14" s="86">
        <f t="shared" si="6"/>
        <v>790.64600000000007</v>
      </c>
      <c r="AJ14" s="86" t="str">
        <f t="shared" si="3"/>
        <v>NAOI</v>
      </c>
      <c r="AK14" s="93">
        <f>IF(AND(AJ14="NAOI",AJ13="NAOI"),AK13,AD14)</f>
        <v>786.71900000000005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16.89</v>
      </c>
      <c r="B15" s="95">
        <f t="shared" si="1"/>
        <v>785.93900000000008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0.78</v>
      </c>
      <c r="AB15" s="111"/>
      <c r="AC15" s="112" t="str">
        <f t="shared" si="11"/>
        <v/>
      </c>
      <c r="AD15" s="113">
        <f t="shared" si="13"/>
        <v>785.93900000000008</v>
      </c>
      <c r="AE15" s="114">
        <v>0.59</v>
      </c>
      <c r="AF15" s="113">
        <f t="shared" si="12"/>
        <v>16.89</v>
      </c>
      <c r="AG15" s="115"/>
      <c r="AH15" s="86">
        <f t="shared" si="2"/>
        <v>786.71900000000005</v>
      </c>
      <c r="AI15" s="86">
        <f t="shared" si="6"/>
        <v>790.64600000000007</v>
      </c>
      <c r="AJ15" s="86" t="str">
        <f t="shared" si="3"/>
        <v>NAOI</v>
      </c>
      <c r="AK15" s="93">
        <f>IF(AND(AJ15="NAOI",AJ14="NAOI"),AK14,AD15)</f>
        <v>786.71900000000005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17.32</v>
      </c>
      <c r="B16" s="95">
        <f t="shared" si="1"/>
        <v>785.83900000000006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0.88</v>
      </c>
      <c r="AB16" s="111"/>
      <c r="AC16" s="112" t="str">
        <f t="shared" si="11"/>
        <v/>
      </c>
      <c r="AD16" s="113">
        <f t="shared" si="13"/>
        <v>785.83900000000006</v>
      </c>
      <c r="AE16" s="114">
        <v>0.43</v>
      </c>
      <c r="AF16" s="113">
        <f t="shared" si="12"/>
        <v>17.32</v>
      </c>
      <c r="AG16" s="118"/>
      <c r="AH16" s="86">
        <f t="shared" si="2"/>
        <v>786.71900000000005</v>
      </c>
      <c r="AI16" s="86">
        <f t="shared" si="6"/>
        <v>790.64600000000007</v>
      </c>
      <c r="AJ16" s="86" t="str">
        <f t="shared" si="3"/>
        <v>NAOI</v>
      </c>
      <c r="AK16" s="93">
        <f>IF(AND(AJ16="NAOI",AJ15="NAOI"),AK15,AD16)</f>
        <v>786.71900000000005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17.760000000000002</v>
      </c>
      <c r="B17" s="95">
        <f t="shared" si="1"/>
        <v>785.70900000000006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1.01</v>
      </c>
      <c r="AB17" s="111"/>
      <c r="AC17" s="112" t="str">
        <f t="shared" si="11"/>
        <v/>
      </c>
      <c r="AD17" s="113">
        <f t="shared" si="13"/>
        <v>785.70900000000006</v>
      </c>
      <c r="AE17" s="114">
        <v>0.44</v>
      </c>
      <c r="AF17" s="113">
        <f t="shared" si="12"/>
        <v>17.760000000000002</v>
      </c>
      <c r="AG17" s="118"/>
      <c r="AH17" s="86">
        <f t="shared" si="2"/>
        <v>786.71900000000005</v>
      </c>
      <c r="AI17" s="86">
        <f t="shared" si="6"/>
        <v>790.64600000000007</v>
      </c>
      <c r="AJ17" s="86" t="str">
        <f t="shared" si="3"/>
        <v>NAOI</v>
      </c>
      <c r="AK17" s="93">
        <f t="shared" ref="AK17:AK46" si="15">IF(AND(AJ17="NAOI",AJ16="NAOI"),AK16,AD17)</f>
        <v>786.71900000000005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18.39</v>
      </c>
      <c r="B18" s="95">
        <f t="shared" si="1"/>
        <v>785.50900000000001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1.21</v>
      </c>
      <c r="AB18" s="111"/>
      <c r="AC18" s="112" t="str">
        <f t="shared" si="11"/>
        <v/>
      </c>
      <c r="AD18" s="113">
        <f t="shared" si="13"/>
        <v>785.50900000000001</v>
      </c>
      <c r="AE18" s="114">
        <v>0.63</v>
      </c>
      <c r="AF18" s="113">
        <f t="shared" si="12"/>
        <v>18.39</v>
      </c>
      <c r="AG18" s="118"/>
      <c r="AH18" s="86">
        <f t="shared" si="2"/>
        <v>786.71900000000005</v>
      </c>
      <c r="AI18" s="86">
        <f t="shared" si="6"/>
        <v>790.64600000000007</v>
      </c>
      <c r="AJ18" s="86" t="str">
        <f t="shared" si="3"/>
        <v>NAOI</v>
      </c>
      <c r="AK18" s="93">
        <f t="shared" si="15"/>
        <v>786.71900000000005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18.75</v>
      </c>
      <c r="B19" s="95">
        <f t="shared" si="1"/>
        <v>785.5390000000001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1.18</v>
      </c>
      <c r="AB19" s="111"/>
      <c r="AC19" s="112" t="str">
        <f t="shared" si="11"/>
        <v/>
      </c>
      <c r="AD19" s="113">
        <f t="shared" si="13"/>
        <v>785.5390000000001</v>
      </c>
      <c r="AE19" s="114">
        <v>0.36</v>
      </c>
      <c r="AF19" s="113">
        <f t="shared" si="12"/>
        <v>18.75</v>
      </c>
      <c r="AG19" s="118"/>
      <c r="AH19" s="86">
        <f t="shared" si="2"/>
        <v>786.71900000000005</v>
      </c>
      <c r="AI19" s="86">
        <f t="shared" si="6"/>
        <v>790.64600000000007</v>
      </c>
      <c r="AJ19" s="86" t="str">
        <f t="shared" si="3"/>
        <v>NAOI</v>
      </c>
      <c r="AK19" s="93">
        <f t="shared" si="15"/>
        <v>786.71900000000005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19.190000000000001</v>
      </c>
      <c r="B20" s="95">
        <f t="shared" si="1"/>
        <v>785.63900000000001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1.08</v>
      </c>
      <c r="AB20" s="111"/>
      <c r="AC20" s="112" t="str">
        <f t="shared" si="11"/>
        <v/>
      </c>
      <c r="AD20" s="113">
        <f t="shared" si="13"/>
        <v>785.63900000000001</v>
      </c>
      <c r="AE20" s="114">
        <v>0.44</v>
      </c>
      <c r="AF20" s="113">
        <f t="shared" si="12"/>
        <v>19.190000000000001</v>
      </c>
      <c r="AG20" s="118"/>
      <c r="AH20" s="86">
        <f t="shared" si="2"/>
        <v>786.71900000000005</v>
      </c>
      <c r="AI20" s="86">
        <f t="shared" si="6"/>
        <v>790.64600000000007</v>
      </c>
      <c r="AJ20" s="86" t="str">
        <f t="shared" si="3"/>
        <v>NAOI</v>
      </c>
      <c r="AK20" s="93">
        <f t="shared" si="15"/>
        <v>786.71900000000005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19.690000000000001</v>
      </c>
      <c r="B21" s="95">
        <f t="shared" si="1"/>
        <v>785.81900000000007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0.9</v>
      </c>
      <c r="AB21" s="111"/>
      <c r="AC21" s="112" t="str">
        <f t="shared" si="11"/>
        <v/>
      </c>
      <c r="AD21" s="113">
        <f t="shared" si="13"/>
        <v>785.81900000000007</v>
      </c>
      <c r="AE21" s="114">
        <v>0.5</v>
      </c>
      <c r="AF21" s="113">
        <f t="shared" si="12"/>
        <v>19.690000000000001</v>
      </c>
      <c r="AG21" s="118"/>
      <c r="AH21" s="86">
        <f t="shared" si="2"/>
        <v>786.71900000000005</v>
      </c>
      <c r="AI21" s="86">
        <f t="shared" si="6"/>
        <v>790.64600000000007</v>
      </c>
      <c r="AJ21" s="86" t="str">
        <f t="shared" si="3"/>
        <v>NAOI</v>
      </c>
      <c r="AK21" s="93">
        <f t="shared" si="15"/>
        <v>786.71900000000005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20.330000000000002</v>
      </c>
      <c r="B22" s="95">
        <f t="shared" si="1"/>
        <v>785.71900000000005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1</v>
      </c>
      <c r="AB22" s="111"/>
      <c r="AC22" s="112" t="str">
        <f t="shared" si="11"/>
        <v/>
      </c>
      <c r="AD22" s="113">
        <f t="shared" si="13"/>
        <v>785.71900000000005</v>
      </c>
      <c r="AE22" s="114">
        <v>0.64</v>
      </c>
      <c r="AF22" s="113">
        <f t="shared" si="12"/>
        <v>20.330000000000002</v>
      </c>
      <c r="AG22" s="118"/>
      <c r="AH22" s="86">
        <f t="shared" si="2"/>
        <v>786.71900000000005</v>
      </c>
      <c r="AI22" s="86">
        <f t="shared" si="6"/>
        <v>790.64600000000007</v>
      </c>
      <c r="AJ22" s="86" t="str">
        <f t="shared" si="3"/>
        <v>NAOI</v>
      </c>
      <c r="AK22" s="93">
        <f t="shared" si="15"/>
        <v>786.71900000000005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20.76</v>
      </c>
      <c r="B23" s="95">
        <f t="shared" si="1"/>
        <v>785.43900000000008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1.28</v>
      </c>
      <c r="AB23" s="111"/>
      <c r="AC23" s="112" t="str">
        <f t="shared" si="11"/>
        <v/>
      </c>
      <c r="AD23" s="113">
        <f t="shared" si="13"/>
        <v>785.43900000000008</v>
      </c>
      <c r="AE23" s="114">
        <v>0.43</v>
      </c>
      <c r="AF23" s="113">
        <f t="shared" si="12"/>
        <v>20.76</v>
      </c>
      <c r="AG23" s="118"/>
      <c r="AH23" s="86">
        <f t="shared" si="2"/>
        <v>786.71900000000005</v>
      </c>
      <c r="AI23" s="86">
        <f t="shared" si="6"/>
        <v>790.64600000000007</v>
      </c>
      <c r="AJ23" s="86" t="str">
        <f t="shared" si="3"/>
        <v>NAOI</v>
      </c>
      <c r="AK23" s="93">
        <f t="shared" si="15"/>
        <v>786.71900000000005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21.180000000000003</v>
      </c>
      <c r="B24" s="95">
        <f t="shared" si="1"/>
        <v>785.20900000000006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1.51</v>
      </c>
      <c r="AB24" s="111"/>
      <c r="AC24" s="112" t="str">
        <f t="shared" si="11"/>
        <v/>
      </c>
      <c r="AD24" s="113">
        <f t="shared" si="13"/>
        <v>785.20900000000006</v>
      </c>
      <c r="AE24" s="114">
        <v>0.42</v>
      </c>
      <c r="AF24" s="113">
        <f t="shared" si="12"/>
        <v>21.180000000000003</v>
      </c>
      <c r="AG24" s="118"/>
      <c r="AH24" s="86">
        <f t="shared" si="2"/>
        <v>786.71900000000005</v>
      </c>
      <c r="AI24" s="86">
        <f t="shared" si="6"/>
        <v>790.64600000000007</v>
      </c>
      <c r="AJ24" s="86" t="str">
        <f t="shared" si="3"/>
        <v>NAOI</v>
      </c>
      <c r="AK24" s="93">
        <f t="shared" si="15"/>
        <v>786.71900000000005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21.930000000000003</v>
      </c>
      <c r="B25" s="95">
        <f t="shared" si="1"/>
        <v>785.12900000000002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1.59</v>
      </c>
      <c r="AB25" s="111"/>
      <c r="AC25" s="112" t="str">
        <f t="shared" si="11"/>
        <v/>
      </c>
      <c r="AD25" s="113">
        <f t="shared" si="13"/>
        <v>785.12900000000002</v>
      </c>
      <c r="AE25" s="114">
        <v>0.75</v>
      </c>
      <c r="AF25" s="113">
        <f t="shared" si="12"/>
        <v>21.930000000000003</v>
      </c>
      <c r="AG25" s="118"/>
      <c r="AH25" s="86">
        <f t="shared" si="2"/>
        <v>786.71900000000005</v>
      </c>
      <c r="AI25" s="86">
        <f t="shared" si="6"/>
        <v>790.64600000000007</v>
      </c>
      <c r="AJ25" s="86" t="str">
        <f t="shared" si="3"/>
        <v>NAOI</v>
      </c>
      <c r="AK25" s="93">
        <f t="shared" si="15"/>
        <v>786.71900000000005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22.26</v>
      </c>
      <c r="B26" s="95">
        <f t="shared" si="1"/>
        <v>784.93900000000008</v>
      </c>
      <c r="C26" s="96" t="str">
        <f t="shared" si="5"/>
        <v/>
      </c>
      <c r="D26" s="184"/>
      <c r="E26" s="117">
        <v>1.7</v>
      </c>
      <c r="X26" s="107"/>
      <c r="Y26" s="108"/>
      <c r="Z26" s="109"/>
      <c r="AA26" s="110">
        <v>1.78</v>
      </c>
      <c r="AB26" s="111"/>
      <c r="AC26" s="112" t="str">
        <f t="shared" si="11"/>
        <v/>
      </c>
      <c r="AD26" s="113">
        <f t="shared" si="13"/>
        <v>784.93900000000008</v>
      </c>
      <c r="AE26" s="114">
        <v>0.33</v>
      </c>
      <c r="AF26" s="113">
        <f t="shared" si="12"/>
        <v>22.26</v>
      </c>
      <c r="AG26" s="115"/>
      <c r="AH26" s="86">
        <f t="shared" si="2"/>
        <v>786.71900000000005</v>
      </c>
      <c r="AI26" s="86">
        <f t="shared" si="6"/>
        <v>790.64600000000007</v>
      </c>
      <c r="AJ26" s="86" t="str">
        <f t="shared" si="3"/>
        <v>NAOI</v>
      </c>
      <c r="AK26" s="93">
        <f t="shared" si="15"/>
        <v>786.71900000000005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22.82</v>
      </c>
      <c r="B27" s="95">
        <f t="shared" si="1"/>
        <v>784.72900000000004</v>
      </c>
      <c r="C27" s="96" t="str">
        <f t="shared" si="5"/>
        <v/>
      </c>
      <c r="D27" s="184"/>
      <c r="E27" s="117">
        <v>1.7</v>
      </c>
      <c r="X27" s="107"/>
      <c r="Y27" s="108"/>
      <c r="Z27" s="109"/>
      <c r="AA27" s="110">
        <v>1.99</v>
      </c>
      <c r="AB27" s="111"/>
      <c r="AC27" s="112" t="str">
        <f t="shared" si="11"/>
        <v/>
      </c>
      <c r="AD27" s="113">
        <f t="shared" si="13"/>
        <v>784.72900000000004</v>
      </c>
      <c r="AE27" s="114">
        <v>0.56000000000000005</v>
      </c>
      <c r="AF27" s="113">
        <f t="shared" si="12"/>
        <v>22.82</v>
      </c>
      <c r="AG27" s="115"/>
      <c r="AH27" s="86">
        <f t="shared" si="2"/>
        <v>786.71900000000005</v>
      </c>
      <c r="AI27" s="86">
        <f t="shared" si="6"/>
        <v>790.64600000000007</v>
      </c>
      <c r="AJ27" s="86" t="str">
        <f t="shared" si="3"/>
        <v>NAOI</v>
      </c>
      <c r="AK27" s="93">
        <f t="shared" si="15"/>
        <v>786.71900000000005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23.16</v>
      </c>
      <c r="B28" s="95">
        <f t="shared" si="1"/>
        <v>784.6690000000001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2.0499999999999998</v>
      </c>
      <c r="AB28" s="111"/>
      <c r="AC28" s="112" t="str">
        <f t="shared" si="11"/>
        <v/>
      </c>
      <c r="AD28" s="113">
        <f t="shared" si="13"/>
        <v>784.6690000000001</v>
      </c>
      <c r="AE28" s="114">
        <v>0.34</v>
      </c>
      <c r="AF28" s="113">
        <f t="shared" si="12"/>
        <v>23.16</v>
      </c>
      <c r="AG28" s="115"/>
      <c r="AH28" s="86">
        <f t="shared" si="2"/>
        <v>786.71900000000005</v>
      </c>
      <c r="AI28" s="86">
        <f t="shared" si="6"/>
        <v>790.64600000000007</v>
      </c>
      <c r="AJ28" s="86" t="str">
        <f t="shared" si="3"/>
        <v>NAOI</v>
      </c>
      <c r="AK28" s="93">
        <f t="shared" si="15"/>
        <v>786.71900000000005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23.81</v>
      </c>
      <c r="B29" s="95">
        <f t="shared" si="1"/>
        <v>784.15900000000011</v>
      </c>
      <c r="C29" s="96" t="str">
        <f t="shared" si="5"/>
        <v/>
      </c>
      <c r="D29" s="184"/>
      <c r="E29" s="117">
        <v>1.2</v>
      </c>
      <c r="X29" s="107"/>
      <c r="Y29" s="108"/>
      <c r="Z29" s="109"/>
      <c r="AA29" s="110">
        <v>2.56</v>
      </c>
      <c r="AB29" s="111"/>
      <c r="AC29" s="112" t="str">
        <f t="shared" si="11"/>
        <v/>
      </c>
      <c r="AD29" s="113">
        <f t="shared" si="13"/>
        <v>784.15900000000011</v>
      </c>
      <c r="AE29" s="114">
        <v>0.65</v>
      </c>
      <c r="AF29" s="113">
        <f t="shared" si="12"/>
        <v>23.81</v>
      </c>
      <c r="AG29" s="116"/>
      <c r="AH29" s="86">
        <f t="shared" si="2"/>
        <v>786.71900000000005</v>
      </c>
      <c r="AI29" s="86">
        <f t="shared" si="6"/>
        <v>790.64600000000007</v>
      </c>
      <c r="AJ29" s="86" t="str">
        <f t="shared" si="3"/>
        <v>NAOI</v>
      </c>
      <c r="AK29" s="93">
        <f t="shared" si="15"/>
        <v>786.71900000000005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24.189999999999998</v>
      </c>
      <c r="B30" s="95">
        <f t="shared" si="1"/>
        <v>784.279</v>
      </c>
      <c r="C30" s="96" t="str">
        <f t="shared" si="5"/>
        <v/>
      </c>
      <c r="D30" s="184"/>
      <c r="E30" s="117">
        <v>0.8</v>
      </c>
      <c r="X30" s="107"/>
      <c r="Y30" s="108"/>
      <c r="Z30" s="109"/>
      <c r="AA30" s="110">
        <v>2.44</v>
      </c>
      <c r="AB30" s="111"/>
      <c r="AC30" s="112" t="str">
        <f t="shared" si="11"/>
        <v/>
      </c>
      <c r="AD30" s="113">
        <f t="shared" si="13"/>
        <v>784.279</v>
      </c>
      <c r="AE30" s="114">
        <v>0.38</v>
      </c>
      <c r="AF30" s="113">
        <f t="shared" si="12"/>
        <v>24.189999999999998</v>
      </c>
      <c r="AG30" s="115"/>
      <c r="AH30" s="86">
        <f t="shared" si="2"/>
        <v>786.71900000000005</v>
      </c>
      <c r="AI30" s="86">
        <f t="shared" si="6"/>
        <v>790.64600000000007</v>
      </c>
      <c r="AJ30" s="86" t="str">
        <f t="shared" si="3"/>
        <v>NAOI</v>
      </c>
      <c r="AK30" s="93">
        <f t="shared" si="15"/>
        <v>786.71900000000005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24.83</v>
      </c>
      <c r="B31" s="95">
        <f t="shared" si="1"/>
        <v>784.55900000000008</v>
      </c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>
        <v>2.16</v>
      </c>
      <c r="AB31" s="111"/>
      <c r="AC31" s="112" t="str">
        <f t="shared" si="11"/>
        <v/>
      </c>
      <c r="AD31" s="113">
        <f t="shared" si="13"/>
        <v>784.55900000000008</v>
      </c>
      <c r="AE31" s="114">
        <v>0.64</v>
      </c>
      <c r="AF31" s="113">
        <f t="shared" si="12"/>
        <v>24.83</v>
      </c>
      <c r="AG31" s="118"/>
      <c r="AH31" s="86">
        <f t="shared" si="2"/>
        <v>786.71900000000005</v>
      </c>
      <c r="AI31" s="86">
        <f t="shared" si="6"/>
        <v>790.64600000000007</v>
      </c>
      <c r="AJ31" s="86" t="str">
        <f t="shared" si="3"/>
        <v>NAOI</v>
      </c>
      <c r="AK31" s="93">
        <f t="shared" si="15"/>
        <v>786.71900000000005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25.11</v>
      </c>
      <c r="B32" s="95">
        <f t="shared" si="1"/>
        <v>784.86900000000003</v>
      </c>
      <c r="C32" s="96" t="str">
        <f t="shared" si="5"/>
        <v/>
      </c>
      <c r="D32" s="184"/>
      <c r="E32" s="117">
        <v>0.35</v>
      </c>
      <c r="X32" s="107"/>
      <c r="Y32" s="108"/>
      <c r="Z32" s="109"/>
      <c r="AA32" s="110">
        <v>1.85</v>
      </c>
      <c r="AB32" s="111"/>
      <c r="AC32" s="112" t="str">
        <f t="shared" si="11"/>
        <v/>
      </c>
      <c r="AD32" s="113">
        <f t="shared" si="13"/>
        <v>784.86900000000003</v>
      </c>
      <c r="AE32" s="114">
        <v>0.28000000000000003</v>
      </c>
      <c r="AF32" s="113">
        <f t="shared" si="12"/>
        <v>25.11</v>
      </c>
      <c r="AG32" s="115"/>
      <c r="AH32" s="86">
        <f t="shared" si="2"/>
        <v>786.71900000000005</v>
      </c>
      <c r="AI32" s="86">
        <f t="shared" si="6"/>
        <v>790.64600000000007</v>
      </c>
      <c r="AJ32" s="86" t="str">
        <f t="shared" si="3"/>
        <v>NAOI</v>
      </c>
      <c r="AK32" s="93">
        <f t="shared" si="15"/>
        <v>786.71900000000005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26.099999999999998</v>
      </c>
      <c r="B33" s="95">
        <f t="shared" si="1"/>
        <v>784.9190000000001</v>
      </c>
      <c r="C33" s="96" t="str">
        <f t="shared" si="5"/>
        <v/>
      </c>
      <c r="D33" s="184"/>
      <c r="X33" s="107"/>
      <c r="Y33" s="108"/>
      <c r="Z33" s="109"/>
      <c r="AA33" s="110">
        <v>1.8</v>
      </c>
      <c r="AB33" s="111"/>
      <c r="AC33" s="112" t="str">
        <f t="shared" si="11"/>
        <v/>
      </c>
      <c r="AD33" s="113">
        <f t="shared" si="13"/>
        <v>784.9190000000001</v>
      </c>
      <c r="AE33" s="114">
        <v>0.99</v>
      </c>
      <c r="AF33" s="113">
        <f t="shared" si="12"/>
        <v>26.099999999999998</v>
      </c>
      <c r="AG33" s="115"/>
      <c r="AH33" s="86">
        <f t="shared" si="2"/>
        <v>790.64600000000007</v>
      </c>
      <c r="AI33" s="86">
        <f t="shared" si="6"/>
        <v>790.64600000000007</v>
      </c>
      <c r="AJ33" s="86" t="str">
        <f t="shared" si="3"/>
        <v>NAOI</v>
      </c>
      <c r="AK33" s="93">
        <f t="shared" si="15"/>
        <v>786.71900000000005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26.099999999999998</v>
      </c>
      <c r="B34" s="95">
        <f t="shared" si="1"/>
        <v>786.71900000000005</v>
      </c>
      <c r="C34" s="96" t="str">
        <f t="shared" si="5"/>
        <v>NAOD</v>
      </c>
      <c r="D34" s="184"/>
      <c r="X34" s="107"/>
      <c r="Y34" s="108"/>
      <c r="Z34" s="109"/>
      <c r="AA34" s="110">
        <v>3.927</v>
      </c>
      <c r="AB34" s="111"/>
      <c r="AC34" s="112" t="str">
        <f t="shared" si="11"/>
        <v/>
      </c>
      <c r="AD34" s="113">
        <f t="shared" si="13"/>
        <v>786.71900000000005</v>
      </c>
      <c r="AE34" s="114">
        <v>0</v>
      </c>
      <c r="AF34" s="113">
        <f t="shared" si="12"/>
        <v>26.099999999999998</v>
      </c>
      <c r="AG34" s="115" t="s">
        <v>10</v>
      </c>
      <c r="AH34" s="86">
        <f t="shared" si="2"/>
        <v>790.64600000000007</v>
      </c>
      <c r="AI34" s="86">
        <f t="shared" si="6"/>
        <v>790.64600000000007</v>
      </c>
      <c r="AJ34" s="86" t="str">
        <f t="shared" si="3"/>
        <v>NAOD</v>
      </c>
      <c r="AK34" s="93">
        <f t="shared" si="15"/>
        <v>786.71900000000005</v>
      </c>
      <c r="AL34" s="86" t="str">
        <f t="shared" si="7"/>
        <v/>
      </c>
      <c r="AM34" s="93" t="str">
        <f t="shared" si="8"/>
        <v/>
      </c>
      <c r="AN34" s="86">
        <f t="shared" si="9"/>
        <v>786.71900000000005</v>
      </c>
      <c r="AO34" s="86">
        <f t="shared" si="10"/>
        <v>26.099999999999998</v>
      </c>
      <c r="AP34" s="86">
        <f t="shared" si="14"/>
        <v>0</v>
      </c>
    </row>
    <row r="35" spans="1:42" ht="15.75" x14ac:dyDescent="0.25">
      <c r="A35" s="94">
        <f t="shared" si="0"/>
        <v>26.099999999999998</v>
      </c>
      <c r="B35" s="95">
        <f t="shared" si="1"/>
        <v>789.48100000000011</v>
      </c>
      <c r="C35" s="96" t="str">
        <f t="shared" si="5"/>
        <v/>
      </c>
      <c r="D35" s="184"/>
      <c r="X35" s="107" t="s">
        <v>48</v>
      </c>
      <c r="Y35" s="108"/>
      <c r="Z35" s="109">
        <v>4.6820000000000004</v>
      </c>
      <c r="AA35" s="110"/>
      <c r="AB35" s="111">
        <v>1.165</v>
      </c>
      <c r="AC35" s="112">
        <f t="shared" si="11"/>
        <v>794.16300000000012</v>
      </c>
      <c r="AD35" s="113">
        <f t="shared" si="13"/>
        <v>789.48100000000011</v>
      </c>
      <c r="AE35" s="114">
        <v>0</v>
      </c>
      <c r="AF35" s="113">
        <f t="shared" si="12"/>
        <v>26.099999999999998</v>
      </c>
      <c r="AG35" s="116"/>
      <c r="AH35" s="86">
        <f t="shared" si="2"/>
        <v>794.16300000000012</v>
      </c>
      <c r="AI35" s="86">
        <f t="shared" si="6"/>
        <v>794.16300000000012</v>
      </c>
      <c r="AJ35" s="86" t="str">
        <f t="shared" si="3"/>
        <v>NAOD</v>
      </c>
      <c r="AK35" s="93">
        <f t="shared" si="15"/>
        <v>789.48100000000011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>
        <f t="shared" si="0"/>
        <v>26.099999999999998</v>
      </c>
      <c r="B36" s="95">
        <f t="shared" si="1"/>
        <v>789.50000000000011</v>
      </c>
      <c r="C36" s="96" t="str">
        <f t="shared" si="5"/>
        <v/>
      </c>
      <c r="D36" s="184"/>
      <c r="X36" s="107"/>
      <c r="Y36" s="108"/>
      <c r="Z36" s="109"/>
      <c r="AA36" s="110">
        <v>4.6630000000000003</v>
      </c>
      <c r="AB36" s="111"/>
      <c r="AC36" s="112" t="str">
        <f t="shared" si="11"/>
        <v/>
      </c>
      <c r="AD36" s="113">
        <f t="shared" si="13"/>
        <v>789.50000000000011</v>
      </c>
      <c r="AE36" s="114">
        <v>0</v>
      </c>
      <c r="AF36" s="113">
        <f t="shared" si="12"/>
        <v>26.099999999999998</v>
      </c>
      <c r="AG36" s="115"/>
      <c r="AH36" s="86">
        <f t="shared" si="2"/>
        <v>794.16300000000012</v>
      </c>
      <c r="AI36" s="86">
        <f t="shared" si="6"/>
        <v>794.16300000000012</v>
      </c>
      <c r="AJ36" s="86" t="str">
        <f t="shared" si="3"/>
        <v>NAOD</v>
      </c>
      <c r="AK36" s="93">
        <f t="shared" si="15"/>
        <v>789.50000000000011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>
        <f t="shared" si="0"/>
        <v>27.099999999999998</v>
      </c>
      <c r="B37" s="95">
        <f t="shared" si="1"/>
        <v>789.76200000000017</v>
      </c>
      <c r="C37" s="96" t="str">
        <f t="shared" si="5"/>
        <v/>
      </c>
      <c r="D37" s="184"/>
      <c r="X37" s="107"/>
      <c r="Y37" s="108"/>
      <c r="Z37" s="109"/>
      <c r="AA37" s="110">
        <v>4.4009999999999998</v>
      </c>
      <c r="AB37" s="111"/>
      <c r="AC37" s="112" t="str">
        <f t="shared" si="11"/>
        <v/>
      </c>
      <c r="AD37" s="113">
        <f t="shared" si="13"/>
        <v>789.76200000000017</v>
      </c>
      <c r="AE37" s="114">
        <v>1</v>
      </c>
      <c r="AF37" s="113">
        <f t="shared" si="12"/>
        <v>27.099999999999998</v>
      </c>
      <c r="AG37" s="115"/>
      <c r="AH37" s="86">
        <f t="shared" si="2"/>
        <v>794.16300000000012</v>
      </c>
      <c r="AI37" s="86">
        <f t="shared" si="6"/>
        <v>794.16300000000012</v>
      </c>
      <c r="AJ37" s="86" t="str">
        <f t="shared" si="3"/>
        <v>NAOD</v>
      </c>
      <c r="AK37" s="93">
        <f t="shared" si="15"/>
        <v>789.76200000000017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>
        <f t="shared" si="0"/>
        <v>29.099999999999998</v>
      </c>
      <c r="B38" s="95">
        <f t="shared" si="1"/>
        <v>791.70100000000014</v>
      </c>
      <c r="C38" s="96" t="str">
        <f t="shared" si="5"/>
        <v/>
      </c>
      <c r="D38" s="184"/>
      <c r="X38" s="107"/>
      <c r="Y38" s="108"/>
      <c r="Z38" s="109"/>
      <c r="AA38" s="110">
        <v>2.4620000000000002</v>
      </c>
      <c r="AB38" s="111"/>
      <c r="AC38" s="112" t="str">
        <f t="shared" si="11"/>
        <v/>
      </c>
      <c r="AD38" s="113">
        <f t="shared" si="13"/>
        <v>791.70100000000014</v>
      </c>
      <c r="AE38" s="114">
        <v>2</v>
      </c>
      <c r="AF38" s="113">
        <f t="shared" si="12"/>
        <v>29.099999999999998</v>
      </c>
      <c r="AG38" s="116"/>
      <c r="AH38" s="86">
        <f t="shared" si="2"/>
        <v>794.16300000000012</v>
      </c>
      <c r="AI38" s="86">
        <f t="shared" si="6"/>
        <v>794.16300000000012</v>
      </c>
      <c r="AJ38" s="86" t="str">
        <f t="shared" si="3"/>
        <v>NAOD</v>
      </c>
      <c r="AK38" s="93">
        <f t="shared" si="15"/>
        <v>791.70100000000014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>
        <f t="shared" si="0"/>
        <v>31.099999999999998</v>
      </c>
      <c r="B39" s="95">
        <f t="shared" si="1"/>
        <v>793.63000000000011</v>
      </c>
      <c r="C39" s="96" t="str">
        <f t="shared" si="5"/>
        <v>PRD</v>
      </c>
      <c r="D39" s="184"/>
      <c r="X39" s="107"/>
      <c r="Y39" s="108"/>
      <c r="Z39" s="109"/>
      <c r="AA39" s="110">
        <v>0.53300000000000003</v>
      </c>
      <c r="AB39" s="111"/>
      <c r="AC39" s="112" t="str">
        <f t="shared" si="11"/>
        <v/>
      </c>
      <c r="AD39" s="113">
        <f t="shared" si="13"/>
        <v>793.63000000000011</v>
      </c>
      <c r="AE39" s="114">
        <v>2</v>
      </c>
      <c r="AF39" s="113">
        <f t="shared" si="12"/>
        <v>31.099999999999998</v>
      </c>
      <c r="AG39" s="115" t="s">
        <v>5</v>
      </c>
      <c r="AH39" s="86">
        <f t="shared" si="2"/>
        <v>794.16300000000012</v>
      </c>
      <c r="AI39" s="86">
        <f t="shared" si="6"/>
        <v>794.16300000000012</v>
      </c>
      <c r="AJ39" s="86" t="str">
        <f t="shared" si="3"/>
        <v>PRD</v>
      </c>
      <c r="AK39" s="93">
        <f t="shared" si="15"/>
        <v>793.63000000000011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5"/>
        <v xml:space="preserve">S/BM </v>
      </c>
      <c r="D40" s="184"/>
      <c r="X40" s="107"/>
      <c r="Y40" s="108"/>
      <c r="Z40" s="109"/>
      <c r="AA40" s="110">
        <v>2.3029999999999999</v>
      </c>
      <c r="AB40" s="111"/>
      <c r="AC40" s="112"/>
      <c r="AD40" s="113">
        <f t="shared" si="13"/>
        <v>791.86000000000013</v>
      </c>
      <c r="AE40" s="114">
        <v>0</v>
      </c>
      <c r="AF40" s="113">
        <f t="shared" si="12"/>
        <v>31.099999999999998</v>
      </c>
      <c r="AG40" s="115" t="s">
        <v>46</v>
      </c>
      <c r="AH40" s="86">
        <f t="shared" si="2"/>
        <v>794.16300000000012</v>
      </c>
      <c r="AI40" s="86">
        <f t="shared" si="6"/>
        <v>794.16300000000012</v>
      </c>
      <c r="AJ40" s="86" t="str">
        <f t="shared" si="3"/>
        <v xml:space="preserve">S/BM </v>
      </c>
      <c r="AK40" s="93">
        <f t="shared" si="15"/>
        <v>791.86000000000013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 t="str">
        <f>IF(AG41="","",AG41)</f>
        <v/>
      </c>
      <c r="D41" s="184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 xml:space="preserve">S/BM </v>
      </c>
      <c r="AK41" s="93">
        <f t="shared" si="15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6">IF(AG47="","",AG47)</f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6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/>
      <c r="B49" s="95"/>
      <c r="C49" s="96" t="str">
        <f t="shared" si="16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/>
      <c r="B50" s="95"/>
      <c r="C50" s="96" t="str">
        <f t="shared" si="16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/>
      <c r="B51" s="123"/>
      <c r="C51" s="96" t="str">
        <f t="shared" si="16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13.3</v>
      </c>
      <c r="B53" s="136">
        <f>AL4</f>
        <v>786.71900000000005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26.099999999999998</v>
      </c>
      <c r="B54" s="136">
        <f>AN4</f>
        <v>786.71900000000005</v>
      </c>
      <c r="C54" s="139" t="s">
        <v>10</v>
      </c>
      <c r="D54" s="192"/>
    </row>
    <row r="55" spans="1:42" ht="20.100000000000001" customHeight="1" x14ac:dyDescent="0.2">
      <c r="A55" s="140">
        <v>25.4</v>
      </c>
      <c r="B55" s="141">
        <v>786.476</v>
      </c>
      <c r="C55" s="142" t="s">
        <v>8</v>
      </c>
      <c r="D55" s="192"/>
    </row>
    <row r="56" spans="1:42" ht="20.100000000000001" customHeight="1" x14ac:dyDescent="0.2">
      <c r="A56" s="140">
        <v>25.4</v>
      </c>
      <c r="B56" s="143">
        <f>B55+3</f>
        <v>789.476</v>
      </c>
      <c r="C56" s="142" t="s">
        <v>8</v>
      </c>
      <c r="D56" s="192"/>
    </row>
    <row r="57" spans="1:42" ht="20.100000000000001" customHeight="1" x14ac:dyDescent="0.2">
      <c r="A57" s="63">
        <v>25.8</v>
      </c>
      <c r="B57" s="143">
        <v>788.85599999999999</v>
      </c>
      <c r="C57" s="144" t="s">
        <v>2</v>
      </c>
      <c r="D57" s="192"/>
    </row>
    <row r="58" spans="1:42" ht="20.100000000000001" customHeight="1" thickBot="1" x14ac:dyDescent="0.25">
      <c r="A58" s="140">
        <v>25.8</v>
      </c>
      <c r="B58" s="143">
        <f>B57+1.5</f>
        <v>790.35599999999999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77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786.476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5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75</v>
      </c>
      <c r="C69" s="193"/>
    </row>
    <row r="70" spans="1:4" ht="14.25" x14ac:dyDescent="0.2">
      <c r="A70" s="157" t="s">
        <v>57</v>
      </c>
      <c r="B70" s="193" t="s">
        <v>75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43381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AN3:AO3"/>
    <mergeCell ref="D53:D58"/>
    <mergeCell ref="B66:C66"/>
    <mergeCell ref="B67:C67"/>
    <mergeCell ref="B68:C68"/>
    <mergeCell ref="B69:C69"/>
    <mergeCell ref="B70:C70"/>
    <mergeCell ref="B71:C71"/>
    <mergeCell ref="B72:C72"/>
    <mergeCell ref="AL3:AM3"/>
  </mergeCells>
  <conditionalFormatting sqref="AC47:AF47">
    <cfRule type="expression" dxfId="558" priority="79" stopIfTrue="1">
      <formula>$AP$47=1</formula>
    </cfRule>
  </conditionalFormatting>
  <conditionalFormatting sqref="AC46:AF46">
    <cfRule type="expression" dxfId="557" priority="78" stopIfTrue="1">
      <formula>$AP$46</formula>
    </cfRule>
  </conditionalFormatting>
  <conditionalFormatting sqref="AC50:AF50">
    <cfRule type="expression" dxfId="556" priority="77" stopIfTrue="1">
      <formula>$AP$50=1</formula>
    </cfRule>
  </conditionalFormatting>
  <conditionalFormatting sqref="AC51:AF51">
    <cfRule type="expression" dxfId="555" priority="76" stopIfTrue="1">
      <formula>$AP$51=1</formula>
    </cfRule>
  </conditionalFormatting>
  <conditionalFormatting sqref="AC49:AF49">
    <cfRule type="expression" dxfId="554" priority="75" stopIfTrue="1">
      <formula>$AP$49=1</formula>
    </cfRule>
  </conditionalFormatting>
  <conditionalFormatting sqref="AC48:AF48">
    <cfRule type="expression" dxfId="553" priority="74" stopIfTrue="1">
      <formula>$AP$48=1</formula>
    </cfRule>
  </conditionalFormatting>
  <conditionalFormatting sqref="AC45:AF45">
    <cfRule type="expression" dxfId="552" priority="73" stopIfTrue="1">
      <formula>$AP$45=1</formula>
    </cfRule>
  </conditionalFormatting>
  <conditionalFormatting sqref="AC44:AF44">
    <cfRule type="expression" dxfId="551" priority="72" stopIfTrue="1">
      <formula>$AP$44=1</formula>
    </cfRule>
  </conditionalFormatting>
  <conditionalFormatting sqref="AC43:AF43">
    <cfRule type="expression" dxfId="550" priority="71" stopIfTrue="1">
      <formula>$AP$43=1</formula>
    </cfRule>
  </conditionalFormatting>
  <conditionalFormatting sqref="AC42:AF42">
    <cfRule type="expression" dxfId="549" priority="70" stopIfTrue="1">
      <formula>$AP$42=1</formula>
    </cfRule>
  </conditionalFormatting>
  <conditionalFormatting sqref="AC41:AF41">
    <cfRule type="expression" dxfId="548" priority="69" stopIfTrue="1">
      <formula>$AP$41=1</formula>
    </cfRule>
  </conditionalFormatting>
  <conditionalFormatting sqref="AE40">
    <cfRule type="expression" dxfId="547" priority="68" stopIfTrue="1">
      <formula>$AP$40=1</formula>
    </cfRule>
  </conditionalFormatting>
  <conditionalFormatting sqref="AE39">
    <cfRule type="expression" dxfId="546" priority="67" stopIfTrue="1">
      <formula>$AP$39=1</formula>
    </cfRule>
  </conditionalFormatting>
  <conditionalFormatting sqref="AE38">
    <cfRule type="expression" dxfId="545" priority="66" stopIfTrue="1">
      <formula>$AP$38=1</formula>
    </cfRule>
  </conditionalFormatting>
  <conditionalFormatting sqref="AE37">
    <cfRule type="expression" dxfId="544" priority="65" stopIfTrue="1">
      <formula>$AP$37=1</formula>
    </cfRule>
  </conditionalFormatting>
  <conditionalFormatting sqref="AE36">
    <cfRule type="expression" dxfId="543" priority="64" stopIfTrue="1">
      <formula>$AP$36=1</formula>
    </cfRule>
  </conditionalFormatting>
  <conditionalFormatting sqref="AE35">
    <cfRule type="expression" dxfId="542" priority="62" stopIfTrue="1">
      <formula>$AP$35=1</formula>
    </cfRule>
    <cfRule type="expression" dxfId="541" priority="63" stopIfTrue="1">
      <formula>$AP$35=1</formula>
    </cfRule>
  </conditionalFormatting>
  <conditionalFormatting sqref="AE34">
    <cfRule type="expression" dxfId="540" priority="61" stopIfTrue="1">
      <formula>$AP$34=1</formula>
    </cfRule>
  </conditionalFormatting>
  <conditionalFormatting sqref="AE33">
    <cfRule type="expression" dxfId="539" priority="60" stopIfTrue="1">
      <formula>$AP$33=1</formula>
    </cfRule>
  </conditionalFormatting>
  <conditionalFormatting sqref="AE32">
    <cfRule type="expression" dxfId="538" priority="59" stopIfTrue="1">
      <formula>$AP$32=1</formula>
    </cfRule>
  </conditionalFormatting>
  <conditionalFormatting sqref="AE31">
    <cfRule type="expression" dxfId="537" priority="58" stopIfTrue="1">
      <formula>$AP$31=1</formula>
    </cfRule>
  </conditionalFormatting>
  <conditionalFormatting sqref="AC30:AF30">
    <cfRule type="expression" dxfId="536" priority="57" stopIfTrue="1">
      <formula>$AP$30</formula>
    </cfRule>
  </conditionalFormatting>
  <conditionalFormatting sqref="AC29:AD29 AF29">
    <cfRule type="expression" dxfId="535" priority="56" stopIfTrue="1">
      <formula>$AP$29=1</formula>
    </cfRule>
  </conditionalFormatting>
  <conditionalFormatting sqref="AC28:AD28 AF28">
    <cfRule type="expression" dxfId="534" priority="55" stopIfTrue="1">
      <formula>$AP$28=1</formula>
    </cfRule>
  </conditionalFormatting>
  <conditionalFormatting sqref="AC27:AD27 AF27">
    <cfRule type="expression" dxfId="533" priority="54" stopIfTrue="1">
      <formula>$AP$27=1</formula>
    </cfRule>
  </conditionalFormatting>
  <conditionalFormatting sqref="AC26:AD26 AF26">
    <cfRule type="expression" dxfId="532" priority="53" stopIfTrue="1">
      <formula>$AP$26=1</formula>
    </cfRule>
  </conditionalFormatting>
  <conditionalFormatting sqref="AC25:AD25 AF25">
    <cfRule type="expression" dxfId="531" priority="52" stopIfTrue="1">
      <formula>$AP$25=1</formula>
    </cfRule>
  </conditionalFormatting>
  <conditionalFormatting sqref="AC24:AD24 AF24">
    <cfRule type="expression" dxfId="530" priority="51" stopIfTrue="1">
      <formula>$AP$24=1</formula>
    </cfRule>
  </conditionalFormatting>
  <conditionalFormatting sqref="AC23:AD23 AF23">
    <cfRule type="expression" dxfId="529" priority="50" stopIfTrue="1">
      <formula>$AP$23=1</formula>
    </cfRule>
  </conditionalFormatting>
  <conditionalFormatting sqref="AC22:AD22 AF22">
    <cfRule type="expression" dxfId="528" priority="49" stopIfTrue="1">
      <formula>$AP$22=1</formula>
    </cfRule>
  </conditionalFormatting>
  <conditionalFormatting sqref="AC21:AD21 AF21">
    <cfRule type="expression" dxfId="527" priority="48" stopIfTrue="1">
      <formula>$AP$21=1</formula>
    </cfRule>
  </conditionalFormatting>
  <conditionalFormatting sqref="AC20:AD20 AF20">
    <cfRule type="expression" dxfId="526" priority="47" stopIfTrue="1">
      <formula>$AP$20=1</formula>
    </cfRule>
  </conditionalFormatting>
  <conditionalFormatting sqref="AC19:AD19 AF19">
    <cfRule type="expression" dxfId="525" priority="46" stopIfTrue="1">
      <formula>$AP$19=1</formula>
    </cfRule>
  </conditionalFormatting>
  <conditionalFormatting sqref="AC18:AD18 AF18">
    <cfRule type="expression" dxfId="524" priority="45" stopIfTrue="1">
      <formula>$AP$18=1</formula>
    </cfRule>
  </conditionalFormatting>
  <conditionalFormatting sqref="AC17:AD17 AF17">
    <cfRule type="expression" dxfId="523" priority="44" stopIfTrue="1">
      <formula>$AP$17=1</formula>
    </cfRule>
  </conditionalFormatting>
  <conditionalFormatting sqref="AC16:AD16 AF16">
    <cfRule type="expression" dxfId="522" priority="43" stopIfTrue="1">
      <formula>$AP$16=1</formula>
    </cfRule>
  </conditionalFormatting>
  <conditionalFormatting sqref="AC15:AD15 AF15">
    <cfRule type="expression" dxfId="521" priority="42" stopIfTrue="1">
      <formula>$AP$15=1</formula>
    </cfRule>
  </conditionalFormatting>
  <conditionalFormatting sqref="AC14:AD14 AF14">
    <cfRule type="expression" dxfId="520" priority="41" stopIfTrue="1">
      <formula>$AP$14=1</formula>
    </cfRule>
  </conditionalFormatting>
  <conditionalFormatting sqref="AC13:AD13 AF13">
    <cfRule type="expression" dxfId="519" priority="40" stopIfTrue="1">
      <formula>$AP$13=1</formula>
    </cfRule>
  </conditionalFormatting>
  <conditionalFormatting sqref="AC12:AF12 AE13:AE29">
    <cfRule type="expression" dxfId="518" priority="39" stopIfTrue="1">
      <formula>$AP$12=1</formula>
    </cfRule>
  </conditionalFormatting>
  <conditionalFormatting sqref="AC11:AF11">
    <cfRule type="expression" dxfId="517" priority="38" stopIfTrue="1">
      <formula>$AP$11=1</formula>
    </cfRule>
  </conditionalFormatting>
  <conditionalFormatting sqref="A51:B51">
    <cfRule type="expression" dxfId="516" priority="37" stopIfTrue="1">
      <formula>$AP$51=1</formula>
    </cfRule>
  </conditionalFormatting>
  <conditionalFormatting sqref="A50:B50">
    <cfRule type="expression" dxfId="515" priority="36" stopIfTrue="1">
      <formula>$AP$50=1</formula>
    </cfRule>
  </conditionalFormatting>
  <conditionalFormatting sqref="A49:B49">
    <cfRule type="expression" dxfId="514" priority="35" stopIfTrue="1">
      <formula>$AP$49=1</formula>
    </cfRule>
  </conditionalFormatting>
  <conditionalFormatting sqref="A48:B48">
    <cfRule type="expression" dxfId="513" priority="34" stopIfTrue="1">
      <formula>$AP$48=1</formula>
    </cfRule>
  </conditionalFormatting>
  <conditionalFormatting sqref="A47:B47">
    <cfRule type="expression" dxfId="512" priority="33" stopIfTrue="1">
      <formula>$AP$47=1</formula>
    </cfRule>
  </conditionalFormatting>
  <conditionalFormatting sqref="A46:B46">
    <cfRule type="expression" dxfId="511" priority="32" stopIfTrue="1">
      <formula>$AP$46=1</formula>
    </cfRule>
  </conditionalFormatting>
  <conditionalFormatting sqref="A45:B45">
    <cfRule type="expression" dxfId="510" priority="31" stopIfTrue="1">
      <formula>$AP$45=1</formula>
    </cfRule>
  </conditionalFormatting>
  <conditionalFormatting sqref="A44:B44">
    <cfRule type="expression" dxfId="509" priority="30" stopIfTrue="1">
      <formula>$AP$44=1</formula>
    </cfRule>
  </conditionalFormatting>
  <conditionalFormatting sqref="A43:B43">
    <cfRule type="expression" dxfId="508" priority="29" stopIfTrue="1">
      <formula>$AP$43=1</formula>
    </cfRule>
  </conditionalFormatting>
  <conditionalFormatting sqref="A42:B42">
    <cfRule type="expression" dxfId="507" priority="28" stopIfTrue="1">
      <formula>$AP$42=1</formula>
    </cfRule>
  </conditionalFormatting>
  <conditionalFormatting sqref="A41:B41">
    <cfRule type="expression" dxfId="506" priority="27" stopIfTrue="1">
      <formula>$AP$41=1</formula>
    </cfRule>
  </conditionalFormatting>
  <conditionalFormatting sqref="A40:B40">
    <cfRule type="expression" dxfId="505" priority="26" stopIfTrue="1">
      <formula>$AP$40=1</formula>
    </cfRule>
  </conditionalFormatting>
  <conditionalFormatting sqref="A30:B39">
    <cfRule type="expression" dxfId="504" priority="25" stopIfTrue="1">
      <formula>$AP$30=1</formula>
    </cfRule>
  </conditionalFormatting>
  <conditionalFormatting sqref="A29:B29">
    <cfRule type="expression" dxfId="503" priority="24" stopIfTrue="1">
      <formula>$AP$29=1</formula>
    </cfRule>
  </conditionalFormatting>
  <conditionalFormatting sqref="A28:B28">
    <cfRule type="expression" dxfId="502" priority="23" stopIfTrue="1">
      <formula>$AP$28=1</formula>
    </cfRule>
  </conditionalFormatting>
  <conditionalFormatting sqref="A27:B27">
    <cfRule type="expression" dxfId="501" priority="22" stopIfTrue="1">
      <formula>$AP$27=1</formula>
    </cfRule>
  </conditionalFormatting>
  <conditionalFormatting sqref="A26:B26">
    <cfRule type="expression" dxfId="500" priority="21" stopIfTrue="1">
      <formula>$AP$26=1</formula>
    </cfRule>
  </conditionalFormatting>
  <conditionalFormatting sqref="A25:B25">
    <cfRule type="expression" dxfId="499" priority="20" stopIfTrue="1">
      <formula>$AP$25=1</formula>
    </cfRule>
  </conditionalFormatting>
  <conditionalFormatting sqref="A24:B24">
    <cfRule type="expression" dxfId="498" priority="19" stopIfTrue="1">
      <formula>$AP$24=1</formula>
    </cfRule>
  </conditionalFormatting>
  <conditionalFormatting sqref="A23:B23">
    <cfRule type="expression" dxfId="497" priority="18" stopIfTrue="1">
      <formula>$AP$23=1</formula>
    </cfRule>
  </conditionalFormatting>
  <conditionalFormatting sqref="A22:B22">
    <cfRule type="expression" dxfId="496" priority="17" stopIfTrue="1">
      <formula>$AP$22=1</formula>
    </cfRule>
  </conditionalFormatting>
  <conditionalFormatting sqref="A21:B21">
    <cfRule type="expression" dxfId="495" priority="16" stopIfTrue="1">
      <formula>$AP$21=1</formula>
    </cfRule>
  </conditionalFormatting>
  <conditionalFormatting sqref="A20:B20">
    <cfRule type="expression" dxfId="494" priority="15" stopIfTrue="1">
      <formula>$AP$20=1</formula>
    </cfRule>
  </conditionalFormatting>
  <conditionalFormatting sqref="A19:B19">
    <cfRule type="expression" dxfId="493" priority="14" stopIfTrue="1">
      <formula>$AP$19=1</formula>
    </cfRule>
  </conditionalFormatting>
  <conditionalFormatting sqref="A18:B18">
    <cfRule type="expression" dxfId="492" priority="13" stopIfTrue="1">
      <formula>$AP$18=1</formula>
    </cfRule>
  </conditionalFormatting>
  <conditionalFormatting sqref="A17:B17">
    <cfRule type="expression" dxfId="491" priority="12" stopIfTrue="1">
      <formula>$AP$17=1</formula>
    </cfRule>
  </conditionalFormatting>
  <conditionalFormatting sqref="A16:B16">
    <cfRule type="expression" dxfId="490" priority="11" stopIfTrue="1">
      <formula>$AP$16=1</formula>
    </cfRule>
  </conditionalFormatting>
  <conditionalFormatting sqref="A15:B15">
    <cfRule type="expression" dxfId="489" priority="10" stopIfTrue="1">
      <formula>$AP$15=1</formula>
    </cfRule>
  </conditionalFormatting>
  <conditionalFormatting sqref="A14:B14">
    <cfRule type="expression" dxfId="488" priority="9" stopIfTrue="1">
      <formula>$AP$14=1</formula>
    </cfRule>
  </conditionalFormatting>
  <conditionalFormatting sqref="A13:B13">
    <cfRule type="expression" dxfId="487" priority="8" stopIfTrue="1">
      <formula>$AP$13=1</formula>
    </cfRule>
  </conditionalFormatting>
  <conditionalFormatting sqref="A12:B12">
    <cfRule type="expression" dxfId="486" priority="7" stopIfTrue="1">
      <formula>$AP$12=1</formula>
    </cfRule>
  </conditionalFormatting>
  <conditionalFormatting sqref="A11:B11">
    <cfRule type="expression" dxfId="485" priority="6" stopIfTrue="1">
      <formula>$AP$11=1</formula>
    </cfRule>
  </conditionalFormatting>
  <conditionalFormatting sqref="A10:B10">
    <cfRule type="expression" dxfId="484" priority="5" stopIfTrue="1">
      <formula>$AP$10=1</formula>
    </cfRule>
  </conditionalFormatting>
  <conditionalFormatting sqref="AF31">
    <cfRule type="expression" dxfId="483" priority="4" stopIfTrue="1">
      <formula>$AP$30</formula>
    </cfRule>
  </conditionalFormatting>
  <conditionalFormatting sqref="AD31:AD40">
    <cfRule type="expression" dxfId="482" priority="3" stopIfTrue="1">
      <formula>$AP$30</formula>
    </cfRule>
  </conditionalFormatting>
  <conditionalFormatting sqref="AF32:AF40">
    <cfRule type="expression" dxfId="481" priority="2" stopIfTrue="1">
      <formula>$AP$30</formula>
    </cfRule>
  </conditionalFormatting>
  <conditionalFormatting sqref="AC31:AC40">
    <cfRule type="expression" dxfId="480" priority="1" stopIfTrue="1">
      <formula>$AP$30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AP75"/>
  <sheetViews>
    <sheetView topLeftCell="A4" zoomScale="70" zoomScaleNormal="70" workbookViewId="0">
      <selection activeCell="B41" sqref="B41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76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786.81400000000008</v>
      </c>
      <c r="AM4" s="93">
        <f>SUM(AM5:AM46)</f>
        <v>13</v>
      </c>
      <c r="AN4" s="93">
        <f>SUM(AN5:AN46)</f>
        <v>786.81400000000008</v>
      </c>
      <c r="AO4" s="93">
        <f>SUM(AO5:AO46)</f>
        <v>26.800000000000008</v>
      </c>
      <c r="AP4" s="86"/>
    </row>
    <row r="5" spans="1:42" ht="15.75" x14ac:dyDescent="0.25">
      <c r="A5" s="94">
        <f t="shared" ref="A5:A37" si="0">AF5</f>
        <v>0</v>
      </c>
      <c r="B5" s="95">
        <f t="shared" ref="B5:B34" si="1">AD5</f>
        <v>791.86</v>
      </c>
      <c r="C5" s="96" t="str">
        <f>IF(AG5="","",AG5)</f>
        <v xml:space="preserve">S/BM </v>
      </c>
      <c r="D5" s="184"/>
      <c r="X5" s="97"/>
      <c r="Y5" s="98"/>
      <c r="Z5" s="99">
        <v>1.8009999999999999</v>
      </c>
      <c r="AA5" s="100"/>
      <c r="AB5" s="101"/>
      <c r="AC5" s="102">
        <f>IF(AA5="",AD5+Z5,"")</f>
        <v>793.66100000000006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793.66100000000006</v>
      </c>
      <c r="AI5" s="86">
        <f>IF(AA5="",AC5,AI4)</f>
        <v>793.66100000000006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793.66000000000008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1E-3</v>
      </c>
      <c r="AB6" s="111"/>
      <c r="AC6" s="112" t="str">
        <f>IF(AA6="",AD6+Z6,"")</f>
        <v/>
      </c>
      <c r="AD6" s="113">
        <f>IF(AA6="",AH5-AB6,AH5-AA6)</f>
        <v>793.66000000000008</v>
      </c>
      <c r="AE6" s="114">
        <v>0</v>
      </c>
      <c r="AF6" s="113">
        <f>AE6</f>
        <v>0</v>
      </c>
      <c r="AG6" s="115" t="s">
        <v>4</v>
      </c>
      <c r="AH6" s="86">
        <f t="shared" si="2"/>
        <v>793.66100000000006</v>
      </c>
      <c r="AI6" s="86">
        <f t="shared" ref="AI6:AI46" si="6">IF(AA6="",AC6,AI5)</f>
        <v>793.66100000000006</v>
      </c>
      <c r="AJ6" s="86" t="str">
        <f t="shared" si="3"/>
        <v>PRI</v>
      </c>
      <c r="AK6" s="93">
        <f t="shared" si="4"/>
        <v>793.66000000000008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2</v>
      </c>
      <c r="B7" s="95">
        <f t="shared" si="1"/>
        <v>791.93700000000001</v>
      </c>
      <c r="C7" s="96" t="str">
        <f t="shared" si="5"/>
        <v/>
      </c>
      <c r="D7" s="184"/>
      <c r="X7" s="107"/>
      <c r="Y7" s="108"/>
      <c r="Z7" s="109"/>
      <c r="AA7" s="110">
        <v>1.724</v>
      </c>
      <c r="AB7" s="111"/>
      <c r="AC7" s="112" t="str">
        <f t="shared" ref="AC7:AC8" si="11">IF(AA7="",AD7+Z7,"")</f>
        <v/>
      </c>
      <c r="AD7" s="113">
        <f>IF(AA7="",AH6-AB7,AH6-AA7)</f>
        <v>791.93700000000001</v>
      </c>
      <c r="AE7" s="114">
        <v>2</v>
      </c>
      <c r="AF7" s="113">
        <f t="shared" ref="AF7:AF8" si="12">+AF6+AE7</f>
        <v>2</v>
      </c>
      <c r="AG7" s="116"/>
      <c r="AH7" s="86">
        <f t="shared" si="2"/>
        <v>793.66100000000006</v>
      </c>
      <c r="AI7" s="86">
        <f t="shared" si="6"/>
        <v>793.66100000000006</v>
      </c>
      <c r="AJ7" s="86" t="str">
        <f t="shared" si="3"/>
        <v>PRI</v>
      </c>
      <c r="AK7" s="93">
        <f t="shared" si="4"/>
        <v>791.93700000000001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2</v>
      </c>
      <c r="B8" s="95">
        <f t="shared" si="1"/>
        <v>789.37600000000009</v>
      </c>
      <c r="C8" s="96" t="str">
        <f t="shared" si="5"/>
        <v/>
      </c>
      <c r="D8" s="184"/>
      <c r="X8" s="107" t="s">
        <v>47</v>
      </c>
      <c r="Y8" s="108"/>
      <c r="Z8" s="109">
        <v>0.57899999999999996</v>
      </c>
      <c r="AA8" s="110"/>
      <c r="AB8" s="111">
        <v>4.2850000000000001</v>
      </c>
      <c r="AC8" s="112">
        <f t="shared" si="11"/>
        <v>789.95500000000004</v>
      </c>
      <c r="AD8" s="113">
        <f>IF(AA8="",AH7-AB8,AH7-AA8)</f>
        <v>789.37600000000009</v>
      </c>
      <c r="AE8" s="114">
        <v>0</v>
      </c>
      <c r="AF8" s="113">
        <f t="shared" si="12"/>
        <v>2</v>
      </c>
      <c r="AG8" s="116"/>
      <c r="AH8" s="86">
        <f t="shared" si="2"/>
        <v>789.95500000000004</v>
      </c>
      <c r="AI8" s="86">
        <f t="shared" si="6"/>
        <v>789.95500000000004</v>
      </c>
      <c r="AJ8" s="86" t="str">
        <f t="shared" si="3"/>
        <v>PRI</v>
      </c>
      <c r="AK8" s="93">
        <f t="shared" si="4"/>
        <v>789.37600000000009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8</v>
      </c>
      <c r="B9" s="95">
        <f t="shared" si="1"/>
        <v>788.09199999999998</v>
      </c>
      <c r="C9" s="96" t="str">
        <f t="shared" si="5"/>
        <v/>
      </c>
      <c r="D9" s="184"/>
      <c r="X9" s="107"/>
      <c r="Y9" s="108"/>
      <c r="Z9" s="109"/>
      <c r="AA9" s="110">
        <v>1.863</v>
      </c>
      <c r="AB9" s="111"/>
      <c r="AC9" s="112" t="str">
        <f t="shared" ref="AC9:AC11" si="13">IF(AA9="",AD9+Z9,"")</f>
        <v/>
      </c>
      <c r="AD9" s="113">
        <f t="shared" ref="AD9:AD35" si="14">IF(AJ8="S/BM",AD8,IF(AA9="",AH8-AB9,AH8-AA9))</f>
        <v>788.09199999999998</v>
      </c>
      <c r="AE9" s="114">
        <v>6</v>
      </c>
      <c r="AF9" s="113">
        <f t="shared" ref="AF9:AF32" si="15">+AF8+AE9</f>
        <v>8</v>
      </c>
      <c r="AG9" s="115"/>
      <c r="AH9" s="86">
        <f t="shared" si="2"/>
        <v>789.95500000000004</v>
      </c>
      <c r="AI9" s="86">
        <f t="shared" si="6"/>
        <v>789.95500000000004</v>
      </c>
      <c r="AJ9" s="86" t="str">
        <f t="shared" si="3"/>
        <v>PRI</v>
      </c>
      <c r="AK9" s="93">
        <f t="shared" si="4"/>
        <v>788.09199999999998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10</v>
      </c>
      <c r="B10" s="95">
        <f t="shared" si="1"/>
        <v>787.71500000000003</v>
      </c>
      <c r="C10" s="96" t="str">
        <f t="shared" si="5"/>
        <v/>
      </c>
      <c r="D10" s="184"/>
      <c r="E10" s="84">
        <f>(B12+B35)/2</f>
        <v>788.97400000000005</v>
      </c>
      <c r="X10" s="107"/>
      <c r="Y10" s="108"/>
      <c r="Z10" s="109"/>
      <c r="AA10" s="110">
        <v>2.2400000000000002</v>
      </c>
      <c r="AB10" s="111"/>
      <c r="AC10" s="112" t="str">
        <f t="shared" si="13"/>
        <v/>
      </c>
      <c r="AD10" s="113">
        <f t="shared" si="14"/>
        <v>787.71500000000003</v>
      </c>
      <c r="AE10" s="114">
        <v>2</v>
      </c>
      <c r="AF10" s="113">
        <f t="shared" si="15"/>
        <v>10</v>
      </c>
      <c r="AG10" s="115"/>
      <c r="AH10" s="86">
        <f t="shared" si="2"/>
        <v>789.95500000000004</v>
      </c>
      <c r="AI10" s="86">
        <f t="shared" si="6"/>
        <v>789.95500000000004</v>
      </c>
      <c r="AJ10" s="86" t="str">
        <f t="shared" si="3"/>
        <v>PRI</v>
      </c>
      <c r="AK10" s="93">
        <f t="shared" si="4"/>
        <v>787.71500000000003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13</v>
      </c>
      <c r="B11" s="95">
        <f t="shared" si="1"/>
        <v>786.81400000000008</v>
      </c>
      <c r="C11" s="96" t="str">
        <f t="shared" si="5"/>
        <v>NAOI</v>
      </c>
      <c r="D11" s="184"/>
      <c r="E11" s="117">
        <v>0.33</v>
      </c>
      <c r="X11" s="107"/>
      <c r="Y11" s="108"/>
      <c r="Z11" s="109"/>
      <c r="AA11" s="110">
        <v>3.141</v>
      </c>
      <c r="AB11" s="111"/>
      <c r="AC11" s="112" t="str">
        <f t="shared" si="13"/>
        <v/>
      </c>
      <c r="AD11" s="113">
        <f t="shared" si="14"/>
        <v>786.81400000000008</v>
      </c>
      <c r="AE11" s="114">
        <v>3</v>
      </c>
      <c r="AF11" s="113">
        <f t="shared" si="15"/>
        <v>13</v>
      </c>
      <c r="AG11" s="115" t="s">
        <v>9</v>
      </c>
      <c r="AH11" s="86">
        <f t="shared" si="2"/>
        <v>786.81400000000008</v>
      </c>
      <c r="AI11" s="86">
        <f t="shared" si="6"/>
        <v>789.95500000000004</v>
      </c>
      <c r="AJ11" s="86" t="str">
        <f t="shared" si="3"/>
        <v>NAOI</v>
      </c>
      <c r="AK11" s="93">
        <f t="shared" si="4"/>
        <v>786.81400000000008</v>
      </c>
      <c r="AL11" s="86">
        <f t="shared" si="7"/>
        <v>786.81400000000008</v>
      </c>
      <c r="AM11" s="93">
        <f t="shared" si="8"/>
        <v>13</v>
      </c>
      <c r="AN11" s="86" t="str">
        <f t="shared" si="9"/>
        <v/>
      </c>
      <c r="AO11" s="86" t="str">
        <f t="shared" si="10"/>
        <v/>
      </c>
      <c r="AP11" s="86">
        <f t="shared" ref="AP11:AP46" si="16">IF(AJ10="S/BM",1,0)</f>
        <v>0</v>
      </c>
    </row>
    <row r="12" spans="1:42" s="117" customFormat="1" ht="15.75" x14ac:dyDescent="0.25">
      <c r="A12" s="94">
        <f t="shared" si="0"/>
        <v>16</v>
      </c>
      <c r="B12" s="95">
        <f t="shared" si="1"/>
        <v>786.09400000000005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0.72</v>
      </c>
      <c r="AB12" s="111"/>
      <c r="AC12" s="112" t="str">
        <f>IF(AA12="",AD12+Z12,"")</f>
        <v/>
      </c>
      <c r="AD12" s="113">
        <f t="shared" si="14"/>
        <v>786.09400000000005</v>
      </c>
      <c r="AE12" s="114">
        <v>3</v>
      </c>
      <c r="AF12" s="113">
        <f t="shared" si="15"/>
        <v>16</v>
      </c>
      <c r="AG12" s="115"/>
      <c r="AH12" s="86">
        <f t="shared" si="2"/>
        <v>786.81400000000008</v>
      </c>
      <c r="AI12" s="86">
        <f t="shared" si="6"/>
        <v>789.95500000000004</v>
      </c>
      <c r="AJ12" s="86" t="str">
        <f t="shared" si="3"/>
        <v>NAOI</v>
      </c>
      <c r="AK12" s="93">
        <f t="shared" si="4"/>
        <v>786.81400000000008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6"/>
        <v>0</v>
      </c>
    </row>
    <row r="13" spans="1:42" s="117" customFormat="1" ht="15.75" x14ac:dyDescent="0.25">
      <c r="A13" s="94">
        <f t="shared" si="0"/>
        <v>19</v>
      </c>
      <c r="B13" s="95">
        <f t="shared" si="1"/>
        <v>785.52400000000011</v>
      </c>
      <c r="C13" s="96" t="str">
        <f t="shared" si="5"/>
        <v/>
      </c>
      <c r="D13" s="184"/>
      <c r="E13" s="117">
        <v>0.35</v>
      </c>
      <c r="X13" s="107"/>
      <c r="Y13" s="108"/>
      <c r="Z13" s="109"/>
      <c r="AA13" s="110">
        <v>1.29</v>
      </c>
      <c r="AB13" s="111"/>
      <c r="AC13" s="112" t="str">
        <f t="shared" ref="AC13:AC32" si="17">IF(AA13="",AD13+Z13,"")</f>
        <v/>
      </c>
      <c r="AD13" s="113">
        <f t="shared" si="14"/>
        <v>785.52400000000011</v>
      </c>
      <c r="AE13" s="114">
        <v>3</v>
      </c>
      <c r="AF13" s="113">
        <f t="shared" si="15"/>
        <v>19</v>
      </c>
      <c r="AG13" s="115"/>
      <c r="AH13" s="86">
        <f t="shared" si="2"/>
        <v>786.81400000000008</v>
      </c>
      <c r="AI13" s="86">
        <f t="shared" si="6"/>
        <v>789.95500000000004</v>
      </c>
      <c r="AJ13" s="86" t="str">
        <f t="shared" si="3"/>
        <v>NAOI</v>
      </c>
      <c r="AK13" s="93">
        <f t="shared" si="4"/>
        <v>786.81400000000008</v>
      </c>
      <c r="AL13" s="86" t="str">
        <f t="shared" si="7"/>
        <v/>
      </c>
      <c r="AM13" s="93" t="str">
        <f t="shared" si="8"/>
        <v/>
      </c>
      <c r="AN13" s="86" t="str">
        <f t="shared" si="9"/>
        <v/>
      </c>
      <c r="AO13" s="86" t="str">
        <f t="shared" si="10"/>
        <v/>
      </c>
      <c r="AP13" s="86">
        <f t="shared" si="16"/>
        <v>0</v>
      </c>
    </row>
    <row r="14" spans="1:42" s="117" customFormat="1" ht="15.75" x14ac:dyDescent="0.25">
      <c r="A14" s="94">
        <f t="shared" si="0"/>
        <v>20.5</v>
      </c>
      <c r="B14" s="95">
        <f t="shared" si="1"/>
        <v>785.46400000000006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1.35</v>
      </c>
      <c r="AB14" s="111"/>
      <c r="AC14" s="112" t="str">
        <f t="shared" si="17"/>
        <v/>
      </c>
      <c r="AD14" s="113">
        <f t="shared" si="14"/>
        <v>785.46400000000006</v>
      </c>
      <c r="AE14" s="114">
        <v>1.5</v>
      </c>
      <c r="AF14" s="113">
        <f t="shared" si="15"/>
        <v>20.5</v>
      </c>
      <c r="AG14" s="116"/>
      <c r="AH14" s="86">
        <f t="shared" si="2"/>
        <v>786.81400000000008</v>
      </c>
      <c r="AI14" s="86">
        <f t="shared" si="6"/>
        <v>789.95500000000004</v>
      </c>
      <c r="AJ14" s="86" t="str">
        <f t="shared" si="3"/>
        <v>NAOI</v>
      </c>
      <c r="AK14" s="93">
        <f>IF(AND(AJ14="NAOI",AJ13="NAOI"),AK13,AD14)</f>
        <v>786.81400000000008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6"/>
        <v>0</v>
      </c>
    </row>
    <row r="15" spans="1:42" s="117" customFormat="1" ht="15.75" x14ac:dyDescent="0.25">
      <c r="A15" s="94">
        <f t="shared" si="0"/>
        <v>21.5</v>
      </c>
      <c r="B15" s="95">
        <f t="shared" si="1"/>
        <v>785.31400000000008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1.5</v>
      </c>
      <c r="AB15" s="111"/>
      <c r="AC15" s="112" t="str">
        <f t="shared" si="17"/>
        <v/>
      </c>
      <c r="AD15" s="113">
        <f t="shared" si="14"/>
        <v>785.31400000000008</v>
      </c>
      <c r="AE15" s="114">
        <v>1</v>
      </c>
      <c r="AF15" s="113">
        <f t="shared" si="15"/>
        <v>21.5</v>
      </c>
      <c r="AG15" s="115"/>
      <c r="AH15" s="86">
        <f t="shared" si="2"/>
        <v>786.81400000000008</v>
      </c>
      <c r="AI15" s="86">
        <f t="shared" si="6"/>
        <v>789.95500000000004</v>
      </c>
      <c r="AJ15" s="86" t="str">
        <f t="shared" si="3"/>
        <v>NAOI</v>
      </c>
      <c r="AK15" s="93">
        <f>IF(AND(AJ15="NAOI",AJ14="NAOI"),AK14,AD15)</f>
        <v>786.81400000000008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6"/>
        <v>0</v>
      </c>
    </row>
    <row r="16" spans="1:42" s="117" customFormat="1" ht="15.75" x14ac:dyDescent="0.25">
      <c r="A16" s="94">
        <f t="shared" si="0"/>
        <v>22</v>
      </c>
      <c r="B16" s="95">
        <f t="shared" si="1"/>
        <v>785.2940000000001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1.52</v>
      </c>
      <c r="AB16" s="111"/>
      <c r="AC16" s="112" t="str">
        <f t="shared" si="17"/>
        <v/>
      </c>
      <c r="AD16" s="113">
        <f t="shared" si="14"/>
        <v>785.2940000000001</v>
      </c>
      <c r="AE16" s="114">
        <v>0.5</v>
      </c>
      <c r="AF16" s="113">
        <f t="shared" si="15"/>
        <v>22</v>
      </c>
      <c r="AG16" s="118"/>
      <c r="AH16" s="86">
        <f t="shared" si="2"/>
        <v>786.81400000000008</v>
      </c>
      <c r="AI16" s="86">
        <f t="shared" si="6"/>
        <v>789.95500000000004</v>
      </c>
      <c r="AJ16" s="86" t="str">
        <f t="shared" si="3"/>
        <v>NAOI</v>
      </c>
      <c r="AK16" s="93">
        <f>IF(AND(AJ16="NAOI",AJ15="NAOI"),AK15,AD16)</f>
        <v>786.81400000000008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6"/>
        <v>0</v>
      </c>
    </row>
    <row r="17" spans="1:42" s="117" customFormat="1" ht="15.75" x14ac:dyDescent="0.25">
      <c r="A17" s="94">
        <f t="shared" si="0"/>
        <v>22.3</v>
      </c>
      <c r="B17" s="95">
        <f t="shared" si="1"/>
        <v>785.22400000000005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1.59</v>
      </c>
      <c r="AB17" s="111"/>
      <c r="AC17" s="112" t="str">
        <f t="shared" si="17"/>
        <v/>
      </c>
      <c r="AD17" s="113">
        <f t="shared" si="14"/>
        <v>785.22400000000005</v>
      </c>
      <c r="AE17" s="114">
        <v>0.3</v>
      </c>
      <c r="AF17" s="113">
        <f t="shared" si="15"/>
        <v>22.3</v>
      </c>
      <c r="AG17" s="118"/>
      <c r="AH17" s="86">
        <f t="shared" si="2"/>
        <v>786.81400000000008</v>
      </c>
      <c r="AI17" s="86">
        <f t="shared" si="6"/>
        <v>789.95500000000004</v>
      </c>
      <c r="AJ17" s="86" t="str">
        <f t="shared" si="3"/>
        <v>NAOI</v>
      </c>
      <c r="AK17" s="93">
        <f t="shared" ref="AK17:AK46" si="18">IF(AND(AJ17="NAOI",AJ16="NAOI"),AK16,AD17)</f>
        <v>786.81400000000008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6"/>
        <v>0</v>
      </c>
    </row>
    <row r="18" spans="1:42" s="117" customFormat="1" ht="15.75" x14ac:dyDescent="0.25">
      <c r="A18" s="94">
        <f t="shared" si="0"/>
        <v>22.6</v>
      </c>
      <c r="B18" s="95">
        <f t="shared" si="1"/>
        <v>785.1640000000001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1.65</v>
      </c>
      <c r="AB18" s="111"/>
      <c r="AC18" s="112" t="str">
        <f t="shared" si="17"/>
        <v/>
      </c>
      <c r="AD18" s="113">
        <f t="shared" si="14"/>
        <v>785.1640000000001</v>
      </c>
      <c r="AE18" s="114">
        <v>0.3</v>
      </c>
      <c r="AF18" s="113">
        <f t="shared" si="15"/>
        <v>22.6</v>
      </c>
      <c r="AG18" s="118"/>
      <c r="AH18" s="86">
        <f t="shared" si="2"/>
        <v>786.81400000000008</v>
      </c>
      <c r="AI18" s="86">
        <f t="shared" si="6"/>
        <v>789.95500000000004</v>
      </c>
      <c r="AJ18" s="86" t="str">
        <f t="shared" si="3"/>
        <v>NAOI</v>
      </c>
      <c r="AK18" s="93">
        <f t="shared" si="18"/>
        <v>786.81400000000008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6"/>
        <v>0</v>
      </c>
    </row>
    <row r="19" spans="1:42" s="117" customFormat="1" ht="15.75" x14ac:dyDescent="0.25">
      <c r="A19" s="94">
        <f t="shared" si="0"/>
        <v>22.900000000000002</v>
      </c>
      <c r="B19" s="95">
        <f t="shared" si="1"/>
        <v>785.13400000000013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1.68</v>
      </c>
      <c r="AB19" s="111"/>
      <c r="AC19" s="112" t="str">
        <f t="shared" si="17"/>
        <v/>
      </c>
      <c r="AD19" s="113">
        <f t="shared" si="14"/>
        <v>785.13400000000013</v>
      </c>
      <c r="AE19" s="114">
        <v>0.3</v>
      </c>
      <c r="AF19" s="113">
        <f t="shared" si="15"/>
        <v>22.900000000000002</v>
      </c>
      <c r="AG19" s="118"/>
      <c r="AH19" s="86">
        <f t="shared" si="2"/>
        <v>786.81400000000008</v>
      </c>
      <c r="AI19" s="86">
        <f t="shared" si="6"/>
        <v>789.95500000000004</v>
      </c>
      <c r="AJ19" s="86" t="str">
        <f t="shared" si="3"/>
        <v>NAOI</v>
      </c>
      <c r="AK19" s="93">
        <f t="shared" si="18"/>
        <v>786.81400000000008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6"/>
        <v>0</v>
      </c>
    </row>
    <row r="20" spans="1:42" s="117" customFormat="1" ht="15.75" x14ac:dyDescent="0.25">
      <c r="A20" s="94">
        <f t="shared" si="0"/>
        <v>23.200000000000003</v>
      </c>
      <c r="B20" s="95">
        <f t="shared" si="1"/>
        <v>784.77400000000011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2.04</v>
      </c>
      <c r="AB20" s="111"/>
      <c r="AC20" s="112" t="str">
        <f t="shared" si="17"/>
        <v/>
      </c>
      <c r="AD20" s="113">
        <f t="shared" si="14"/>
        <v>784.77400000000011</v>
      </c>
      <c r="AE20" s="114">
        <v>0.3</v>
      </c>
      <c r="AF20" s="113">
        <f t="shared" si="15"/>
        <v>23.200000000000003</v>
      </c>
      <c r="AG20" s="118"/>
      <c r="AH20" s="86">
        <f t="shared" si="2"/>
        <v>786.81400000000008</v>
      </c>
      <c r="AI20" s="86">
        <f t="shared" si="6"/>
        <v>789.95500000000004</v>
      </c>
      <c r="AJ20" s="86" t="str">
        <f t="shared" si="3"/>
        <v>NAOI</v>
      </c>
      <c r="AK20" s="93">
        <f t="shared" si="18"/>
        <v>786.81400000000008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6"/>
        <v>0</v>
      </c>
    </row>
    <row r="21" spans="1:42" s="117" customFormat="1" ht="15.75" x14ac:dyDescent="0.25">
      <c r="A21" s="94">
        <f t="shared" si="0"/>
        <v>23.500000000000004</v>
      </c>
      <c r="B21" s="95">
        <f t="shared" si="1"/>
        <v>784.61400000000003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2.2000000000000002</v>
      </c>
      <c r="AB21" s="111"/>
      <c r="AC21" s="112" t="str">
        <f t="shared" si="17"/>
        <v/>
      </c>
      <c r="AD21" s="113">
        <f t="shared" si="14"/>
        <v>784.61400000000003</v>
      </c>
      <c r="AE21" s="114">
        <v>0.3</v>
      </c>
      <c r="AF21" s="113">
        <f t="shared" si="15"/>
        <v>23.500000000000004</v>
      </c>
      <c r="AG21" s="118"/>
      <c r="AH21" s="86">
        <f t="shared" si="2"/>
        <v>786.81400000000008</v>
      </c>
      <c r="AI21" s="86">
        <f t="shared" si="6"/>
        <v>789.95500000000004</v>
      </c>
      <c r="AJ21" s="86" t="str">
        <f t="shared" si="3"/>
        <v>NAOI</v>
      </c>
      <c r="AK21" s="93">
        <f t="shared" si="18"/>
        <v>786.81400000000008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6"/>
        <v>0</v>
      </c>
    </row>
    <row r="22" spans="1:42" s="117" customFormat="1" ht="15.75" x14ac:dyDescent="0.25">
      <c r="A22" s="94">
        <f t="shared" si="0"/>
        <v>23.800000000000004</v>
      </c>
      <c r="B22" s="95">
        <f t="shared" si="1"/>
        <v>784.70400000000006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2.11</v>
      </c>
      <c r="AB22" s="111"/>
      <c r="AC22" s="112" t="str">
        <f t="shared" si="17"/>
        <v/>
      </c>
      <c r="AD22" s="113">
        <f t="shared" si="14"/>
        <v>784.70400000000006</v>
      </c>
      <c r="AE22" s="114">
        <v>0.3</v>
      </c>
      <c r="AF22" s="113">
        <f t="shared" si="15"/>
        <v>23.800000000000004</v>
      </c>
      <c r="AG22" s="118"/>
      <c r="AH22" s="86">
        <f t="shared" si="2"/>
        <v>786.81400000000008</v>
      </c>
      <c r="AI22" s="86">
        <f t="shared" si="6"/>
        <v>789.95500000000004</v>
      </c>
      <c r="AJ22" s="86" t="str">
        <f t="shared" si="3"/>
        <v>NAOI</v>
      </c>
      <c r="AK22" s="93">
        <f t="shared" si="18"/>
        <v>786.81400000000008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6"/>
        <v>0</v>
      </c>
    </row>
    <row r="23" spans="1:42" s="117" customFormat="1" ht="15.75" x14ac:dyDescent="0.25">
      <c r="A23" s="94">
        <f t="shared" si="0"/>
        <v>24.100000000000005</v>
      </c>
      <c r="B23" s="95">
        <f t="shared" si="1"/>
        <v>784.73400000000004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2.08</v>
      </c>
      <c r="AB23" s="111"/>
      <c r="AC23" s="112" t="str">
        <f t="shared" si="17"/>
        <v/>
      </c>
      <c r="AD23" s="113">
        <f t="shared" si="14"/>
        <v>784.73400000000004</v>
      </c>
      <c r="AE23" s="114">
        <v>0.3</v>
      </c>
      <c r="AF23" s="113">
        <f t="shared" si="15"/>
        <v>24.100000000000005</v>
      </c>
      <c r="AG23" s="118"/>
      <c r="AH23" s="86">
        <f t="shared" si="2"/>
        <v>786.81400000000008</v>
      </c>
      <c r="AI23" s="86">
        <f t="shared" si="6"/>
        <v>789.95500000000004</v>
      </c>
      <c r="AJ23" s="86" t="str">
        <f t="shared" si="3"/>
        <v>NAOI</v>
      </c>
      <c r="AK23" s="93">
        <f t="shared" si="18"/>
        <v>786.81400000000008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6"/>
        <v>0</v>
      </c>
    </row>
    <row r="24" spans="1:42" s="117" customFormat="1" ht="15.75" x14ac:dyDescent="0.25">
      <c r="A24" s="94">
        <f t="shared" si="0"/>
        <v>24.400000000000006</v>
      </c>
      <c r="B24" s="95">
        <f t="shared" si="1"/>
        <v>784.71400000000006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2.1</v>
      </c>
      <c r="AB24" s="111"/>
      <c r="AC24" s="112" t="str">
        <f t="shared" si="17"/>
        <v/>
      </c>
      <c r="AD24" s="113">
        <f t="shared" si="14"/>
        <v>784.71400000000006</v>
      </c>
      <c r="AE24" s="114">
        <v>0.3</v>
      </c>
      <c r="AF24" s="113">
        <f t="shared" si="15"/>
        <v>24.400000000000006</v>
      </c>
      <c r="AG24" s="118"/>
      <c r="AH24" s="86">
        <f t="shared" si="2"/>
        <v>786.81400000000008</v>
      </c>
      <c r="AI24" s="86">
        <f t="shared" si="6"/>
        <v>789.95500000000004</v>
      </c>
      <c r="AJ24" s="86" t="str">
        <f t="shared" si="3"/>
        <v>NAOI</v>
      </c>
      <c r="AK24" s="93">
        <f t="shared" si="18"/>
        <v>786.81400000000008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6"/>
        <v>0</v>
      </c>
    </row>
    <row r="25" spans="1:42" s="117" customFormat="1" ht="15.75" x14ac:dyDescent="0.25">
      <c r="A25" s="94">
        <f t="shared" si="0"/>
        <v>24.700000000000006</v>
      </c>
      <c r="B25" s="95">
        <f t="shared" si="1"/>
        <v>784.62400000000002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2.19</v>
      </c>
      <c r="AB25" s="111"/>
      <c r="AC25" s="112" t="str">
        <f t="shared" si="17"/>
        <v/>
      </c>
      <c r="AD25" s="113">
        <f t="shared" si="14"/>
        <v>784.62400000000002</v>
      </c>
      <c r="AE25" s="114">
        <v>0.3</v>
      </c>
      <c r="AF25" s="113">
        <f t="shared" si="15"/>
        <v>24.700000000000006</v>
      </c>
      <c r="AG25" s="118"/>
      <c r="AH25" s="86">
        <f t="shared" si="2"/>
        <v>786.81400000000008</v>
      </c>
      <c r="AI25" s="86">
        <f t="shared" si="6"/>
        <v>789.95500000000004</v>
      </c>
      <c r="AJ25" s="86" t="str">
        <f t="shared" si="3"/>
        <v>NAOI</v>
      </c>
      <c r="AK25" s="93">
        <f t="shared" si="18"/>
        <v>786.81400000000008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6"/>
        <v>0</v>
      </c>
    </row>
    <row r="26" spans="1:42" s="117" customFormat="1" ht="15.75" x14ac:dyDescent="0.25">
      <c r="A26" s="94">
        <f t="shared" si="0"/>
        <v>25.000000000000007</v>
      </c>
      <c r="B26" s="95">
        <f t="shared" si="1"/>
        <v>784.65400000000011</v>
      </c>
      <c r="C26" s="96" t="str">
        <f t="shared" si="5"/>
        <v/>
      </c>
      <c r="D26" s="184"/>
      <c r="E26" s="117">
        <v>1.7</v>
      </c>
      <c r="X26" s="107"/>
      <c r="Y26" s="108"/>
      <c r="Z26" s="109"/>
      <c r="AA26" s="110">
        <v>2.16</v>
      </c>
      <c r="AB26" s="111"/>
      <c r="AC26" s="112" t="str">
        <f t="shared" si="17"/>
        <v/>
      </c>
      <c r="AD26" s="113">
        <f t="shared" si="14"/>
        <v>784.65400000000011</v>
      </c>
      <c r="AE26" s="114">
        <v>0.3</v>
      </c>
      <c r="AF26" s="113">
        <f t="shared" si="15"/>
        <v>25.000000000000007</v>
      </c>
      <c r="AG26" s="115"/>
      <c r="AH26" s="86">
        <f t="shared" si="2"/>
        <v>786.81400000000008</v>
      </c>
      <c r="AI26" s="86">
        <f t="shared" si="6"/>
        <v>789.95500000000004</v>
      </c>
      <c r="AJ26" s="86" t="str">
        <f t="shared" si="3"/>
        <v>NAOI</v>
      </c>
      <c r="AK26" s="93">
        <f t="shared" si="18"/>
        <v>786.81400000000008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6"/>
        <v>0</v>
      </c>
    </row>
    <row r="27" spans="1:42" ht="15.75" x14ac:dyDescent="0.25">
      <c r="A27" s="94">
        <f t="shared" si="0"/>
        <v>25.300000000000008</v>
      </c>
      <c r="B27" s="95">
        <f t="shared" si="1"/>
        <v>784.68400000000008</v>
      </c>
      <c r="C27" s="96" t="str">
        <f t="shared" si="5"/>
        <v/>
      </c>
      <c r="D27" s="184"/>
      <c r="E27" s="117">
        <v>1.7</v>
      </c>
      <c r="X27" s="107"/>
      <c r="Y27" s="108"/>
      <c r="Z27" s="109"/>
      <c r="AA27" s="110">
        <v>2.13</v>
      </c>
      <c r="AB27" s="111"/>
      <c r="AC27" s="112" t="str">
        <f t="shared" si="17"/>
        <v/>
      </c>
      <c r="AD27" s="113">
        <f t="shared" si="14"/>
        <v>784.68400000000008</v>
      </c>
      <c r="AE27" s="114">
        <v>0.3</v>
      </c>
      <c r="AF27" s="113">
        <f t="shared" si="15"/>
        <v>25.300000000000008</v>
      </c>
      <c r="AG27" s="115"/>
      <c r="AH27" s="86">
        <f t="shared" si="2"/>
        <v>786.81400000000008</v>
      </c>
      <c r="AI27" s="86">
        <f t="shared" si="6"/>
        <v>789.95500000000004</v>
      </c>
      <c r="AJ27" s="86" t="str">
        <f t="shared" si="3"/>
        <v>NAOI</v>
      </c>
      <c r="AK27" s="93">
        <f t="shared" si="18"/>
        <v>786.81400000000008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6"/>
        <v>0</v>
      </c>
    </row>
    <row r="28" spans="1:42" ht="15.75" x14ac:dyDescent="0.25">
      <c r="A28" s="94">
        <f t="shared" si="0"/>
        <v>25.600000000000009</v>
      </c>
      <c r="B28" s="95">
        <f t="shared" si="1"/>
        <v>784.63400000000013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2.1800000000000002</v>
      </c>
      <c r="AB28" s="111"/>
      <c r="AC28" s="112" t="str">
        <f t="shared" si="17"/>
        <v/>
      </c>
      <c r="AD28" s="113">
        <f t="shared" si="14"/>
        <v>784.63400000000013</v>
      </c>
      <c r="AE28" s="114">
        <v>0.3</v>
      </c>
      <c r="AF28" s="113">
        <f t="shared" si="15"/>
        <v>25.600000000000009</v>
      </c>
      <c r="AG28" s="115"/>
      <c r="AH28" s="86">
        <f t="shared" si="2"/>
        <v>786.81400000000008</v>
      </c>
      <c r="AI28" s="86">
        <f t="shared" si="6"/>
        <v>789.95500000000004</v>
      </c>
      <c r="AJ28" s="86" t="str">
        <f t="shared" si="3"/>
        <v>NAOI</v>
      </c>
      <c r="AK28" s="93">
        <f t="shared" si="18"/>
        <v>786.81400000000008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6"/>
        <v>0</v>
      </c>
    </row>
    <row r="29" spans="1:42" ht="15.75" x14ac:dyDescent="0.25">
      <c r="A29" s="94">
        <f t="shared" si="0"/>
        <v>25.900000000000009</v>
      </c>
      <c r="B29" s="95">
        <f t="shared" si="1"/>
        <v>784.69400000000007</v>
      </c>
      <c r="C29" s="96" t="str">
        <f t="shared" si="5"/>
        <v/>
      </c>
      <c r="D29" s="184"/>
      <c r="E29" s="117">
        <v>1.2</v>
      </c>
      <c r="X29" s="107"/>
      <c r="Y29" s="108"/>
      <c r="Z29" s="109"/>
      <c r="AA29" s="110">
        <v>2.12</v>
      </c>
      <c r="AB29" s="111"/>
      <c r="AC29" s="112" t="str">
        <f t="shared" si="17"/>
        <v/>
      </c>
      <c r="AD29" s="113">
        <f t="shared" si="14"/>
        <v>784.69400000000007</v>
      </c>
      <c r="AE29" s="114">
        <v>0.3</v>
      </c>
      <c r="AF29" s="113">
        <f t="shared" si="15"/>
        <v>25.900000000000009</v>
      </c>
      <c r="AG29" s="116"/>
      <c r="AH29" s="86">
        <f t="shared" si="2"/>
        <v>786.81400000000008</v>
      </c>
      <c r="AI29" s="86">
        <f t="shared" si="6"/>
        <v>789.95500000000004</v>
      </c>
      <c r="AJ29" s="86" t="str">
        <f t="shared" si="3"/>
        <v>NAOI</v>
      </c>
      <c r="AK29" s="93">
        <f t="shared" si="18"/>
        <v>786.81400000000008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6"/>
        <v>0</v>
      </c>
    </row>
    <row r="30" spans="1:42" ht="15.75" x14ac:dyDescent="0.25">
      <c r="A30" s="94">
        <f t="shared" si="0"/>
        <v>26.800000000000008</v>
      </c>
      <c r="B30" s="95">
        <f t="shared" si="1"/>
        <v>785.01400000000012</v>
      </c>
      <c r="C30" s="96" t="str">
        <f t="shared" si="5"/>
        <v/>
      </c>
      <c r="D30" s="184"/>
      <c r="E30" s="117">
        <v>0.8</v>
      </c>
      <c r="X30" s="107"/>
      <c r="Y30" s="108"/>
      <c r="Z30" s="109"/>
      <c r="AA30" s="110">
        <v>1.8</v>
      </c>
      <c r="AB30" s="111"/>
      <c r="AC30" s="112" t="str">
        <f t="shared" si="17"/>
        <v/>
      </c>
      <c r="AD30" s="113">
        <f t="shared" si="14"/>
        <v>785.01400000000012</v>
      </c>
      <c r="AE30" s="114">
        <v>0.9</v>
      </c>
      <c r="AF30" s="113">
        <f t="shared" si="15"/>
        <v>26.800000000000008</v>
      </c>
      <c r="AG30" s="115"/>
      <c r="AH30" s="86">
        <f t="shared" si="2"/>
        <v>789.95500000000004</v>
      </c>
      <c r="AI30" s="86">
        <f t="shared" si="6"/>
        <v>789.95500000000004</v>
      </c>
      <c r="AJ30" s="86" t="str">
        <f t="shared" si="3"/>
        <v>NAOI</v>
      </c>
      <c r="AK30" s="93">
        <f t="shared" si="18"/>
        <v>786.81400000000008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6"/>
        <v>0</v>
      </c>
    </row>
    <row r="31" spans="1:42" ht="15.75" x14ac:dyDescent="0.25">
      <c r="A31" s="94">
        <f t="shared" si="0"/>
        <v>26.800000000000008</v>
      </c>
      <c r="B31" s="95">
        <f t="shared" si="1"/>
        <v>786.81400000000008</v>
      </c>
      <c r="C31" s="96" t="str">
        <f t="shared" si="5"/>
        <v>NAOD</v>
      </c>
      <c r="D31" s="184"/>
      <c r="E31" s="117">
        <v>0.55000000000000004</v>
      </c>
      <c r="X31" s="107"/>
      <c r="Y31" s="108"/>
      <c r="Z31" s="109"/>
      <c r="AA31" s="110">
        <v>3.141</v>
      </c>
      <c r="AB31" s="111"/>
      <c r="AC31" s="112" t="str">
        <f t="shared" si="17"/>
        <v/>
      </c>
      <c r="AD31" s="113">
        <f t="shared" si="14"/>
        <v>786.81400000000008</v>
      </c>
      <c r="AE31" s="114">
        <v>0</v>
      </c>
      <c r="AF31" s="113">
        <f t="shared" si="15"/>
        <v>26.800000000000008</v>
      </c>
      <c r="AG31" s="115" t="s">
        <v>10</v>
      </c>
      <c r="AH31" s="86">
        <f t="shared" si="2"/>
        <v>789.95500000000004</v>
      </c>
      <c r="AI31" s="86">
        <f t="shared" si="6"/>
        <v>789.95500000000004</v>
      </c>
      <c r="AJ31" s="86" t="str">
        <f t="shared" si="3"/>
        <v>NAOD</v>
      </c>
      <c r="AK31" s="93">
        <f t="shared" si="18"/>
        <v>786.81400000000008</v>
      </c>
      <c r="AL31" s="86" t="str">
        <f t="shared" si="7"/>
        <v/>
      </c>
      <c r="AM31" s="93" t="str">
        <f t="shared" si="8"/>
        <v/>
      </c>
      <c r="AN31" s="86">
        <f t="shared" si="9"/>
        <v>786.81400000000008</v>
      </c>
      <c r="AO31" s="86">
        <f t="shared" si="10"/>
        <v>26.800000000000008</v>
      </c>
      <c r="AP31" s="86">
        <f t="shared" si="16"/>
        <v>0</v>
      </c>
    </row>
    <row r="32" spans="1:42" ht="15.75" x14ac:dyDescent="0.25">
      <c r="A32" s="94">
        <f t="shared" si="0"/>
        <v>26.800000000000008</v>
      </c>
      <c r="B32" s="95">
        <f t="shared" si="1"/>
        <v>788.58900000000006</v>
      </c>
      <c r="C32" s="96" t="str">
        <f t="shared" si="5"/>
        <v/>
      </c>
      <c r="D32" s="184"/>
      <c r="E32" s="117">
        <v>0.35</v>
      </c>
      <c r="X32" s="107" t="s">
        <v>48</v>
      </c>
      <c r="Y32" s="108"/>
      <c r="Z32" s="109">
        <v>4.7699999999999996</v>
      </c>
      <c r="AA32" s="110"/>
      <c r="AB32" s="111">
        <v>1.3660000000000001</v>
      </c>
      <c r="AC32" s="112">
        <f t="shared" si="17"/>
        <v>793.35900000000004</v>
      </c>
      <c r="AD32" s="113">
        <f t="shared" si="14"/>
        <v>788.58900000000006</v>
      </c>
      <c r="AE32" s="114">
        <v>0</v>
      </c>
      <c r="AF32" s="113">
        <f t="shared" si="15"/>
        <v>26.800000000000008</v>
      </c>
      <c r="AG32" s="115"/>
      <c r="AH32" s="86">
        <f t="shared" si="2"/>
        <v>793.35900000000004</v>
      </c>
      <c r="AI32" s="86">
        <f t="shared" si="6"/>
        <v>793.35900000000004</v>
      </c>
      <c r="AJ32" s="86" t="str">
        <f t="shared" si="3"/>
        <v>NAOD</v>
      </c>
      <c r="AK32" s="93">
        <f t="shared" si="18"/>
        <v>788.58900000000006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6"/>
        <v>0</v>
      </c>
    </row>
    <row r="33" spans="1:42" ht="15.75" x14ac:dyDescent="0.25">
      <c r="A33" s="94">
        <f t="shared" si="0"/>
        <v>29.000000000000007</v>
      </c>
      <c r="B33" s="95">
        <f t="shared" si="1"/>
        <v>790.60900000000004</v>
      </c>
      <c r="C33" s="96" t="str">
        <f t="shared" si="5"/>
        <v/>
      </c>
      <c r="D33" s="184"/>
      <c r="X33" s="107"/>
      <c r="Y33" s="108"/>
      <c r="Z33" s="109"/>
      <c r="AA33" s="110">
        <v>2.75</v>
      </c>
      <c r="AB33" s="111"/>
      <c r="AC33" s="112" t="str">
        <f t="shared" ref="AC33:AC35" si="19">IF(AA33="",AD33+Z33,"")</f>
        <v/>
      </c>
      <c r="AD33" s="113">
        <f t="shared" si="14"/>
        <v>790.60900000000004</v>
      </c>
      <c r="AE33" s="114">
        <v>2.2000000000000002</v>
      </c>
      <c r="AF33" s="113">
        <f t="shared" ref="AF33:AF35" si="20">+AF32+AE33</f>
        <v>29.000000000000007</v>
      </c>
      <c r="AG33" s="115"/>
      <c r="AH33" s="86">
        <f t="shared" si="2"/>
        <v>793.35900000000004</v>
      </c>
      <c r="AI33" s="86">
        <f t="shared" si="6"/>
        <v>793.35900000000004</v>
      </c>
      <c r="AJ33" s="86" t="str">
        <f t="shared" si="3"/>
        <v>NAOD</v>
      </c>
      <c r="AK33" s="93">
        <f t="shared" si="18"/>
        <v>790.60900000000004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6"/>
        <v>0</v>
      </c>
    </row>
    <row r="34" spans="1:42" ht="15.75" x14ac:dyDescent="0.25">
      <c r="A34" s="94">
        <f t="shared" si="0"/>
        <v>31.000000000000007</v>
      </c>
      <c r="B34" s="95">
        <f t="shared" si="1"/>
        <v>793.10700000000008</v>
      </c>
      <c r="C34" s="96" t="str">
        <f t="shared" si="5"/>
        <v>PRD</v>
      </c>
      <c r="D34" s="184"/>
      <c r="X34" s="107"/>
      <c r="Y34" s="108"/>
      <c r="Z34" s="109"/>
      <c r="AA34" s="110">
        <v>0.252</v>
      </c>
      <c r="AB34" s="111"/>
      <c r="AC34" s="112" t="str">
        <f t="shared" si="19"/>
        <v/>
      </c>
      <c r="AD34" s="113">
        <f t="shared" si="14"/>
        <v>793.10700000000008</v>
      </c>
      <c r="AE34" s="114">
        <v>2</v>
      </c>
      <c r="AF34" s="113">
        <f t="shared" si="20"/>
        <v>31.000000000000007</v>
      </c>
      <c r="AG34" s="115" t="s">
        <v>5</v>
      </c>
      <c r="AH34" s="86">
        <f t="shared" si="2"/>
        <v>793.35900000000004</v>
      </c>
      <c r="AI34" s="86">
        <f t="shared" si="6"/>
        <v>793.35900000000004</v>
      </c>
      <c r="AJ34" s="86" t="str">
        <f t="shared" si="3"/>
        <v>PRD</v>
      </c>
      <c r="AK34" s="93">
        <f t="shared" si="18"/>
        <v>793.10700000000008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6"/>
        <v>0</v>
      </c>
    </row>
    <row r="35" spans="1:42" ht="15.75" x14ac:dyDescent="0.25">
      <c r="A35" s="94">
        <f>AF35</f>
        <v>31.000000000000007</v>
      </c>
      <c r="B35" s="95">
        <f>AD35</f>
        <v>791.85400000000004</v>
      </c>
      <c r="C35" s="96" t="str">
        <f>IF(AG35="","",AG35)</f>
        <v xml:space="preserve">S/BM </v>
      </c>
      <c r="D35" s="184"/>
      <c r="X35" s="107"/>
      <c r="Y35" s="108"/>
      <c r="Z35" s="109"/>
      <c r="AA35" s="110">
        <v>1.5049999999999999</v>
      </c>
      <c r="AB35" s="111"/>
      <c r="AC35" s="112" t="str">
        <f t="shared" si="19"/>
        <v/>
      </c>
      <c r="AD35" s="113">
        <f t="shared" si="14"/>
        <v>791.85400000000004</v>
      </c>
      <c r="AE35" s="114">
        <v>0</v>
      </c>
      <c r="AF35" s="113">
        <f t="shared" si="20"/>
        <v>31.000000000000007</v>
      </c>
      <c r="AG35" s="115" t="s">
        <v>46</v>
      </c>
      <c r="AH35" s="86">
        <f t="shared" si="2"/>
        <v>793.35900000000004</v>
      </c>
      <c r="AI35" s="86">
        <f>IF(AA35="",AC35,AI34)</f>
        <v>793.35900000000004</v>
      </c>
      <c r="AJ35" s="86" t="str">
        <f>IF(AG35="",AJ34,AG35)</f>
        <v xml:space="preserve">S/BM </v>
      </c>
      <c r="AK35" s="93">
        <f>IF(AND(AJ35="NAOI",AJ34="NAOI"),AK34,AD35)</f>
        <v>791.85400000000004</v>
      </c>
      <c r="AL35" s="86" t="str">
        <f>IF(AG35="NAOI",AD35,"")</f>
        <v/>
      </c>
      <c r="AM35" s="93" t="str">
        <f>IF(AG35="NAOI",AF35,"")</f>
        <v/>
      </c>
      <c r="AN35" s="86" t="str">
        <f>IF(AG35="NAOD",AD35,"")</f>
        <v/>
      </c>
      <c r="AO35" s="86" t="str">
        <f>IF(AG35="NAOD",AF35,"")</f>
        <v/>
      </c>
      <c r="AP35" s="86">
        <f t="shared" si="16"/>
        <v>0</v>
      </c>
    </row>
    <row r="36" spans="1:42" ht="15.75" x14ac:dyDescent="0.25">
      <c r="A36" s="94">
        <f t="shared" si="0"/>
        <v>0</v>
      </c>
      <c r="B36" s="95"/>
      <c r="C36" s="96" t="str">
        <f t="shared" si="5"/>
        <v/>
      </c>
      <c r="D36" s="184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2"/>
        <v>0</v>
      </c>
      <c r="AI36" s="86">
        <f t="shared" si="6"/>
        <v>0</v>
      </c>
      <c r="AJ36" s="86" t="str">
        <f t="shared" si="3"/>
        <v xml:space="preserve">S/BM </v>
      </c>
      <c r="AK36" s="93">
        <f t="shared" si="18"/>
        <v>0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6"/>
        <v>0</v>
      </c>
    </row>
    <row r="37" spans="1:42" ht="15.75" x14ac:dyDescent="0.25">
      <c r="A37" s="94">
        <f t="shared" si="0"/>
        <v>0</v>
      </c>
      <c r="B37" s="95"/>
      <c r="C37" s="96" t="str">
        <f t="shared" si="5"/>
        <v/>
      </c>
      <c r="D37" s="184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2"/>
        <v>0</v>
      </c>
      <c r="AI37" s="86">
        <f t="shared" si="6"/>
        <v>0</v>
      </c>
      <c r="AJ37" s="86" t="str">
        <f t="shared" si="3"/>
        <v xml:space="preserve">S/BM </v>
      </c>
      <c r="AK37" s="93">
        <f t="shared" si="18"/>
        <v>0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6"/>
        <v>0</v>
      </c>
    </row>
    <row r="38" spans="1:42" ht="15.75" x14ac:dyDescent="0.25">
      <c r="A38" s="94"/>
      <c r="B38" s="95"/>
      <c r="C38" s="96" t="str">
        <f t="shared" si="5"/>
        <v/>
      </c>
      <c r="D38" s="184"/>
      <c r="X38" s="107"/>
      <c r="Y38" s="108"/>
      <c r="Z38" s="109"/>
      <c r="AA38" s="110"/>
      <c r="AB38" s="111"/>
      <c r="AC38" s="112"/>
      <c r="AD38" s="113"/>
      <c r="AE38" s="114"/>
      <c r="AF38" s="113"/>
      <c r="AG38" s="116"/>
      <c r="AH38" s="86">
        <f t="shared" si="2"/>
        <v>0</v>
      </c>
      <c r="AI38" s="86">
        <f t="shared" si="6"/>
        <v>0</v>
      </c>
      <c r="AJ38" s="86" t="str">
        <f t="shared" si="3"/>
        <v xml:space="preserve">S/BM </v>
      </c>
      <c r="AK38" s="93">
        <f t="shared" si="18"/>
        <v>0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6"/>
        <v>0</v>
      </c>
    </row>
    <row r="39" spans="1:42" ht="15.75" x14ac:dyDescent="0.25">
      <c r="A39" s="94"/>
      <c r="B39" s="95"/>
      <c r="C39" s="96" t="str">
        <f t="shared" si="5"/>
        <v/>
      </c>
      <c r="D39" s="184"/>
      <c r="X39" s="107"/>
      <c r="Y39" s="108"/>
      <c r="Z39" s="109"/>
      <c r="AA39" s="110"/>
      <c r="AB39" s="111"/>
      <c r="AC39" s="112"/>
      <c r="AD39" s="113"/>
      <c r="AE39" s="114"/>
      <c r="AF39" s="113"/>
      <c r="AG39" s="115"/>
      <c r="AH39" s="86">
        <f t="shared" si="2"/>
        <v>0</v>
      </c>
      <c r="AI39" s="86">
        <f t="shared" si="6"/>
        <v>0</v>
      </c>
      <c r="AJ39" s="86" t="str">
        <f t="shared" si="3"/>
        <v xml:space="preserve">S/BM </v>
      </c>
      <c r="AK39" s="93">
        <f t="shared" si="18"/>
        <v>0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6"/>
        <v>0</v>
      </c>
    </row>
    <row r="40" spans="1:42" ht="15.75" x14ac:dyDescent="0.25">
      <c r="A40" s="94"/>
      <c r="B40" s="95"/>
      <c r="C40" s="96" t="str">
        <f>IF(AG40="","",AG40)</f>
        <v/>
      </c>
      <c r="D40" s="184"/>
      <c r="X40" s="107"/>
      <c r="Y40" s="108"/>
      <c r="Z40" s="109"/>
      <c r="AA40" s="110"/>
      <c r="AB40" s="111"/>
      <c r="AC40" s="112"/>
      <c r="AD40" s="113"/>
      <c r="AE40" s="114"/>
      <c r="AF40" s="113"/>
      <c r="AG40" s="115"/>
      <c r="AH40" s="86">
        <f t="shared" si="2"/>
        <v>0</v>
      </c>
      <c r="AI40" s="86">
        <f>IF(AA40="",AC40,AI39)</f>
        <v>0</v>
      </c>
      <c r="AJ40" s="86" t="str">
        <f>IF(AG40="",AJ39,AG40)</f>
        <v xml:space="preserve">S/BM </v>
      </c>
      <c r="AK40" s="93">
        <f>IF(AND(AJ40="NAOI",AJ39="NAOI"),AK39,AD40)</f>
        <v>0</v>
      </c>
      <c r="AL40" s="86" t="str">
        <f>IF(AG40="NAOI",AD40,"")</f>
        <v/>
      </c>
      <c r="AM40" s="93" t="str">
        <f>IF(AG40="NAOI",AF40,"")</f>
        <v/>
      </c>
      <c r="AN40" s="86" t="str">
        <f>IF(AG40="NAOD",AD40,"")</f>
        <v/>
      </c>
      <c r="AO40" s="86" t="str">
        <f>IF(AG40="NAOD",AF40,"")</f>
        <v/>
      </c>
      <c r="AP40" s="86">
        <f t="shared" si="16"/>
        <v>0</v>
      </c>
    </row>
    <row r="41" spans="1:42" ht="15.75" x14ac:dyDescent="0.25">
      <c r="A41" s="94"/>
      <c r="B41" s="95"/>
      <c r="C41" s="96" t="str">
        <f>IF(AG41="","",AG41)</f>
        <v/>
      </c>
      <c r="D41" s="184"/>
      <c r="X41" s="107"/>
      <c r="Y41" s="108"/>
      <c r="Z41" s="109"/>
      <c r="AA41" s="110"/>
      <c r="AB41" s="111"/>
      <c r="AC41" s="112"/>
      <c r="AD41" s="113"/>
      <c r="AE41" s="114"/>
      <c r="AF41" s="113"/>
      <c r="AG41" s="116"/>
      <c r="AH41" s="86">
        <f t="shared" si="2"/>
        <v>0</v>
      </c>
      <c r="AI41" s="86">
        <f t="shared" si="6"/>
        <v>0</v>
      </c>
      <c r="AJ41" s="86" t="str">
        <f>IF(AG41="",AJ40,AG41)</f>
        <v xml:space="preserve">S/BM </v>
      </c>
      <c r="AK41" s="93">
        <f t="shared" si="18"/>
        <v>0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6"/>
        <v>0</v>
      </c>
    </row>
    <row r="42" spans="1:42" ht="15.75" x14ac:dyDescent="0.25">
      <c r="A42" s="94"/>
      <c r="B42" s="95"/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8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6"/>
        <v>0</v>
      </c>
    </row>
    <row r="43" spans="1:42" ht="15.75" x14ac:dyDescent="0.25">
      <c r="A43" s="94"/>
      <c r="B43" s="95"/>
      <c r="C43" s="96" t="str">
        <f t="shared" si="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8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6"/>
        <v>0</v>
      </c>
    </row>
    <row r="44" spans="1:42" ht="15.75" x14ac:dyDescent="0.25">
      <c r="A44" s="94"/>
      <c r="B44" s="95"/>
      <c r="C44" s="96" t="str">
        <f t="shared" si="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8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6"/>
        <v>0</v>
      </c>
    </row>
    <row r="45" spans="1:42" ht="15.75" x14ac:dyDescent="0.25">
      <c r="A45" s="94"/>
      <c r="B45" s="95"/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8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6"/>
        <v>0</v>
      </c>
    </row>
    <row r="46" spans="1:42" ht="15.75" x14ac:dyDescent="0.25">
      <c r="A46" s="94"/>
      <c r="B46" s="95"/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8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6"/>
        <v>0</v>
      </c>
    </row>
    <row r="47" spans="1:42" ht="15.75" x14ac:dyDescent="0.25">
      <c r="A47" s="94"/>
      <c r="B47" s="95"/>
      <c r="C47" s="96" t="str">
        <f t="shared" ref="C47:C51" si="21">IF(AG47="","",AG47)</f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21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22">IF(AJ47="S/BM",1,0)</f>
        <v>0</v>
      </c>
    </row>
    <row r="49" spans="1:42" ht="15.75" x14ac:dyDescent="0.25">
      <c r="A49" s="94"/>
      <c r="B49" s="95"/>
      <c r="C49" s="96" t="str">
        <f t="shared" si="21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22"/>
        <v>0</v>
      </c>
    </row>
    <row r="50" spans="1:42" ht="15.75" x14ac:dyDescent="0.25">
      <c r="A50" s="94"/>
      <c r="B50" s="95"/>
      <c r="C50" s="96" t="str">
        <f t="shared" si="21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22"/>
        <v>0</v>
      </c>
    </row>
    <row r="51" spans="1:42" ht="16.5" thickBot="1" x14ac:dyDescent="0.3">
      <c r="A51" s="122"/>
      <c r="B51" s="123"/>
      <c r="C51" s="96" t="str">
        <f t="shared" si="21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22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13</v>
      </c>
      <c r="B53" s="136">
        <f>AL4</f>
        <v>786.81400000000008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26.800000000000008</v>
      </c>
      <c r="B54" s="136">
        <f>AN4</f>
        <v>786.81400000000008</v>
      </c>
      <c r="C54" s="139" t="s">
        <v>10</v>
      </c>
      <c r="D54" s="192"/>
    </row>
    <row r="55" spans="1:42" ht="20.100000000000001" customHeight="1" x14ac:dyDescent="0.2">
      <c r="A55" s="140">
        <v>25.4</v>
      </c>
      <c r="B55" s="141">
        <v>786.47199999999998</v>
      </c>
      <c r="C55" s="142" t="s">
        <v>8</v>
      </c>
      <c r="D55" s="192"/>
    </row>
    <row r="56" spans="1:42" ht="20.100000000000001" customHeight="1" x14ac:dyDescent="0.2">
      <c r="A56" s="140">
        <v>25.4</v>
      </c>
      <c r="B56" s="143">
        <f>B55+3</f>
        <v>789.47199999999998</v>
      </c>
      <c r="C56" s="142" t="s">
        <v>8</v>
      </c>
      <c r="D56" s="192"/>
    </row>
    <row r="57" spans="1:42" ht="20.100000000000001" customHeight="1" x14ac:dyDescent="0.2">
      <c r="A57" s="63">
        <v>25.8</v>
      </c>
      <c r="B57" s="143">
        <v>788.83600000000001</v>
      </c>
      <c r="C57" s="144" t="s">
        <v>2</v>
      </c>
      <c r="D57" s="192"/>
    </row>
    <row r="58" spans="1:42" ht="20.100000000000001" customHeight="1" thickBot="1" x14ac:dyDescent="0.25">
      <c r="A58" s="140">
        <v>25.8</v>
      </c>
      <c r="B58" s="143">
        <f>B57+1.5</f>
        <v>790.33600000000001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78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v>786.47199999999998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6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75</v>
      </c>
      <c r="C69" s="193"/>
    </row>
    <row r="70" spans="1:4" ht="14.25" x14ac:dyDescent="0.2">
      <c r="A70" s="157" t="s">
        <v>57</v>
      </c>
      <c r="B70" s="193" t="s">
        <v>75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43381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479" priority="207" stopIfTrue="1">
      <formula>$AP$47=1</formula>
    </cfRule>
  </conditionalFormatting>
  <conditionalFormatting sqref="AC46:AF46">
    <cfRule type="expression" dxfId="478" priority="206" stopIfTrue="1">
      <formula>$AP$46</formula>
    </cfRule>
  </conditionalFormatting>
  <conditionalFormatting sqref="AC50:AF50">
    <cfRule type="expression" dxfId="477" priority="205" stopIfTrue="1">
      <formula>$AP$50=1</formula>
    </cfRule>
  </conditionalFormatting>
  <conditionalFormatting sqref="AC51:AF51">
    <cfRule type="expression" dxfId="476" priority="204" stopIfTrue="1">
      <formula>$AP$51=1</formula>
    </cfRule>
  </conditionalFormatting>
  <conditionalFormatting sqref="AC49:AF49">
    <cfRule type="expression" dxfId="475" priority="203" stopIfTrue="1">
      <formula>$AP$49=1</formula>
    </cfRule>
  </conditionalFormatting>
  <conditionalFormatting sqref="AC48:AF48">
    <cfRule type="expression" dxfId="474" priority="202" stopIfTrue="1">
      <formula>$AP$48=1</formula>
    </cfRule>
  </conditionalFormatting>
  <conditionalFormatting sqref="AC45:AF45">
    <cfRule type="expression" dxfId="473" priority="201" stopIfTrue="1">
      <formula>$AP$45=1</formula>
    </cfRule>
  </conditionalFormatting>
  <conditionalFormatting sqref="AC44:AF44">
    <cfRule type="expression" dxfId="472" priority="200" stopIfTrue="1">
      <formula>$AP$44=1</formula>
    </cfRule>
  </conditionalFormatting>
  <conditionalFormatting sqref="AC43:AF43">
    <cfRule type="expression" dxfId="471" priority="199" stopIfTrue="1">
      <formula>$AP$43=1</formula>
    </cfRule>
  </conditionalFormatting>
  <conditionalFormatting sqref="AC42:AF42">
    <cfRule type="expression" dxfId="470" priority="198" stopIfTrue="1">
      <formula>$AP$42=1</formula>
    </cfRule>
  </conditionalFormatting>
  <conditionalFormatting sqref="AC41:AF41">
    <cfRule type="expression" dxfId="469" priority="197" stopIfTrue="1">
      <formula>$AP$41=1</formula>
    </cfRule>
  </conditionalFormatting>
  <conditionalFormatting sqref="AE40">
    <cfRule type="expression" dxfId="468" priority="196" stopIfTrue="1">
      <formula>$AP$40=1</formula>
    </cfRule>
  </conditionalFormatting>
  <conditionalFormatting sqref="AE39">
    <cfRule type="expression" dxfId="467" priority="195" stopIfTrue="1">
      <formula>$AP$39=1</formula>
    </cfRule>
  </conditionalFormatting>
  <conditionalFormatting sqref="AE38">
    <cfRule type="expression" dxfId="466" priority="194" stopIfTrue="1">
      <formula>$AP$38=1</formula>
    </cfRule>
  </conditionalFormatting>
  <conditionalFormatting sqref="AE37">
    <cfRule type="expression" dxfId="465" priority="193" stopIfTrue="1">
      <formula>$AP$37=1</formula>
    </cfRule>
  </conditionalFormatting>
  <conditionalFormatting sqref="AE36">
    <cfRule type="expression" dxfId="464" priority="192" stopIfTrue="1">
      <formula>$AP$36=1</formula>
    </cfRule>
  </conditionalFormatting>
  <conditionalFormatting sqref="AE35">
    <cfRule type="expression" dxfId="463" priority="190" stopIfTrue="1">
      <formula>$AP$35=1</formula>
    </cfRule>
    <cfRule type="expression" dxfId="462" priority="191" stopIfTrue="1">
      <formula>$AP$35=1</formula>
    </cfRule>
  </conditionalFormatting>
  <conditionalFormatting sqref="AE34">
    <cfRule type="expression" dxfId="461" priority="189" stopIfTrue="1">
      <formula>$AP$34=1</formula>
    </cfRule>
  </conditionalFormatting>
  <conditionalFormatting sqref="AE33">
    <cfRule type="expression" dxfId="460" priority="188" stopIfTrue="1">
      <formula>$AP$33=1</formula>
    </cfRule>
  </conditionalFormatting>
  <conditionalFormatting sqref="AE32">
    <cfRule type="expression" dxfId="459" priority="187" stopIfTrue="1">
      <formula>$AP$32=1</formula>
    </cfRule>
  </conditionalFormatting>
  <conditionalFormatting sqref="AE31">
    <cfRule type="expression" dxfId="458" priority="186" stopIfTrue="1">
      <formula>$AP$31=1</formula>
    </cfRule>
  </conditionalFormatting>
  <conditionalFormatting sqref="AC30:AF30">
    <cfRule type="expression" dxfId="457" priority="185" stopIfTrue="1">
      <formula>$AP$30</formula>
    </cfRule>
  </conditionalFormatting>
  <conditionalFormatting sqref="AC29:AD29 AF29">
    <cfRule type="expression" dxfId="456" priority="184" stopIfTrue="1">
      <formula>$AP$29=1</formula>
    </cfRule>
  </conditionalFormatting>
  <conditionalFormatting sqref="AC28:AD28 AF28">
    <cfRule type="expression" dxfId="455" priority="183" stopIfTrue="1">
      <formula>$AP$28=1</formula>
    </cfRule>
  </conditionalFormatting>
  <conditionalFormatting sqref="AC27:AD27 AF27">
    <cfRule type="expression" dxfId="454" priority="182" stopIfTrue="1">
      <formula>$AP$27=1</formula>
    </cfRule>
  </conditionalFormatting>
  <conditionalFormatting sqref="AC26:AD26 AF26">
    <cfRule type="expression" dxfId="453" priority="181" stopIfTrue="1">
      <formula>$AP$26=1</formula>
    </cfRule>
  </conditionalFormatting>
  <conditionalFormatting sqref="AC25:AD25 AF25">
    <cfRule type="expression" dxfId="452" priority="180" stopIfTrue="1">
      <formula>$AP$25=1</formula>
    </cfRule>
  </conditionalFormatting>
  <conditionalFormatting sqref="AC24:AD24 AF24">
    <cfRule type="expression" dxfId="451" priority="179" stopIfTrue="1">
      <formula>$AP$24=1</formula>
    </cfRule>
  </conditionalFormatting>
  <conditionalFormatting sqref="AC23:AD23 AF23">
    <cfRule type="expression" dxfId="450" priority="178" stopIfTrue="1">
      <formula>$AP$23=1</formula>
    </cfRule>
  </conditionalFormatting>
  <conditionalFormatting sqref="AC22:AD22 AF22">
    <cfRule type="expression" dxfId="449" priority="177" stopIfTrue="1">
      <formula>$AP$22=1</formula>
    </cfRule>
  </conditionalFormatting>
  <conditionalFormatting sqref="AC21:AD21 AF21">
    <cfRule type="expression" dxfId="448" priority="176" stopIfTrue="1">
      <formula>$AP$21=1</formula>
    </cfRule>
  </conditionalFormatting>
  <conditionalFormatting sqref="AC20:AD20 AF20">
    <cfRule type="expression" dxfId="447" priority="175" stopIfTrue="1">
      <formula>$AP$20=1</formula>
    </cfRule>
  </conditionalFormatting>
  <conditionalFormatting sqref="AC19:AD19 AF19">
    <cfRule type="expression" dxfId="446" priority="174" stopIfTrue="1">
      <formula>$AP$19=1</formula>
    </cfRule>
  </conditionalFormatting>
  <conditionalFormatting sqref="AC18:AD18 AF18">
    <cfRule type="expression" dxfId="445" priority="173" stopIfTrue="1">
      <formula>$AP$18=1</formula>
    </cfRule>
  </conditionalFormatting>
  <conditionalFormatting sqref="AC17:AD17 AF17">
    <cfRule type="expression" dxfId="444" priority="172" stopIfTrue="1">
      <formula>$AP$17=1</formula>
    </cfRule>
  </conditionalFormatting>
  <conditionalFormatting sqref="AC16:AD16 AF16">
    <cfRule type="expression" dxfId="443" priority="171" stopIfTrue="1">
      <formula>$AP$16=1</formula>
    </cfRule>
  </conditionalFormatting>
  <conditionalFormatting sqref="AC15:AD15 AF15">
    <cfRule type="expression" dxfId="442" priority="170" stopIfTrue="1">
      <formula>$AP$15=1</formula>
    </cfRule>
  </conditionalFormatting>
  <conditionalFormatting sqref="AC14:AD14 AF14">
    <cfRule type="expression" dxfId="441" priority="169" stopIfTrue="1">
      <formula>$AP$14=1</formula>
    </cfRule>
  </conditionalFormatting>
  <conditionalFormatting sqref="AC13:AD13 AF13">
    <cfRule type="expression" dxfId="440" priority="168" stopIfTrue="1">
      <formula>$AP$13=1</formula>
    </cfRule>
  </conditionalFormatting>
  <conditionalFormatting sqref="AC11:AF13 AE12:AE30">
    <cfRule type="expression" dxfId="439" priority="167" stopIfTrue="1">
      <formula>$AP$12=1</formula>
    </cfRule>
  </conditionalFormatting>
  <conditionalFormatting sqref="AC11:AF11">
    <cfRule type="expression" dxfId="438" priority="166" stopIfTrue="1">
      <formula>$AP$11=1</formula>
    </cfRule>
  </conditionalFormatting>
  <conditionalFormatting sqref="A51:B51">
    <cfRule type="expression" dxfId="437" priority="165" stopIfTrue="1">
      <formula>$AP$51=1</formula>
    </cfRule>
  </conditionalFormatting>
  <conditionalFormatting sqref="A50:B50">
    <cfRule type="expression" dxfId="436" priority="164" stopIfTrue="1">
      <formula>$AP$50=1</formula>
    </cfRule>
  </conditionalFormatting>
  <conditionalFormatting sqref="A49:B49">
    <cfRule type="expression" dxfId="435" priority="163" stopIfTrue="1">
      <formula>$AP$49=1</formula>
    </cfRule>
  </conditionalFormatting>
  <conditionalFormatting sqref="A48:B48">
    <cfRule type="expression" dxfId="434" priority="162" stopIfTrue="1">
      <formula>$AP$48=1</formula>
    </cfRule>
  </conditionalFormatting>
  <conditionalFormatting sqref="A47:B47">
    <cfRule type="expression" dxfId="433" priority="161" stopIfTrue="1">
      <formula>$AP$47=1</formula>
    </cfRule>
  </conditionalFormatting>
  <conditionalFormatting sqref="A46:B46">
    <cfRule type="expression" dxfId="432" priority="160" stopIfTrue="1">
      <formula>$AP$46=1</formula>
    </cfRule>
  </conditionalFormatting>
  <conditionalFormatting sqref="A45:B45">
    <cfRule type="expression" dxfId="431" priority="159" stopIfTrue="1">
      <formula>$AP$45=1</formula>
    </cfRule>
  </conditionalFormatting>
  <conditionalFormatting sqref="A44:B44">
    <cfRule type="expression" dxfId="430" priority="158" stopIfTrue="1">
      <formula>$AP$44=1</formula>
    </cfRule>
  </conditionalFormatting>
  <conditionalFormatting sqref="A43:B43">
    <cfRule type="expression" dxfId="429" priority="157" stopIfTrue="1">
      <formula>$AP$43=1</formula>
    </cfRule>
  </conditionalFormatting>
  <conditionalFormatting sqref="A42:B42">
    <cfRule type="expression" dxfId="428" priority="156" stopIfTrue="1">
      <formula>$AP$42=1</formula>
    </cfRule>
  </conditionalFormatting>
  <conditionalFormatting sqref="A41:B41">
    <cfRule type="expression" dxfId="427" priority="155" stopIfTrue="1">
      <formula>$AP$41=1</formula>
    </cfRule>
  </conditionalFormatting>
  <conditionalFormatting sqref="A40:B40">
    <cfRule type="expression" dxfId="426" priority="154" stopIfTrue="1">
      <formula>$AP$40=1</formula>
    </cfRule>
  </conditionalFormatting>
  <conditionalFormatting sqref="A30:B39">
    <cfRule type="expression" dxfId="425" priority="153" stopIfTrue="1">
      <formula>$AP$30=1</formula>
    </cfRule>
  </conditionalFormatting>
  <conditionalFormatting sqref="A29:B29">
    <cfRule type="expression" dxfId="424" priority="152" stopIfTrue="1">
      <formula>$AP$29=1</formula>
    </cfRule>
  </conditionalFormatting>
  <conditionalFormatting sqref="A28:B28">
    <cfRule type="expression" dxfId="423" priority="151" stopIfTrue="1">
      <formula>$AP$28=1</formula>
    </cfRule>
  </conditionalFormatting>
  <conditionalFormatting sqref="A27:B27">
    <cfRule type="expression" dxfId="422" priority="150" stopIfTrue="1">
      <formula>$AP$27=1</formula>
    </cfRule>
  </conditionalFormatting>
  <conditionalFormatting sqref="A26:B26">
    <cfRule type="expression" dxfId="421" priority="149" stopIfTrue="1">
      <formula>$AP$26=1</formula>
    </cfRule>
  </conditionalFormatting>
  <conditionalFormatting sqref="A25:B25">
    <cfRule type="expression" dxfId="420" priority="148" stopIfTrue="1">
      <formula>$AP$25=1</formula>
    </cfRule>
  </conditionalFormatting>
  <conditionalFormatting sqref="A24:B24">
    <cfRule type="expression" dxfId="419" priority="147" stopIfTrue="1">
      <formula>$AP$24=1</formula>
    </cfRule>
  </conditionalFormatting>
  <conditionalFormatting sqref="A23:B23">
    <cfRule type="expression" dxfId="418" priority="146" stopIfTrue="1">
      <formula>$AP$23=1</formula>
    </cfRule>
  </conditionalFormatting>
  <conditionalFormatting sqref="A22:B22">
    <cfRule type="expression" dxfId="417" priority="145" stopIfTrue="1">
      <formula>$AP$22=1</formula>
    </cfRule>
  </conditionalFormatting>
  <conditionalFormatting sqref="A21:B21">
    <cfRule type="expression" dxfId="416" priority="144" stopIfTrue="1">
      <formula>$AP$21=1</formula>
    </cfRule>
  </conditionalFormatting>
  <conditionalFormatting sqref="A20:B20">
    <cfRule type="expression" dxfId="415" priority="143" stopIfTrue="1">
      <formula>$AP$20=1</formula>
    </cfRule>
  </conditionalFormatting>
  <conditionalFormatting sqref="A19:B19">
    <cfRule type="expression" dxfId="414" priority="142" stopIfTrue="1">
      <formula>$AP$19=1</formula>
    </cfRule>
  </conditionalFormatting>
  <conditionalFormatting sqref="A18:B18">
    <cfRule type="expression" dxfId="413" priority="141" stopIfTrue="1">
      <formula>$AP$18=1</formula>
    </cfRule>
  </conditionalFormatting>
  <conditionalFormatting sqref="A17:B17">
    <cfRule type="expression" dxfId="412" priority="140" stopIfTrue="1">
      <formula>$AP$17=1</formula>
    </cfRule>
  </conditionalFormatting>
  <conditionalFormatting sqref="A16:B16">
    <cfRule type="expression" dxfId="411" priority="139" stopIfTrue="1">
      <formula>$AP$16=1</formula>
    </cfRule>
  </conditionalFormatting>
  <conditionalFormatting sqref="A15:B15">
    <cfRule type="expression" dxfId="410" priority="138" stopIfTrue="1">
      <formula>$AP$15=1</formula>
    </cfRule>
  </conditionalFormatting>
  <conditionalFormatting sqref="A14:B14">
    <cfRule type="expression" dxfId="409" priority="137" stopIfTrue="1">
      <formula>$AP$14=1</formula>
    </cfRule>
  </conditionalFormatting>
  <conditionalFormatting sqref="A13:B13">
    <cfRule type="expression" dxfId="408" priority="136" stopIfTrue="1">
      <formula>$AP$13=1</formula>
    </cfRule>
  </conditionalFormatting>
  <conditionalFormatting sqref="A12:B12">
    <cfRule type="expression" dxfId="407" priority="135" stopIfTrue="1">
      <formula>$AP$12=1</formula>
    </cfRule>
  </conditionalFormatting>
  <conditionalFormatting sqref="A11:B11">
    <cfRule type="expression" dxfId="406" priority="134" stopIfTrue="1">
      <formula>$AP$11=1</formula>
    </cfRule>
  </conditionalFormatting>
  <conditionalFormatting sqref="A10:B10">
    <cfRule type="expression" dxfId="405" priority="133" stopIfTrue="1">
      <formula>$AP$10=1</formula>
    </cfRule>
  </conditionalFormatting>
  <conditionalFormatting sqref="AF31">
    <cfRule type="expression" dxfId="404" priority="132" stopIfTrue="1">
      <formula>$AP$30</formula>
    </cfRule>
  </conditionalFormatting>
  <conditionalFormatting sqref="AD30:AD40">
    <cfRule type="expression" dxfId="403" priority="131" stopIfTrue="1">
      <formula>$AP$30</formula>
    </cfRule>
  </conditionalFormatting>
  <conditionalFormatting sqref="AF31:AF40">
    <cfRule type="expression" dxfId="402" priority="130" stopIfTrue="1">
      <formula>$AP$30</formula>
    </cfRule>
  </conditionalFormatting>
  <conditionalFormatting sqref="AC30:AC40">
    <cfRule type="expression" dxfId="401" priority="129" stopIfTrue="1">
      <formula>$AP$30</formula>
    </cfRule>
  </conditionalFormatting>
  <conditionalFormatting sqref="AC32">
    <cfRule type="expression" dxfId="400" priority="128" stopIfTrue="1">
      <formula>$AP$30</formula>
    </cfRule>
  </conditionalFormatting>
  <conditionalFormatting sqref="AE36">
    <cfRule type="expression" dxfId="399" priority="126" stopIfTrue="1">
      <formula>$AP$35=1</formula>
    </cfRule>
    <cfRule type="expression" dxfId="398" priority="127" stopIfTrue="1">
      <formula>$AP$35=1</formula>
    </cfRule>
  </conditionalFormatting>
  <conditionalFormatting sqref="AE35">
    <cfRule type="expression" dxfId="397" priority="125" stopIfTrue="1">
      <formula>$AP$34=1</formula>
    </cfRule>
  </conditionalFormatting>
  <conditionalFormatting sqref="AE34">
    <cfRule type="expression" dxfId="396" priority="124" stopIfTrue="1">
      <formula>$AP$33=1</formula>
    </cfRule>
  </conditionalFormatting>
  <conditionalFormatting sqref="AE33">
    <cfRule type="expression" dxfId="395" priority="123" stopIfTrue="1">
      <formula>$AP$32=1</formula>
    </cfRule>
  </conditionalFormatting>
  <conditionalFormatting sqref="AE32">
    <cfRule type="expression" dxfId="394" priority="122" stopIfTrue="1">
      <formula>$AP$31=1</formula>
    </cfRule>
  </conditionalFormatting>
  <conditionalFormatting sqref="AC31:AF31">
    <cfRule type="expression" dxfId="393" priority="121" stopIfTrue="1">
      <formula>$AP$30</formula>
    </cfRule>
  </conditionalFormatting>
  <conditionalFormatting sqref="AC30:AD30 AF30">
    <cfRule type="expression" dxfId="392" priority="120" stopIfTrue="1">
      <formula>$AP$29=1</formula>
    </cfRule>
  </conditionalFormatting>
  <conditionalFormatting sqref="AC29:AD29 AF29">
    <cfRule type="expression" dxfId="391" priority="119" stopIfTrue="1">
      <formula>$AP$28=1</formula>
    </cfRule>
  </conditionalFormatting>
  <conditionalFormatting sqref="AC28:AD28 AF28">
    <cfRule type="expression" dxfId="390" priority="118" stopIfTrue="1">
      <formula>$AP$27=1</formula>
    </cfRule>
  </conditionalFormatting>
  <conditionalFormatting sqref="AC27:AD27 AF27">
    <cfRule type="expression" dxfId="389" priority="117" stopIfTrue="1">
      <formula>$AP$26=1</formula>
    </cfRule>
  </conditionalFormatting>
  <conditionalFormatting sqref="AC26:AD26 AF26">
    <cfRule type="expression" dxfId="388" priority="116" stopIfTrue="1">
      <formula>$AP$25=1</formula>
    </cfRule>
  </conditionalFormatting>
  <conditionalFormatting sqref="AC25:AD25 AF25">
    <cfRule type="expression" dxfId="387" priority="115" stopIfTrue="1">
      <formula>$AP$24=1</formula>
    </cfRule>
  </conditionalFormatting>
  <conditionalFormatting sqref="AC24:AD24 AF24">
    <cfRule type="expression" dxfId="386" priority="114" stopIfTrue="1">
      <formula>$AP$23=1</formula>
    </cfRule>
  </conditionalFormatting>
  <conditionalFormatting sqref="AC23:AD23 AF23">
    <cfRule type="expression" dxfId="385" priority="113" stopIfTrue="1">
      <formula>$AP$22=1</formula>
    </cfRule>
  </conditionalFormatting>
  <conditionalFormatting sqref="AC22:AD22 AF22">
    <cfRule type="expression" dxfId="384" priority="112" stopIfTrue="1">
      <formula>$AP$21=1</formula>
    </cfRule>
  </conditionalFormatting>
  <conditionalFormatting sqref="AC21:AD21 AF21">
    <cfRule type="expression" dxfId="383" priority="111" stopIfTrue="1">
      <formula>$AP$20=1</formula>
    </cfRule>
  </conditionalFormatting>
  <conditionalFormatting sqref="AC20:AD20 AF20">
    <cfRule type="expression" dxfId="382" priority="110" stopIfTrue="1">
      <formula>$AP$19=1</formula>
    </cfRule>
  </conditionalFormatting>
  <conditionalFormatting sqref="AC19:AD19 AF19">
    <cfRule type="expression" dxfId="381" priority="109" stopIfTrue="1">
      <formula>$AP$18=1</formula>
    </cfRule>
  </conditionalFormatting>
  <conditionalFormatting sqref="AC18:AD18 AF18">
    <cfRule type="expression" dxfId="380" priority="108" stopIfTrue="1">
      <formula>$AP$17=1</formula>
    </cfRule>
  </conditionalFormatting>
  <conditionalFormatting sqref="AC17:AD17 AF17">
    <cfRule type="expression" dxfId="379" priority="107" stopIfTrue="1">
      <formula>$AP$16=1</formula>
    </cfRule>
  </conditionalFormatting>
  <conditionalFormatting sqref="AC16:AD16 AF16">
    <cfRule type="expression" dxfId="378" priority="106" stopIfTrue="1">
      <formula>$AP$15=1</formula>
    </cfRule>
  </conditionalFormatting>
  <conditionalFormatting sqref="AC15:AD15 AF15">
    <cfRule type="expression" dxfId="377" priority="105" stopIfTrue="1">
      <formula>$AP$14=1</formula>
    </cfRule>
  </conditionalFormatting>
  <conditionalFormatting sqref="AC14:AD14 AF14">
    <cfRule type="expression" dxfId="376" priority="104" stopIfTrue="1">
      <formula>$AP$13=1</formula>
    </cfRule>
  </conditionalFormatting>
  <conditionalFormatting sqref="AC12:AF12">
    <cfRule type="expression" dxfId="375" priority="103" stopIfTrue="1">
      <formula>$AP$11=1</formula>
    </cfRule>
  </conditionalFormatting>
  <conditionalFormatting sqref="AF32">
    <cfRule type="expression" dxfId="374" priority="102" stopIfTrue="1">
      <formula>$AP$30</formula>
    </cfRule>
  </conditionalFormatting>
  <conditionalFormatting sqref="AC33">
    <cfRule type="expression" dxfId="373" priority="101" stopIfTrue="1">
      <formula>$AP$30</formula>
    </cfRule>
  </conditionalFormatting>
  <conditionalFormatting sqref="AE37">
    <cfRule type="expression" dxfId="372" priority="100" stopIfTrue="1">
      <formula>$AP$36=1</formula>
    </cfRule>
  </conditionalFormatting>
  <conditionalFormatting sqref="AE36">
    <cfRule type="expression" dxfId="371" priority="98" stopIfTrue="1">
      <formula>$AP$35=1</formula>
    </cfRule>
    <cfRule type="expression" dxfId="370" priority="99" stopIfTrue="1">
      <formula>$AP$35=1</formula>
    </cfRule>
  </conditionalFormatting>
  <conditionalFormatting sqref="AE35">
    <cfRule type="expression" dxfId="369" priority="97" stopIfTrue="1">
      <formula>$AP$34=1</formula>
    </cfRule>
  </conditionalFormatting>
  <conditionalFormatting sqref="AE37">
    <cfRule type="expression" dxfId="368" priority="95" stopIfTrue="1">
      <formula>$AP$35=1</formula>
    </cfRule>
    <cfRule type="expression" dxfId="367" priority="96" stopIfTrue="1">
      <formula>$AP$35=1</formula>
    </cfRule>
  </conditionalFormatting>
  <conditionalFormatting sqref="AE36">
    <cfRule type="expression" dxfId="366" priority="94" stopIfTrue="1">
      <formula>$AP$34=1</formula>
    </cfRule>
  </conditionalFormatting>
  <conditionalFormatting sqref="AE35">
    <cfRule type="expression" dxfId="365" priority="93" stopIfTrue="1">
      <formula>$AP$33=1</formula>
    </cfRule>
  </conditionalFormatting>
  <conditionalFormatting sqref="AE36">
    <cfRule type="expression" dxfId="364" priority="92" stopIfTrue="1">
      <formula>$AP$37=1</formula>
    </cfRule>
  </conditionalFormatting>
  <conditionalFormatting sqref="AE35">
    <cfRule type="expression" dxfId="363" priority="91" stopIfTrue="1">
      <formula>$AP$36=1</formula>
    </cfRule>
  </conditionalFormatting>
  <conditionalFormatting sqref="AE34">
    <cfRule type="expression" dxfId="362" priority="89" stopIfTrue="1">
      <formula>$AP$35=1</formula>
    </cfRule>
    <cfRule type="expression" dxfId="361" priority="90" stopIfTrue="1">
      <formula>$AP$35=1</formula>
    </cfRule>
  </conditionalFormatting>
  <conditionalFormatting sqref="AE33">
    <cfRule type="expression" dxfId="360" priority="88" stopIfTrue="1">
      <formula>$AP$34=1</formula>
    </cfRule>
  </conditionalFormatting>
  <conditionalFormatting sqref="AE32">
    <cfRule type="expression" dxfId="359" priority="87" stopIfTrue="1">
      <formula>$AP$33=1</formula>
    </cfRule>
  </conditionalFormatting>
  <conditionalFormatting sqref="AE31">
    <cfRule type="expression" dxfId="358" priority="86" stopIfTrue="1">
      <formula>$AP$32=1</formula>
    </cfRule>
  </conditionalFormatting>
  <conditionalFormatting sqref="AE30">
    <cfRule type="expression" dxfId="357" priority="85" stopIfTrue="1">
      <formula>$AP$31=1</formula>
    </cfRule>
  </conditionalFormatting>
  <conditionalFormatting sqref="AC29:AF29">
    <cfRule type="expression" dxfId="356" priority="84" stopIfTrue="1">
      <formula>$AP$30</formula>
    </cfRule>
  </conditionalFormatting>
  <conditionalFormatting sqref="AC28:AD28 AF28">
    <cfRule type="expression" dxfId="355" priority="83" stopIfTrue="1">
      <formula>$AP$29=1</formula>
    </cfRule>
  </conditionalFormatting>
  <conditionalFormatting sqref="AC27:AD27 AF27">
    <cfRule type="expression" dxfId="354" priority="82" stopIfTrue="1">
      <formula>$AP$28=1</formula>
    </cfRule>
  </conditionalFormatting>
  <conditionalFormatting sqref="AC26:AD26 AF26">
    <cfRule type="expression" dxfId="353" priority="81" stopIfTrue="1">
      <formula>$AP$27=1</formula>
    </cfRule>
  </conditionalFormatting>
  <conditionalFormatting sqref="AC25:AD25 AF25">
    <cfRule type="expression" dxfId="352" priority="80" stopIfTrue="1">
      <formula>$AP$26=1</formula>
    </cfRule>
  </conditionalFormatting>
  <conditionalFormatting sqref="AC24:AD24 AF24">
    <cfRule type="expression" dxfId="351" priority="79" stopIfTrue="1">
      <formula>$AP$25=1</formula>
    </cfRule>
  </conditionalFormatting>
  <conditionalFormatting sqref="AC23:AD23 AF23">
    <cfRule type="expression" dxfId="350" priority="78" stopIfTrue="1">
      <formula>$AP$24=1</formula>
    </cfRule>
  </conditionalFormatting>
  <conditionalFormatting sqref="AC22:AD22 AF22">
    <cfRule type="expression" dxfId="349" priority="77" stopIfTrue="1">
      <formula>$AP$23=1</formula>
    </cfRule>
  </conditionalFormatting>
  <conditionalFormatting sqref="AC21:AD21 AF21">
    <cfRule type="expression" dxfId="348" priority="76" stopIfTrue="1">
      <formula>$AP$22=1</formula>
    </cfRule>
  </conditionalFormatting>
  <conditionalFormatting sqref="AC20:AD20 AF20">
    <cfRule type="expression" dxfId="347" priority="75" stopIfTrue="1">
      <formula>$AP$21=1</formula>
    </cfRule>
  </conditionalFormatting>
  <conditionalFormatting sqref="AC19:AD19 AF19">
    <cfRule type="expression" dxfId="346" priority="74" stopIfTrue="1">
      <formula>$AP$20=1</formula>
    </cfRule>
  </conditionalFormatting>
  <conditionalFormatting sqref="AC18:AD18 AF18">
    <cfRule type="expression" dxfId="345" priority="73" stopIfTrue="1">
      <formula>$AP$19=1</formula>
    </cfRule>
  </conditionalFormatting>
  <conditionalFormatting sqref="AC17:AD17 AF17">
    <cfRule type="expression" dxfId="344" priority="72" stopIfTrue="1">
      <formula>$AP$18=1</formula>
    </cfRule>
  </conditionalFormatting>
  <conditionalFormatting sqref="AC16:AD16 AF16">
    <cfRule type="expression" dxfId="343" priority="71" stopIfTrue="1">
      <formula>$AP$17=1</formula>
    </cfRule>
  </conditionalFormatting>
  <conditionalFormatting sqref="AC15:AD15 AF15">
    <cfRule type="expression" dxfId="342" priority="70" stopIfTrue="1">
      <formula>$AP$16=1</formula>
    </cfRule>
  </conditionalFormatting>
  <conditionalFormatting sqref="AC14:AD14 AF14">
    <cfRule type="expression" dxfId="341" priority="69" stopIfTrue="1">
      <formula>$AP$15=1</formula>
    </cfRule>
  </conditionalFormatting>
  <conditionalFormatting sqref="AC13:AD13 AF13">
    <cfRule type="expression" dxfId="340" priority="68" stopIfTrue="1">
      <formula>$AP$14=1</formula>
    </cfRule>
  </conditionalFormatting>
  <conditionalFormatting sqref="AC12:AD12 AF12">
    <cfRule type="expression" dxfId="339" priority="67" stopIfTrue="1">
      <formula>$AP$13=1</formula>
    </cfRule>
  </conditionalFormatting>
  <conditionalFormatting sqref="AC10:AF10">
    <cfRule type="expression" dxfId="338" priority="66" stopIfTrue="1">
      <formula>$AP$11=1</formula>
    </cfRule>
  </conditionalFormatting>
  <conditionalFormatting sqref="AF30">
    <cfRule type="expression" dxfId="337" priority="65" stopIfTrue="1">
      <formula>$AP$30</formula>
    </cfRule>
  </conditionalFormatting>
  <conditionalFormatting sqref="AC31">
    <cfRule type="expression" dxfId="336" priority="64" stopIfTrue="1">
      <formula>$AP$30</formula>
    </cfRule>
  </conditionalFormatting>
  <conditionalFormatting sqref="AE35">
    <cfRule type="expression" dxfId="335" priority="62" stopIfTrue="1">
      <formula>$AP$35=1</formula>
    </cfRule>
    <cfRule type="expression" dxfId="334" priority="63" stopIfTrue="1">
      <formula>$AP$35=1</formula>
    </cfRule>
  </conditionalFormatting>
  <conditionalFormatting sqref="AE34">
    <cfRule type="expression" dxfId="333" priority="61" stopIfTrue="1">
      <formula>$AP$34=1</formula>
    </cfRule>
  </conditionalFormatting>
  <conditionalFormatting sqref="AE33">
    <cfRule type="expression" dxfId="332" priority="60" stopIfTrue="1">
      <formula>$AP$33=1</formula>
    </cfRule>
  </conditionalFormatting>
  <conditionalFormatting sqref="AE32">
    <cfRule type="expression" dxfId="331" priority="59" stopIfTrue="1">
      <formula>$AP$32=1</formula>
    </cfRule>
  </conditionalFormatting>
  <conditionalFormatting sqref="AE31">
    <cfRule type="expression" dxfId="330" priority="58" stopIfTrue="1">
      <formula>$AP$31=1</formula>
    </cfRule>
  </conditionalFormatting>
  <conditionalFormatting sqref="AC30:AF30">
    <cfRule type="expression" dxfId="329" priority="57" stopIfTrue="1">
      <formula>$AP$30</formula>
    </cfRule>
  </conditionalFormatting>
  <conditionalFormatting sqref="AC29:AD29 AF29">
    <cfRule type="expression" dxfId="328" priority="56" stopIfTrue="1">
      <formula>$AP$29=1</formula>
    </cfRule>
  </conditionalFormatting>
  <conditionalFormatting sqref="AC28:AD28 AF28">
    <cfRule type="expression" dxfId="327" priority="55" stopIfTrue="1">
      <formula>$AP$28=1</formula>
    </cfRule>
  </conditionalFormatting>
  <conditionalFormatting sqref="AC27:AD27 AF27">
    <cfRule type="expression" dxfId="326" priority="54" stopIfTrue="1">
      <formula>$AP$27=1</formula>
    </cfRule>
  </conditionalFormatting>
  <conditionalFormatting sqref="AC26:AD26 AF26">
    <cfRule type="expression" dxfId="325" priority="53" stopIfTrue="1">
      <formula>$AP$26=1</formula>
    </cfRule>
  </conditionalFormatting>
  <conditionalFormatting sqref="AC25:AD25 AF25">
    <cfRule type="expression" dxfId="324" priority="52" stopIfTrue="1">
      <formula>$AP$25=1</formula>
    </cfRule>
  </conditionalFormatting>
  <conditionalFormatting sqref="AC24:AD24 AF24">
    <cfRule type="expression" dxfId="323" priority="51" stopIfTrue="1">
      <formula>$AP$24=1</formula>
    </cfRule>
  </conditionalFormatting>
  <conditionalFormatting sqref="AC23:AD23 AF23">
    <cfRule type="expression" dxfId="322" priority="50" stopIfTrue="1">
      <formula>$AP$23=1</formula>
    </cfRule>
  </conditionalFormatting>
  <conditionalFormatting sqref="AC22:AD22 AF22">
    <cfRule type="expression" dxfId="321" priority="49" stopIfTrue="1">
      <formula>$AP$22=1</formula>
    </cfRule>
  </conditionalFormatting>
  <conditionalFormatting sqref="AC21:AD21 AF21">
    <cfRule type="expression" dxfId="320" priority="48" stopIfTrue="1">
      <formula>$AP$21=1</formula>
    </cfRule>
  </conditionalFormatting>
  <conditionalFormatting sqref="AC20:AD20 AF20">
    <cfRule type="expression" dxfId="319" priority="47" stopIfTrue="1">
      <formula>$AP$20=1</formula>
    </cfRule>
  </conditionalFormatting>
  <conditionalFormatting sqref="AC19:AD19 AF19">
    <cfRule type="expression" dxfId="318" priority="46" stopIfTrue="1">
      <formula>$AP$19=1</formula>
    </cfRule>
  </conditionalFormatting>
  <conditionalFormatting sqref="AC18:AD18 AF18">
    <cfRule type="expression" dxfId="317" priority="45" stopIfTrue="1">
      <formula>$AP$18=1</formula>
    </cfRule>
  </conditionalFormatting>
  <conditionalFormatting sqref="AC17:AD17 AF17">
    <cfRule type="expression" dxfId="316" priority="44" stopIfTrue="1">
      <formula>$AP$17=1</formula>
    </cfRule>
  </conditionalFormatting>
  <conditionalFormatting sqref="AC16:AD16 AF16">
    <cfRule type="expression" dxfId="315" priority="43" stopIfTrue="1">
      <formula>$AP$16=1</formula>
    </cfRule>
  </conditionalFormatting>
  <conditionalFormatting sqref="AC15:AD15 AF15">
    <cfRule type="expression" dxfId="314" priority="42" stopIfTrue="1">
      <formula>$AP$15=1</formula>
    </cfRule>
  </conditionalFormatting>
  <conditionalFormatting sqref="AC14:AD14 AF14">
    <cfRule type="expression" dxfId="313" priority="41" stopIfTrue="1">
      <formula>$AP$14=1</formula>
    </cfRule>
  </conditionalFormatting>
  <conditionalFormatting sqref="AC13:AD13 AF13">
    <cfRule type="expression" dxfId="312" priority="40" stopIfTrue="1">
      <formula>$AP$13=1</formula>
    </cfRule>
  </conditionalFormatting>
  <conditionalFormatting sqref="AC11:AF11">
    <cfRule type="expression" dxfId="311" priority="39" stopIfTrue="1">
      <formula>$AP$11=1</formula>
    </cfRule>
  </conditionalFormatting>
  <conditionalFormatting sqref="AF31">
    <cfRule type="expression" dxfId="310" priority="38" stopIfTrue="1">
      <formula>$AP$30</formula>
    </cfRule>
  </conditionalFormatting>
  <conditionalFormatting sqref="AC32">
    <cfRule type="expression" dxfId="309" priority="37" stopIfTrue="1">
      <formula>$AP$30</formula>
    </cfRule>
  </conditionalFormatting>
  <conditionalFormatting sqref="AE36">
    <cfRule type="expression" dxfId="308" priority="36" stopIfTrue="1">
      <formula>$AP$36=1</formula>
    </cfRule>
  </conditionalFormatting>
  <conditionalFormatting sqref="AE35">
    <cfRule type="expression" dxfId="307" priority="34" stopIfTrue="1">
      <formula>$AP$35=1</formula>
    </cfRule>
    <cfRule type="expression" dxfId="306" priority="35" stopIfTrue="1">
      <formula>$AP$35=1</formula>
    </cfRule>
  </conditionalFormatting>
  <conditionalFormatting sqref="AE34">
    <cfRule type="expression" dxfId="305" priority="33" stopIfTrue="1">
      <formula>$AP$34=1</formula>
    </cfRule>
  </conditionalFormatting>
  <conditionalFormatting sqref="AE36">
    <cfRule type="expression" dxfId="304" priority="31" stopIfTrue="1">
      <formula>$AP$35=1</formula>
    </cfRule>
    <cfRule type="expression" dxfId="303" priority="32" stopIfTrue="1">
      <formula>$AP$35=1</formula>
    </cfRule>
  </conditionalFormatting>
  <conditionalFormatting sqref="AE35">
    <cfRule type="expression" dxfId="302" priority="30" stopIfTrue="1">
      <formula>$AP$34=1</formula>
    </cfRule>
  </conditionalFormatting>
  <conditionalFormatting sqref="AE34">
    <cfRule type="expression" dxfId="301" priority="29" stopIfTrue="1">
      <formula>$AP$33=1</formula>
    </cfRule>
  </conditionalFormatting>
  <conditionalFormatting sqref="AE35">
    <cfRule type="expression" dxfId="300" priority="28" stopIfTrue="1">
      <formula>$AP$36=1</formula>
    </cfRule>
  </conditionalFormatting>
  <conditionalFormatting sqref="AE34">
    <cfRule type="expression" dxfId="299" priority="26" stopIfTrue="1">
      <formula>$AP$35=1</formula>
    </cfRule>
    <cfRule type="expression" dxfId="298" priority="27" stopIfTrue="1">
      <formula>$AP$35=1</formula>
    </cfRule>
  </conditionalFormatting>
  <conditionalFormatting sqref="AE33">
    <cfRule type="expression" dxfId="297" priority="25" stopIfTrue="1">
      <formula>$AP$34=1</formula>
    </cfRule>
  </conditionalFormatting>
  <conditionalFormatting sqref="AE35">
    <cfRule type="expression" dxfId="296" priority="23" stopIfTrue="1">
      <formula>$AP$35=1</formula>
    </cfRule>
    <cfRule type="expression" dxfId="295" priority="24" stopIfTrue="1">
      <formula>$AP$35=1</formula>
    </cfRule>
  </conditionalFormatting>
  <conditionalFormatting sqref="AE34">
    <cfRule type="expression" dxfId="294" priority="22" stopIfTrue="1">
      <formula>$AP$34=1</formula>
    </cfRule>
  </conditionalFormatting>
  <conditionalFormatting sqref="AE33">
    <cfRule type="expression" dxfId="293" priority="21" stopIfTrue="1">
      <formula>$AP$33=1</formula>
    </cfRule>
  </conditionalFormatting>
  <conditionalFormatting sqref="AE35">
    <cfRule type="expression" dxfId="292" priority="19" stopIfTrue="1">
      <formula>$AP$35=1</formula>
    </cfRule>
    <cfRule type="expression" dxfId="291" priority="20" stopIfTrue="1">
      <formula>$AP$35=1</formula>
    </cfRule>
  </conditionalFormatting>
  <conditionalFormatting sqref="AE34">
    <cfRule type="expression" dxfId="290" priority="18" stopIfTrue="1">
      <formula>$AP$34=1</formula>
    </cfRule>
  </conditionalFormatting>
  <conditionalFormatting sqref="AE35">
    <cfRule type="expression" dxfId="289" priority="17" stopIfTrue="1">
      <formula>$AP$34=1</formula>
    </cfRule>
  </conditionalFormatting>
  <conditionalFormatting sqref="AE34">
    <cfRule type="expression" dxfId="288" priority="16" stopIfTrue="1">
      <formula>$AP$33=1</formula>
    </cfRule>
  </conditionalFormatting>
  <conditionalFormatting sqref="AE35">
    <cfRule type="expression" dxfId="287" priority="15" stopIfTrue="1">
      <formula>$AP$37=1</formula>
    </cfRule>
  </conditionalFormatting>
  <conditionalFormatting sqref="AE34">
    <cfRule type="expression" dxfId="286" priority="14" stopIfTrue="1">
      <formula>$AP$36=1</formula>
    </cfRule>
  </conditionalFormatting>
  <conditionalFormatting sqref="AE33">
    <cfRule type="expression" dxfId="285" priority="12" stopIfTrue="1">
      <formula>$AP$35=1</formula>
    </cfRule>
    <cfRule type="expression" dxfId="284" priority="13" stopIfTrue="1">
      <formula>$AP$35=1</formula>
    </cfRule>
  </conditionalFormatting>
  <conditionalFormatting sqref="AE34">
    <cfRule type="expression" dxfId="283" priority="10" stopIfTrue="1">
      <formula>$AP$35=1</formula>
    </cfRule>
    <cfRule type="expression" dxfId="282" priority="11" stopIfTrue="1">
      <formula>$AP$35=1</formula>
    </cfRule>
  </conditionalFormatting>
  <conditionalFormatting sqref="AE33">
    <cfRule type="expression" dxfId="281" priority="9" stopIfTrue="1">
      <formula>$AP$34=1</formula>
    </cfRule>
  </conditionalFormatting>
  <conditionalFormatting sqref="AE35">
    <cfRule type="expression" dxfId="280" priority="8" stopIfTrue="1">
      <formula>$AP$36=1</formula>
    </cfRule>
  </conditionalFormatting>
  <conditionalFormatting sqref="AE34">
    <cfRule type="expression" dxfId="279" priority="6" stopIfTrue="1">
      <formula>$AP$35=1</formula>
    </cfRule>
    <cfRule type="expression" dxfId="278" priority="7" stopIfTrue="1">
      <formula>$AP$35=1</formula>
    </cfRule>
  </conditionalFormatting>
  <conditionalFormatting sqref="AE33">
    <cfRule type="expression" dxfId="277" priority="5" stopIfTrue="1">
      <formula>$AP$34=1</formula>
    </cfRule>
  </conditionalFormatting>
  <conditionalFormatting sqref="AE35">
    <cfRule type="expression" dxfId="276" priority="3" stopIfTrue="1">
      <formula>$AP$35=1</formula>
    </cfRule>
    <cfRule type="expression" dxfId="275" priority="4" stopIfTrue="1">
      <formula>$AP$35=1</formula>
    </cfRule>
  </conditionalFormatting>
  <conditionalFormatting sqref="AE34">
    <cfRule type="expression" dxfId="274" priority="2" stopIfTrue="1">
      <formula>$AP$34=1</formula>
    </cfRule>
  </conditionalFormatting>
  <conditionalFormatting sqref="AE33">
    <cfRule type="expression" dxfId="273" priority="1" stopIfTrue="1">
      <formula>$AP$33=1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AP75"/>
  <sheetViews>
    <sheetView topLeftCell="A22" zoomScale="70" zoomScaleNormal="70" workbookViewId="0">
      <selection activeCell="I67" sqref="I67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80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786.95600000000002</v>
      </c>
      <c r="AM4" s="93">
        <f>SUM(AM5:AM46)</f>
        <v>12.4</v>
      </c>
      <c r="AN4" s="93">
        <f>SUM(AN5:AN46)</f>
        <v>786.95600000000002</v>
      </c>
      <c r="AO4" s="93">
        <f>SUM(AO5:AO46)</f>
        <v>26.940000000000005</v>
      </c>
      <c r="AP4" s="86"/>
    </row>
    <row r="5" spans="1:42" ht="15.75" x14ac:dyDescent="0.25">
      <c r="A5" s="94">
        <f t="shared" ref="A5:A40" si="0">AF5</f>
        <v>0</v>
      </c>
      <c r="B5" s="95">
        <f t="shared" ref="B5:B40" si="1">AD5</f>
        <v>791.86</v>
      </c>
      <c r="C5" s="96" t="str">
        <f>IF(AG5="","",AG5)</f>
        <v xml:space="preserve">S/BM </v>
      </c>
      <c r="D5" s="184"/>
      <c r="X5" s="97"/>
      <c r="Y5" s="98"/>
      <c r="Z5" s="99">
        <v>3.1429999999999998</v>
      </c>
      <c r="AA5" s="100"/>
      <c r="AB5" s="101"/>
      <c r="AC5" s="102">
        <f>IF(AA5="",AD5+Z5,"")</f>
        <v>795.00300000000004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795.00300000000004</v>
      </c>
      <c r="AI5" s="86">
        <f>IF(AA5="",AC5,AI4)</f>
        <v>795.00300000000004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794.76499999999999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0.23799999999999999</v>
      </c>
      <c r="AB6" s="111"/>
      <c r="AC6" s="112" t="str">
        <f>IF(AA6="",AD6+Z6,"")</f>
        <v/>
      </c>
      <c r="AD6" s="113">
        <f>IF(AA6="",AH5-AB6,AH5-AA6)</f>
        <v>794.76499999999999</v>
      </c>
      <c r="AE6" s="114">
        <v>0</v>
      </c>
      <c r="AF6" s="113">
        <f>AE6</f>
        <v>0</v>
      </c>
      <c r="AG6" s="115" t="s">
        <v>4</v>
      </c>
      <c r="AH6" s="86">
        <f t="shared" si="2"/>
        <v>795.00300000000004</v>
      </c>
      <c r="AI6" s="86">
        <f t="shared" ref="AI6:AI46" si="6">IF(AA6="",AC6,AI5)</f>
        <v>795.00300000000004</v>
      </c>
      <c r="AJ6" s="86" t="str">
        <f t="shared" si="3"/>
        <v>PRI</v>
      </c>
      <c r="AK6" s="93">
        <f t="shared" si="4"/>
        <v>794.76499999999999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3</v>
      </c>
      <c r="B7" s="95">
        <f t="shared" si="1"/>
        <v>792.255</v>
      </c>
      <c r="C7" s="96" t="str">
        <f t="shared" si="5"/>
        <v/>
      </c>
      <c r="D7" s="184"/>
      <c r="X7" s="107"/>
      <c r="Y7" s="108"/>
      <c r="Z7" s="109"/>
      <c r="AA7" s="110">
        <v>2.7480000000000002</v>
      </c>
      <c r="AB7" s="111"/>
      <c r="AC7" s="112" t="str">
        <f t="shared" ref="AC7:AC39" si="11">IF(AA7="",AD7+Z7,"")</f>
        <v/>
      </c>
      <c r="AD7" s="113">
        <f>IF(AA7="",AH6-AB7,AH6-AA7)</f>
        <v>792.255</v>
      </c>
      <c r="AE7" s="114">
        <v>3</v>
      </c>
      <c r="AF7" s="113">
        <f t="shared" ref="AF7:AF41" si="12">+AF6+AE7</f>
        <v>3</v>
      </c>
      <c r="AG7" s="116"/>
      <c r="AH7" s="86">
        <f t="shared" si="2"/>
        <v>795.00300000000004</v>
      </c>
      <c r="AI7" s="86">
        <f t="shared" si="6"/>
        <v>795.00300000000004</v>
      </c>
      <c r="AJ7" s="86" t="str">
        <f t="shared" si="3"/>
        <v>PRI</v>
      </c>
      <c r="AK7" s="93">
        <f t="shared" si="4"/>
        <v>792.255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3.5</v>
      </c>
      <c r="B8" s="95">
        <f t="shared" si="1"/>
        <v>791.03100000000006</v>
      </c>
      <c r="C8" s="96" t="str">
        <f t="shared" si="5"/>
        <v/>
      </c>
      <c r="D8" s="184"/>
      <c r="X8" s="107"/>
      <c r="Y8" s="108"/>
      <c r="Z8" s="109"/>
      <c r="AA8" s="110">
        <v>3.972</v>
      </c>
      <c r="AB8" s="111"/>
      <c r="AC8" s="112" t="str">
        <f t="shared" si="11"/>
        <v/>
      </c>
      <c r="AD8" s="113">
        <f>IF(AA8="",AH7-AB8,AH7-AA8)</f>
        <v>791.03100000000006</v>
      </c>
      <c r="AE8" s="114">
        <v>0.5</v>
      </c>
      <c r="AF8" s="113">
        <f t="shared" si="12"/>
        <v>3.5</v>
      </c>
      <c r="AG8" s="116"/>
      <c r="AH8" s="86">
        <f t="shared" si="2"/>
        <v>795.00300000000004</v>
      </c>
      <c r="AI8" s="86">
        <f t="shared" si="6"/>
        <v>795.00300000000004</v>
      </c>
      <c r="AJ8" s="86" t="str">
        <f t="shared" si="3"/>
        <v>PRI</v>
      </c>
      <c r="AK8" s="93">
        <f t="shared" si="4"/>
        <v>791.03100000000006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3.5</v>
      </c>
      <c r="B9" s="95">
        <f t="shared" si="1"/>
        <v>790.16800000000001</v>
      </c>
      <c r="C9" s="96" t="str">
        <f t="shared" si="5"/>
        <v/>
      </c>
      <c r="D9" s="184"/>
      <c r="X9" s="107" t="s">
        <v>47</v>
      </c>
      <c r="Y9" s="108"/>
      <c r="Z9" s="109">
        <v>0.33800000000000002</v>
      </c>
      <c r="AA9" s="110"/>
      <c r="AB9" s="111">
        <v>4.835</v>
      </c>
      <c r="AC9" s="112">
        <f t="shared" si="11"/>
        <v>790.50599999999997</v>
      </c>
      <c r="AD9" s="113">
        <f>IF(AA9="",AH8-AB9,AH8-AA9)</f>
        <v>790.16800000000001</v>
      </c>
      <c r="AE9" s="114">
        <v>0</v>
      </c>
      <c r="AF9" s="113">
        <f t="shared" si="12"/>
        <v>3.5</v>
      </c>
      <c r="AG9" s="115"/>
      <c r="AH9" s="86">
        <f t="shared" si="2"/>
        <v>790.50599999999997</v>
      </c>
      <c r="AI9" s="86">
        <f t="shared" si="6"/>
        <v>790.50599999999997</v>
      </c>
      <c r="AJ9" s="86" t="str">
        <f t="shared" si="3"/>
        <v>PRI</v>
      </c>
      <c r="AK9" s="93">
        <f t="shared" si="4"/>
        <v>790.16800000000001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6.5</v>
      </c>
      <c r="B10" s="95">
        <f t="shared" si="1"/>
        <v>790.34199999999998</v>
      </c>
      <c r="C10" s="96" t="str">
        <f t="shared" si="5"/>
        <v/>
      </c>
      <c r="D10" s="184"/>
      <c r="E10" s="84">
        <f>(B12+B35)/2</f>
        <v>786.15350000000001</v>
      </c>
      <c r="X10" s="107"/>
      <c r="Y10" s="108"/>
      <c r="Z10" s="109"/>
      <c r="AA10" s="110">
        <v>0.16400000000000001</v>
      </c>
      <c r="AB10" s="111"/>
      <c r="AC10" s="112" t="str">
        <f t="shared" si="11"/>
        <v/>
      </c>
      <c r="AD10" s="113">
        <f t="shared" ref="AD10:AD41" si="13">IF(AJ9="S/BM",AD9,IF(AA10="",AH9-AB10,AH9-AA10))</f>
        <v>790.34199999999998</v>
      </c>
      <c r="AE10" s="114">
        <v>3</v>
      </c>
      <c r="AF10" s="113">
        <f t="shared" si="12"/>
        <v>6.5</v>
      </c>
      <c r="AG10" s="115"/>
      <c r="AH10" s="86">
        <f t="shared" si="2"/>
        <v>790.50599999999997</v>
      </c>
      <c r="AI10" s="86">
        <f t="shared" si="6"/>
        <v>790.50599999999997</v>
      </c>
      <c r="AJ10" s="86" t="str">
        <f t="shared" si="3"/>
        <v>PRI</v>
      </c>
      <c r="AK10" s="93">
        <f t="shared" si="4"/>
        <v>790.34199999999998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7.5</v>
      </c>
      <c r="B11" s="95">
        <f t="shared" si="1"/>
        <v>788.42</v>
      </c>
      <c r="C11" s="96" t="str">
        <f t="shared" si="5"/>
        <v/>
      </c>
      <c r="D11" s="184"/>
      <c r="E11" s="117">
        <v>0.33</v>
      </c>
      <c r="X11" s="107"/>
      <c r="Y11" s="108"/>
      <c r="Z11" s="109"/>
      <c r="AA11" s="110">
        <v>2.0859999999999999</v>
      </c>
      <c r="AB11" s="111"/>
      <c r="AC11" s="112" t="str">
        <f t="shared" si="11"/>
        <v/>
      </c>
      <c r="AD11" s="113">
        <f t="shared" si="13"/>
        <v>788.42</v>
      </c>
      <c r="AE11" s="114">
        <v>1</v>
      </c>
      <c r="AF11" s="113">
        <f t="shared" si="12"/>
        <v>7.5</v>
      </c>
      <c r="AG11" s="115"/>
      <c r="AH11" s="86">
        <f t="shared" si="2"/>
        <v>790.50599999999997</v>
      </c>
      <c r="AI11" s="86">
        <f t="shared" si="6"/>
        <v>790.50599999999997</v>
      </c>
      <c r="AJ11" s="86" t="str">
        <f t="shared" si="3"/>
        <v>PRI</v>
      </c>
      <c r="AK11" s="93">
        <f t="shared" si="4"/>
        <v>788.42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9.5</v>
      </c>
      <c r="B12" s="95">
        <f t="shared" si="1"/>
        <v>787.70100000000002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2.8050000000000002</v>
      </c>
      <c r="AB12" s="111"/>
      <c r="AC12" s="112" t="str">
        <f>IF(AA12="",AD12+Z12,"")</f>
        <v/>
      </c>
      <c r="AD12" s="113">
        <f t="shared" si="13"/>
        <v>787.70100000000002</v>
      </c>
      <c r="AE12" s="114">
        <v>2</v>
      </c>
      <c r="AF12" s="113">
        <f t="shared" si="12"/>
        <v>9.5</v>
      </c>
      <c r="AG12" s="115"/>
      <c r="AH12" s="86">
        <f t="shared" si="2"/>
        <v>790.50599999999997</v>
      </c>
      <c r="AI12" s="86">
        <f t="shared" si="6"/>
        <v>790.50599999999997</v>
      </c>
      <c r="AJ12" s="86" t="str">
        <f t="shared" si="3"/>
        <v>PRI</v>
      </c>
      <c r="AK12" s="93">
        <f t="shared" si="4"/>
        <v>787.70100000000002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12.4</v>
      </c>
      <c r="B13" s="95">
        <f t="shared" si="1"/>
        <v>786.95600000000002</v>
      </c>
      <c r="C13" s="96" t="str">
        <f t="shared" si="5"/>
        <v>NAOI</v>
      </c>
      <c r="D13" s="184"/>
      <c r="E13" s="117">
        <v>0.35</v>
      </c>
      <c r="X13" s="107"/>
      <c r="Y13" s="108"/>
      <c r="Z13" s="109"/>
      <c r="AA13" s="110">
        <v>3.55</v>
      </c>
      <c r="AB13" s="111"/>
      <c r="AC13" s="112" t="str">
        <f t="shared" si="11"/>
        <v/>
      </c>
      <c r="AD13" s="113">
        <f t="shared" si="13"/>
        <v>786.95600000000002</v>
      </c>
      <c r="AE13" s="114">
        <v>2.9</v>
      </c>
      <c r="AF13" s="113">
        <f t="shared" si="12"/>
        <v>12.4</v>
      </c>
      <c r="AG13" s="115" t="s">
        <v>9</v>
      </c>
      <c r="AH13" s="86">
        <f t="shared" si="2"/>
        <v>786.95600000000002</v>
      </c>
      <c r="AI13" s="86">
        <f t="shared" si="6"/>
        <v>790.50599999999997</v>
      </c>
      <c r="AJ13" s="86" t="str">
        <f t="shared" si="3"/>
        <v>NAOI</v>
      </c>
      <c r="AK13" s="93">
        <f t="shared" si="4"/>
        <v>786.95600000000002</v>
      </c>
      <c r="AL13" s="86">
        <f t="shared" si="7"/>
        <v>786.95600000000002</v>
      </c>
      <c r="AM13" s="93">
        <f t="shared" si="8"/>
        <v>12.4</v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15.25</v>
      </c>
      <c r="B14" s="95">
        <f t="shared" si="1"/>
        <v>786.26599999999996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0.69</v>
      </c>
      <c r="AB14" s="111"/>
      <c r="AC14" s="112" t="str">
        <f t="shared" si="11"/>
        <v/>
      </c>
      <c r="AD14" s="113">
        <f t="shared" si="13"/>
        <v>786.26599999999996</v>
      </c>
      <c r="AE14" s="114">
        <v>2.85</v>
      </c>
      <c r="AF14" s="113">
        <f t="shared" si="12"/>
        <v>15.25</v>
      </c>
      <c r="AG14" s="116"/>
      <c r="AH14" s="86">
        <f t="shared" si="2"/>
        <v>786.95600000000002</v>
      </c>
      <c r="AI14" s="86">
        <f t="shared" si="6"/>
        <v>790.50599999999997</v>
      </c>
      <c r="AJ14" s="86" t="str">
        <f t="shared" si="3"/>
        <v>NAOI</v>
      </c>
      <c r="AK14" s="93">
        <f>IF(AND(AJ14="NAOI",AJ13="NAOI"),AK13,AD14)</f>
        <v>786.95600000000002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16.12</v>
      </c>
      <c r="B15" s="95">
        <f t="shared" si="1"/>
        <v>786.19600000000003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0.76</v>
      </c>
      <c r="AB15" s="111"/>
      <c r="AC15" s="112" t="str">
        <f t="shared" si="11"/>
        <v/>
      </c>
      <c r="AD15" s="113">
        <f t="shared" si="13"/>
        <v>786.19600000000003</v>
      </c>
      <c r="AE15" s="114">
        <v>0.87</v>
      </c>
      <c r="AF15" s="113">
        <f t="shared" si="12"/>
        <v>16.12</v>
      </c>
      <c r="AG15" s="115"/>
      <c r="AH15" s="86">
        <f t="shared" si="2"/>
        <v>786.95600000000002</v>
      </c>
      <c r="AI15" s="86">
        <f t="shared" si="6"/>
        <v>790.50599999999997</v>
      </c>
      <c r="AJ15" s="86" t="str">
        <f t="shared" si="3"/>
        <v>NAOI</v>
      </c>
      <c r="AK15" s="93">
        <f>IF(AND(AJ15="NAOI",AJ14="NAOI"),AK14,AD15)</f>
        <v>786.95600000000002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16.650000000000002</v>
      </c>
      <c r="B16" s="95">
        <f t="shared" si="1"/>
        <v>786.13599999999997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0.82</v>
      </c>
      <c r="AB16" s="111"/>
      <c r="AC16" s="112" t="str">
        <f t="shared" si="11"/>
        <v/>
      </c>
      <c r="AD16" s="113">
        <f t="shared" si="13"/>
        <v>786.13599999999997</v>
      </c>
      <c r="AE16" s="114">
        <v>0.53</v>
      </c>
      <c r="AF16" s="113">
        <f t="shared" si="12"/>
        <v>16.650000000000002</v>
      </c>
      <c r="AG16" s="118"/>
      <c r="AH16" s="86">
        <f t="shared" si="2"/>
        <v>786.95600000000002</v>
      </c>
      <c r="AI16" s="86">
        <f t="shared" si="6"/>
        <v>790.50599999999997</v>
      </c>
      <c r="AJ16" s="86" t="str">
        <f t="shared" si="3"/>
        <v>NAOI</v>
      </c>
      <c r="AK16" s="93">
        <f>IF(AND(AJ16="NAOI",AJ15="NAOI"),AK15,AD16)</f>
        <v>786.95600000000002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17.100000000000001</v>
      </c>
      <c r="B17" s="95">
        <f t="shared" si="1"/>
        <v>785.99599999999998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0.96</v>
      </c>
      <c r="AB17" s="111"/>
      <c r="AC17" s="112" t="str">
        <f t="shared" si="11"/>
        <v/>
      </c>
      <c r="AD17" s="113">
        <f t="shared" si="13"/>
        <v>785.99599999999998</v>
      </c>
      <c r="AE17" s="114">
        <v>0.45</v>
      </c>
      <c r="AF17" s="113">
        <f t="shared" si="12"/>
        <v>17.100000000000001</v>
      </c>
      <c r="AG17" s="118"/>
      <c r="AH17" s="86">
        <f t="shared" si="2"/>
        <v>786.95600000000002</v>
      </c>
      <c r="AI17" s="86">
        <f t="shared" si="6"/>
        <v>790.50599999999997</v>
      </c>
      <c r="AJ17" s="86" t="str">
        <f t="shared" si="3"/>
        <v>NAOI</v>
      </c>
      <c r="AK17" s="93">
        <f t="shared" ref="AK17:AK46" si="15">IF(AND(AJ17="NAOI",AJ16="NAOI"),AK16,AD17)</f>
        <v>786.95600000000002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17.810000000000002</v>
      </c>
      <c r="B18" s="95">
        <f t="shared" si="1"/>
        <v>785.89600000000007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1.06</v>
      </c>
      <c r="AB18" s="111"/>
      <c r="AC18" s="112" t="str">
        <f t="shared" si="11"/>
        <v/>
      </c>
      <c r="AD18" s="113">
        <f t="shared" si="13"/>
        <v>785.89600000000007</v>
      </c>
      <c r="AE18" s="114">
        <v>0.71</v>
      </c>
      <c r="AF18" s="113">
        <f t="shared" si="12"/>
        <v>17.810000000000002</v>
      </c>
      <c r="AG18" s="118"/>
      <c r="AH18" s="86">
        <f t="shared" si="2"/>
        <v>786.95600000000002</v>
      </c>
      <c r="AI18" s="86">
        <f t="shared" si="6"/>
        <v>790.50599999999997</v>
      </c>
      <c r="AJ18" s="86" t="str">
        <f t="shared" si="3"/>
        <v>NAOI</v>
      </c>
      <c r="AK18" s="93">
        <f t="shared" si="15"/>
        <v>786.95600000000002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18.360000000000003</v>
      </c>
      <c r="B19" s="95">
        <f t="shared" si="1"/>
        <v>785.87599999999998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1.08</v>
      </c>
      <c r="AB19" s="111"/>
      <c r="AC19" s="112" t="str">
        <f t="shared" si="11"/>
        <v/>
      </c>
      <c r="AD19" s="113">
        <f t="shared" si="13"/>
        <v>785.87599999999998</v>
      </c>
      <c r="AE19" s="114">
        <v>0.55000000000000004</v>
      </c>
      <c r="AF19" s="113">
        <f t="shared" si="12"/>
        <v>18.360000000000003</v>
      </c>
      <c r="AG19" s="118"/>
      <c r="AH19" s="86">
        <f t="shared" si="2"/>
        <v>786.95600000000002</v>
      </c>
      <c r="AI19" s="86">
        <f t="shared" si="6"/>
        <v>790.50599999999997</v>
      </c>
      <c r="AJ19" s="86" t="str">
        <f t="shared" si="3"/>
        <v>NAOI</v>
      </c>
      <c r="AK19" s="93">
        <f t="shared" si="15"/>
        <v>786.95600000000002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18.860000000000003</v>
      </c>
      <c r="B20" s="95">
        <f t="shared" si="1"/>
        <v>785.70600000000002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1.25</v>
      </c>
      <c r="AB20" s="111"/>
      <c r="AC20" s="112" t="str">
        <f t="shared" si="11"/>
        <v/>
      </c>
      <c r="AD20" s="113">
        <f t="shared" si="13"/>
        <v>785.70600000000002</v>
      </c>
      <c r="AE20" s="114">
        <v>0.5</v>
      </c>
      <c r="AF20" s="113">
        <f t="shared" si="12"/>
        <v>18.860000000000003</v>
      </c>
      <c r="AG20" s="118"/>
      <c r="AH20" s="86">
        <f t="shared" si="2"/>
        <v>786.95600000000002</v>
      </c>
      <c r="AI20" s="86">
        <f t="shared" si="6"/>
        <v>790.50599999999997</v>
      </c>
      <c r="AJ20" s="86" t="str">
        <f t="shared" si="3"/>
        <v>NAOI</v>
      </c>
      <c r="AK20" s="93">
        <f t="shared" si="15"/>
        <v>786.95600000000002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19.160000000000004</v>
      </c>
      <c r="B21" s="95">
        <f t="shared" si="1"/>
        <v>785.61599999999999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1.34</v>
      </c>
      <c r="AB21" s="111"/>
      <c r="AC21" s="112" t="str">
        <f t="shared" si="11"/>
        <v/>
      </c>
      <c r="AD21" s="113">
        <f t="shared" si="13"/>
        <v>785.61599999999999</v>
      </c>
      <c r="AE21" s="114">
        <v>0.3</v>
      </c>
      <c r="AF21" s="113">
        <f t="shared" si="12"/>
        <v>19.160000000000004</v>
      </c>
      <c r="AG21" s="118"/>
      <c r="AH21" s="86">
        <f t="shared" si="2"/>
        <v>786.95600000000002</v>
      </c>
      <c r="AI21" s="86">
        <f t="shared" si="6"/>
        <v>790.50599999999997</v>
      </c>
      <c r="AJ21" s="86" t="str">
        <f t="shared" si="3"/>
        <v>NAOI</v>
      </c>
      <c r="AK21" s="93">
        <f t="shared" si="15"/>
        <v>786.95600000000002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19.910000000000004</v>
      </c>
      <c r="B22" s="95">
        <f t="shared" si="1"/>
        <v>785.55600000000004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1.4</v>
      </c>
      <c r="AB22" s="111"/>
      <c r="AC22" s="112" t="str">
        <f t="shared" si="11"/>
        <v/>
      </c>
      <c r="AD22" s="113">
        <f t="shared" si="13"/>
        <v>785.55600000000004</v>
      </c>
      <c r="AE22" s="114">
        <v>0.75</v>
      </c>
      <c r="AF22" s="113">
        <f t="shared" si="12"/>
        <v>19.910000000000004</v>
      </c>
      <c r="AG22" s="118"/>
      <c r="AH22" s="86">
        <f t="shared" si="2"/>
        <v>786.95600000000002</v>
      </c>
      <c r="AI22" s="86">
        <f t="shared" si="6"/>
        <v>790.50599999999997</v>
      </c>
      <c r="AJ22" s="86" t="str">
        <f t="shared" si="3"/>
        <v>NAOI</v>
      </c>
      <c r="AK22" s="93">
        <f t="shared" si="15"/>
        <v>786.95600000000002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20.660000000000004</v>
      </c>
      <c r="B23" s="95">
        <f t="shared" si="1"/>
        <v>785.50599999999997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1.45</v>
      </c>
      <c r="AB23" s="111"/>
      <c r="AC23" s="112" t="str">
        <f t="shared" si="11"/>
        <v/>
      </c>
      <c r="AD23" s="113">
        <f t="shared" si="13"/>
        <v>785.50599999999997</v>
      </c>
      <c r="AE23" s="114">
        <v>0.75</v>
      </c>
      <c r="AF23" s="113">
        <f t="shared" si="12"/>
        <v>20.660000000000004</v>
      </c>
      <c r="AG23" s="118"/>
      <c r="AH23" s="86">
        <f t="shared" si="2"/>
        <v>786.95600000000002</v>
      </c>
      <c r="AI23" s="86">
        <f t="shared" si="6"/>
        <v>790.50599999999997</v>
      </c>
      <c r="AJ23" s="86" t="str">
        <f t="shared" si="3"/>
        <v>NAOI</v>
      </c>
      <c r="AK23" s="93">
        <f t="shared" si="15"/>
        <v>786.95600000000002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21.480000000000004</v>
      </c>
      <c r="B24" s="95">
        <f t="shared" si="1"/>
        <v>785.28600000000006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1.67</v>
      </c>
      <c r="AB24" s="111"/>
      <c r="AC24" s="112" t="str">
        <f t="shared" si="11"/>
        <v/>
      </c>
      <c r="AD24" s="113">
        <f t="shared" si="13"/>
        <v>785.28600000000006</v>
      </c>
      <c r="AE24" s="114">
        <v>0.82</v>
      </c>
      <c r="AF24" s="113">
        <f t="shared" si="12"/>
        <v>21.480000000000004</v>
      </c>
      <c r="AG24" s="118"/>
      <c r="AH24" s="86">
        <f t="shared" si="2"/>
        <v>786.95600000000002</v>
      </c>
      <c r="AI24" s="86">
        <f t="shared" si="6"/>
        <v>790.50599999999997</v>
      </c>
      <c r="AJ24" s="86" t="str">
        <f t="shared" si="3"/>
        <v>NAOI</v>
      </c>
      <c r="AK24" s="93">
        <f t="shared" si="15"/>
        <v>786.95600000000002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22.170000000000005</v>
      </c>
      <c r="B25" s="95">
        <f t="shared" si="1"/>
        <v>785.21600000000001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1.74</v>
      </c>
      <c r="AB25" s="111"/>
      <c r="AC25" s="112" t="str">
        <f t="shared" si="11"/>
        <v/>
      </c>
      <c r="AD25" s="113">
        <f t="shared" si="13"/>
        <v>785.21600000000001</v>
      </c>
      <c r="AE25" s="114">
        <v>0.69</v>
      </c>
      <c r="AF25" s="113">
        <f t="shared" si="12"/>
        <v>22.170000000000005</v>
      </c>
      <c r="AG25" s="118"/>
      <c r="AH25" s="86">
        <f t="shared" si="2"/>
        <v>786.95600000000002</v>
      </c>
      <c r="AI25" s="86">
        <f t="shared" si="6"/>
        <v>790.50599999999997</v>
      </c>
      <c r="AJ25" s="86" t="str">
        <f t="shared" si="3"/>
        <v>NAOI</v>
      </c>
      <c r="AK25" s="93">
        <f t="shared" si="15"/>
        <v>786.95600000000002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22.510000000000005</v>
      </c>
      <c r="B26" s="95">
        <f t="shared" si="1"/>
        <v>785.18600000000004</v>
      </c>
      <c r="C26" s="96" t="str">
        <f t="shared" si="5"/>
        <v/>
      </c>
      <c r="D26" s="184"/>
      <c r="E26" s="117">
        <v>1.7</v>
      </c>
      <c r="X26" s="107"/>
      <c r="Y26" s="108"/>
      <c r="Z26" s="109"/>
      <c r="AA26" s="110">
        <v>1.77</v>
      </c>
      <c r="AB26" s="111"/>
      <c r="AC26" s="112" t="str">
        <f t="shared" si="11"/>
        <v/>
      </c>
      <c r="AD26" s="113">
        <f t="shared" si="13"/>
        <v>785.18600000000004</v>
      </c>
      <c r="AE26" s="114">
        <v>0.34</v>
      </c>
      <c r="AF26" s="113">
        <f t="shared" si="12"/>
        <v>22.510000000000005</v>
      </c>
      <c r="AG26" s="115"/>
      <c r="AH26" s="86">
        <f t="shared" si="2"/>
        <v>786.95600000000002</v>
      </c>
      <c r="AI26" s="86">
        <f t="shared" si="6"/>
        <v>790.50599999999997</v>
      </c>
      <c r="AJ26" s="86" t="str">
        <f t="shared" si="3"/>
        <v>NAOI</v>
      </c>
      <c r="AK26" s="93">
        <f t="shared" si="15"/>
        <v>786.95600000000002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23.120000000000005</v>
      </c>
      <c r="B27" s="95">
        <f t="shared" si="1"/>
        <v>784.96600000000001</v>
      </c>
      <c r="C27" s="96" t="str">
        <f t="shared" si="5"/>
        <v/>
      </c>
      <c r="D27" s="184"/>
      <c r="E27" s="117">
        <v>1.7</v>
      </c>
      <c r="X27" s="107"/>
      <c r="Y27" s="108"/>
      <c r="Z27" s="109"/>
      <c r="AA27" s="110">
        <v>1.99</v>
      </c>
      <c r="AB27" s="111"/>
      <c r="AC27" s="112" t="str">
        <f t="shared" si="11"/>
        <v/>
      </c>
      <c r="AD27" s="113">
        <f t="shared" si="13"/>
        <v>784.96600000000001</v>
      </c>
      <c r="AE27" s="114">
        <v>0.61</v>
      </c>
      <c r="AF27" s="113">
        <f t="shared" si="12"/>
        <v>23.120000000000005</v>
      </c>
      <c r="AG27" s="115"/>
      <c r="AH27" s="86">
        <f t="shared" si="2"/>
        <v>786.95600000000002</v>
      </c>
      <c r="AI27" s="86">
        <f t="shared" si="6"/>
        <v>790.50599999999997</v>
      </c>
      <c r="AJ27" s="86" t="str">
        <f t="shared" si="3"/>
        <v>NAOI</v>
      </c>
      <c r="AK27" s="93">
        <f t="shared" si="15"/>
        <v>786.95600000000002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23.750000000000004</v>
      </c>
      <c r="B28" s="95">
        <f t="shared" si="1"/>
        <v>784.81600000000003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2.14</v>
      </c>
      <c r="AB28" s="111"/>
      <c r="AC28" s="112" t="str">
        <f t="shared" si="11"/>
        <v/>
      </c>
      <c r="AD28" s="113">
        <f t="shared" si="13"/>
        <v>784.81600000000003</v>
      </c>
      <c r="AE28" s="114">
        <v>0.63</v>
      </c>
      <c r="AF28" s="113">
        <f t="shared" si="12"/>
        <v>23.750000000000004</v>
      </c>
      <c r="AG28" s="115"/>
      <c r="AH28" s="86">
        <f t="shared" si="2"/>
        <v>786.95600000000002</v>
      </c>
      <c r="AI28" s="86">
        <f t="shared" si="6"/>
        <v>790.50599999999997</v>
      </c>
      <c r="AJ28" s="86" t="str">
        <f t="shared" si="3"/>
        <v>NAOI</v>
      </c>
      <c r="AK28" s="93">
        <f t="shared" si="15"/>
        <v>786.95600000000002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24.160000000000004</v>
      </c>
      <c r="B29" s="95">
        <f t="shared" si="1"/>
        <v>784.73599999999999</v>
      </c>
      <c r="C29" s="96" t="str">
        <f t="shared" si="5"/>
        <v/>
      </c>
      <c r="D29" s="184"/>
      <c r="E29" s="117">
        <v>1.2</v>
      </c>
      <c r="X29" s="107"/>
      <c r="Y29" s="108"/>
      <c r="Z29" s="109"/>
      <c r="AA29" s="110">
        <v>2.2200000000000002</v>
      </c>
      <c r="AB29" s="111"/>
      <c r="AC29" s="112" t="str">
        <f t="shared" si="11"/>
        <v/>
      </c>
      <c r="AD29" s="113">
        <f t="shared" si="13"/>
        <v>784.73599999999999</v>
      </c>
      <c r="AE29" s="114">
        <v>0.41</v>
      </c>
      <c r="AF29" s="113">
        <f t="shared" si="12"/>
        <v>24.160000000000004</v>
      </c>
      <c r="AG29" s="116"/>
      <c r="AH29" s="86">
        <f t="shared" si="2"/>
        <v>786.95600000000002</v>
      </c>
      <c r="AI29" s="86">
        <f t="shared" si="6"/>
        <v>790.50599999999997</v>
      </c>
      <c r="AJ29" s="86" t="str">
        <f t="shared" si="3"/>
        <v>NAOI</v>
      </c>
      <c r="AK29" s="93">
        <f t="shared" si="15"/>
        <v>786.95600000000002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24.760000000000005</v>
      </c>
      <c r="B30" s="95">
        <f t="shared" si="1"/>
        <v>784.82600000000002</v>
      </c>
      <c r="C30" s="96" t="str">
        <f t="shared" si="5"/>
        <v/>
      </c>
      <c r="D30" s="184"/>
      <c r="E30" s="117">
        <v>0.8</v>
      </c>
      <c r="X30" s="107"/>
      <c r="Y30" s="108"/>
      <c r="Z30" s="109"/>
      <c r="AA30" s="110">
        <v>2.13</v>
      </c>
      <c r="AB30" s="111"/>
      <c r="AC30" s="112" t="str">
        <f t="shared" si="11"/>
        <v/>
      </c>
      <c r="AD30" s="113">
        <f t="shared" si="13"/>
        <v>784.82600000000002</v>
      </c>
      <c r="AE30" s="114">
        <v>0.6</v>
      </c>
      <c r="AF30" s="113">
        <f t="shared" si="12"/>
        <v>24.760000000000005</v>
      </c>
      <c r="AG30" s="115"/>
      <c r="AH30" s="86">
        <f t="shared" si="2"/>
        <v>786.95600000000002</v>
      </c>
      <c r="AI30" s="86">
        <f t="shared" si="6"/>
        <v>790.50599999999997</v>
      </c>
      <c r="AJ30" s="86" t="str">
        <f t="shared" si="3"/>
        <v>NAOI</v>
      </c>
      <c r="AK30" s="93">
        <f t="shared" si="15"/>
        <v>786.95600000000002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25.280000000000005</v>
      </c>
      <c r="B31" s="95">
        <f t="shared" si="1"/>
        <v>784.71600000000001</v>
      </c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>
        <v>2.2400000000000002</v>
      </c>
      <c r="AB31" s="111"/>
      <c r="AC31" s="112" t="str">
        <f t="shared" si="11"/>
        <v/>
      </c>
      <c r="AD31" s="113">
        <f t="shared" si="13"/>
        <v>784.71600000000001</v>
      </c>
      <c r="AE31" s="114">
        <v>0.52</v>
      </c>
      <c r="AF31" s="113">
        <f t="shared" si="12"/>
        <v>25.280000000000005</v>
      </c>
      <c r="AG31" s="118"/>
      <c r="AH31" s="86">
        <f t="shared" si="2"/>
        <v>786.95600000000002</v>
      </c>
      <c r="AI31" s="86">
        <f t="shared" si="6"/>
        <v>790.50599999999997</v>
      </c>
      <c r="AJ31" s="86" t="str">
        <f t="shared" si="3"/>
        <v>NAOI</v>
      </c>
      <c r="AK31" s="93">
        <f t="shared" si="15"/>
        <v>786.95600000000002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26.060000000000006</v>
      </c>
      <c r="B32" s="95">
        <f t="shared" si="1"/>
        <v>784.56600000000003</v>
      </c>
      <c r="C32" s="96" t="str">
        <f t="shared" si="5"/>
        <v/>
      </c>
      <c r="D32" s="184"/>
      <c r="E32" s="117">
        <v>0.35</v>
      </c>
      <c r="X32" s="107"/>
      <c r="Y32" s="108"/>
      <c r="Z32" s="109"/>
      <c r="AA32" s="110">
        <v>2.39</v>
      </c>
      <c r="AB32" s="111"/>
      <c r="AC32" s="112" t="str">
        <f t="shared" si="11"/>
        <v/>
      </c>
      <c r="AD32" s="113">
        <f t="shared" si="13"/>
        <v>784.56600000000003</v>
      </c>
      <c r="AE32" s="114">
        <v>0.78</v>
      </c>
      <c r="AF32" s="113">
        <f t="shared" si="12"/>
        <v>26.060000000000006</v>
      </c>
      <c r="AG32" s="115"/>
      <c r="AH32" s="86">
        <f t="shared" si="2"/>
        <v>786.95600000000002</v>
      </c>
      <c r="AI32" s="86">
        <f t="shared" si="6"/>
        <v>790.50599999999997</v>
      </c>
      <c r="AJ32" s="86" t="str">
        <f t="shared" si="3"/>
        <v>NAOI</v>
      </c>
      <c r="AK32" s="93">
        <f t="shared" si="15"/>
        <v>786.95600000000002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26.610000000000007</v>
      </c>
      <c r="B33" s="95">
        <f t="shared" si="1"/>
        <v>784.50599999999997</v>
      </c>
      <c r="C33" s="96" t="str">
        <f t="shared" si="5"/>
        <v/>
      </c>
      <c r="D33" s="184"/>
      <c r="X33" s="107"/>
      <c r="Y33" s="108"/>
      <c r="Z33" s="109"/>
      <c r="AA33" s="110">
        <v>2.4500000000000002</v>
      </c>
      <c r="AB33" s="111"/>
      <c r="AC33" s="112" t="str">
        <f t="shared" si="11"/>
        <v/>
      </c>
      <c r="AD33" s="113">
        <f t="shared" si="13"/>
        <v>784.50599999999997</v>
      </c>
      <c r="AE33" s="114">
        <v>0.55000000000000004</v>
      </c>
      <c r="AF33" s="113">
        <f t="shared" si="12"/>
        <v>26.610000000000007</v>
      </c>
      <c r="AG33" s="115"/>
      <c r="AH33" s="86">
        <f t="shared" si="2"/>
        <v>786.95600000000002</v>
      </c>
      <c r="AI33" s="86">
        <f t="shared" si="6"/>
        <v>790.50599999999997</v>
      </c>
      <c r="AJ33" s="86" t="str">
        <f t="shared" si="3"/>
        <v>NAOI</v>
      </c>
      <c r="AK33" s="93">
        <f t="shared" si="15"/>
        <v>786.95600000000002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26.720000000000006</v>
      </c>
      <c r="B34" s="95">
        <f t="shared" si="1"/>
        <v>784.55600000000004</v>
      </c>
      <c r="C34" s="96" t="str">
        <f t="shared" si="5"/>
        <v/>
      </c>
      <c r="D34" s="184"/>
      <c r="X34" s="107"/>
      <c r="Y34" s="108"/>
      <c r="Z34" s="109"/>
      <c r="AA34" s="110">
        <v>2.4</v>
      </c>
      <c r="AB34" s="111"/>
      <c r="AC34" s="112" t="str">
        <f t="shared" si="11"/>
        <v/>
      </c>
      <c r="AD34" s="113">
        <f t="shared" si="13"/>
        <v>784.55600000000004</v>
      </c>
      <c r="AE34" s="114">
        <v>0.11</v>
      </c>
      <c r="AF34" s="113">
        <f t="shared" si="12"/>
        <v>26.720000000000006</v>
      </c>
      <c r="AG34" s="115"/>
      <c r="AH34" s="86">
        <f t="shared" si="2"/>
        <v>786.95600000000002</v>
      </c>
      <c r="AI34" s="86">
        <f t="shared" si="6"/>
        <v>790.50599999999997</v>
      </c>
      <c r="AJ34" s="86" t="str">
        <f t="shared" si="3"/>
        <v>NAOI</v>
      </c>
      <c r="AK34" s="93">
        <f t="shared" si="15"/>
        <v>786.95600000000002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>
        <f t="shared" si="0"/>
        <v>26.940000000000005</v>
      </c>
      <c r="B35" s="95">
        <f t="shared" si="1"/>
        <v>784.60599999999999</v>
      </c>
      <c r="C35" s="96" t="str">
        <f t="shared" si="5"/>
        <v/>
      </c>
      <c r="D35" s="184"/>
      <c r="X35" s="107"/>
      <c r="Y35" s="108"/>
      <c r="Z35" s="109"/>
      <c r="AA35" s="110">
        <v>2.35</v>
      </c>
      <c r="AB35" s="111"/>
      <c r="AC35" s="112" t="str">
        <f t="shared" si="11"/>
        <v/>
      </c>
      <c r="AD35" s="113">
        <f t="shared" si="13"/>
        <v>784.60599999999999</v>
      </c>
      <c r="AE35" s="114">
        <v>0.22</v>
      </c>
      <c r="AF35" s="113">
        <f t="shared" si="12"/>
        <v>26.940000000000005</v>
      </c>
      <c r="AG35" s="116"/>
      <c r="AH35" s="86">
        <f t="shared" si="2"/>
        <v>790.50599999999997</v>
      </c>
      <c r="AI35" s="86">
        <f t="shared" si="6"/>
        <v>790.50599999999997</v>
      </c>
      <c r="AJ35" s="86" t="str">
        <f t="shared" si="3"/>
        <v>NAOI</v>
      </c>
      <c r="AK35" s="93">
        <f t="shared" si="15"/>
        <v>786.95600000000002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>
        <f t="shared" si="0"/>
        <v>26.940000000000005</v>
      </c>
      <c r="B36" s="95">
        <f t="shared" si="1"/>
        <v>786.95600000000002</v>
      </c>
      <c r="C36" s="96" t="str">
        <f t="shared" si="5"/>
        <v>NAOD</v>
      </c>
      <c r="D36" s="184"/>
      <c r="X36" s="107"/>
      <c r="Y36" s="108"/>
      <c r="Z36" s="109"/>
      <c r="AA36" s="110">
        <v>3.55</v>
      </c>
      <c r="AB36" s="111"/>
      <c r="AC36" s="112" t="str">
        <f t="shared" si="11"/>
        <v/>
      </c>
      <c r="AD36" s="113">
        <f t="shared" si="13"/>
        <v>786.95600000000002</v>
      </c>
      <c r="AE36" s="114">
        <v>0</v>
      </c>
      <c r="AF36" s="113">
        <f t="shared" si="12"/>
        <v>26.940000000000005</v>
      </c>
      <c r="AG36" s="115" t="s">
        <v>10</v>
      </c>
      <c r="AH36" s="86">
        <f t="shared" si="2"/>
        <v>790.50599999999997</v>
      </c>
      <c r="AI36" s="86">
        <f t="shared" si="6"/>
        <v>790.50599999999997</v>
      </c>
      <c r="AJ36" s="86" t="str">
        <f t="shared" si="3"/>
        <v>NAOD</v>
      </c>
      <c r="AK36" s="93">
        <f t="shared" si="15"/>
        <v>786.95600000000002</v>
      </c>
      <c r="AL36" s="86" t="str">
        <f t="shared" si="7"/>
        <v/>
      </c>
      <c r="AM36" s="93" t="str">
        <f t="shared" si="8"/>
        <v/>
      </c>
      <c r="AN36" s="86">
        <f t="shared" si="9"/>
        <v>786.95600000000002</v>
      </c>
      <c r="AO36" s="86">
        <f t="shared" si="10"/>
        <v>26.940000000000005</v>
      </c>
      <c r="AP36" s="86">
        <f t="shared" si="14"/>
        <v>0</v>
      </c>
    </row>
    <row r="37" spans="1:42" ht="15.75" x14ac:dyDescent="0.25">
      <c r="A37" s="94">
        <f t="shared" si="0"/>
        <v>27.940000000000005</v>
      </c>
      <c r="B37" s="95">
        <f t="shared" si="1"/>
        <v>789.91599999999994</v>
      </c>
      <c r="C37" s="96" t="str">
        <f t="shared" si="5"/>
        <v/>
      </c>
      <c r="D37" s="184"/>
      <c r="X37" s="107"/>
      <c r="Y37" s="108"/>
      <c r="Z37" s="109"/>
      <c r="AA37" s="110">
        <v>0.59</v>
      </c>
      <c r="AB37" s="111"/>
      <c r="AC37" s="112" t="str">
        <f t="shared" si="11"/>
        <v/>
      </c>
      <c r="AD37" s="113">
        <f t="shared" si="13"/>
        <v>789.91599999999994</v>
      </c>
      <c r="AE37" s="114">
        <v>1</v>
      </c>
      <c r="AF37" s="113">
        <f t="shared" si="12"/>
        <v>27.940000000000005</v>
      </c>
      <c r="AG37" s="115"/>
      <c r="AH37" s="86">
        <f t="shared" si="2"/>
        <v>790.50599999999997</v>
      </c>
      <c r="AI37" s="86">
        <f t="shared" si="6"/>
        <v>790.50599999999997</v>
      </c>
      <c r="AJ37" s="86" t="str">
        <f t="shared" si="3"/>
        <v>NAOD</v>
      </c>
      <c r="AK37" s="93">
        <f t="shared" si="15"/>
        <v>789.91599999999994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>
        <f t="shared" si="0"/>
        <v>27.940000000000005</v>
      </c>
      <c r="B38" s="95">
        <f t="shared" si="1"/>
        <v>790.38400000000001</v>
      </c>
      <c r="C38" s="96" t="str">
        <f t="shared" si="5"/>
        <v/>
      </c>
      <c r="D38" s="184"/>
      <c r="X38" s="107" t="s">
        <v>48</v>
      </c>
      <c r="Y38" s="108"/>
      <c r="Z38" s="109">
        <v>4.3470000000000004</v>
      </c>
      <c r="AA38" s="110"/>
      <c r="AB38" s="111">
        <v>0.122</v>
      </c>
      <c r="AC38" s="112">
        <f t="shared" si="11"/>
        <v>794.73099999999999</v>
      </c>
      <c r="AD38" s="113">
        <f t="shared" si="13"/>
        <v>790.38400000000001</v>
      </c>
      <c r="AE38" s="114">
        <v>0</v>
      </c>
      <c r="AF38" s="113">
        <f t="shared" si="12"/>
        <v>27.940000000000005</v>
      </c>
      <c r="AG38" s="116"/>
      <c r="AH38" s="86">
        <f t="shared" si="2"/>
        <v>794.73099999999999</v>
      </c>
      <c r="AI38" s="86">
        <f t="shared" si="6"/>
        <v>794.73099999999999</v>
      </c>
      <c r="AJ38" s="86" t="str">
        <f t="shared" si="3"/>
        <v>NAOD</v>
      </c>
      <c r="AK38" s="93">
        <f t="shared" si="15"/>
        <v>790.38400000000001</v>
      </c>
      <c r="AL38" s="86" t="str">
        <f t="shared" si="7"/>
        <v/>
      </c>
      <c r="AM38" s="93" t="str">
        <f t="shared" si="8"/>
        <v/>
      </c>
      <c r="AN38" s="86" t="str">
        <f t="shared" si="9"/>
        <v/>
      </c>
      <c r="AO38" s="86" t="str">
        <f t="shared" si="10"/>
        <v/>
      </c>
      <c r="AP38" s="86">
        <f t="shared" si="14"/>
        <v>0</v>
      </c>
    </row>
    <row r="39" spans="1:42" ht="15.75" x14ac:dyDescent="0.25">
      <c r="A39" s="94">
        <f t="shared" si="0"/>
        <v>29.440000000000005</v>
      </c>
      <c r="B39" s="95">
        <f t="shared" si="1"/>
        <v>791.89099999999996</v>
      </c>
      <c r="C39" s="96" t="str">
        <f t="shared" si="5"/>
        <v/>
      </c>
      <c r="D39" s="184"/>
      <c r="X39" s="107"/>
      <c r="Y39" s="108"/>
      <c r="Z39" s="109"/>
      <c r="AA39" s="110">
        <v>2.84</v>
      </c>
      <c r="AB39" s="111"/>
      <c r="AC39" s="112" t="str">
        <f t="shared" si="11"/>
        <v/>
      </c>
      <c r="AD39" s="113">
        <f t="shared" si="13"/>
        <v>791.89099999999996</v>
      </c>
      <c r="AE39" s="114">
        <v>1.5</v>
      </c>
      <c r="AF39" s="113">
        <f t="shared" si="12"/>
        <v>29.440000000000005</v>
      </c>
      <c r="AG39" s="115"/>
      <c r="AH39" s="86">
        <f t="shared" si="2"/>
        <v>794.73099999999999</v>
      </c>
      <c r="AI39" s="86">
        <f t="shared" si="6"/>
        <v>794.73099999999999</v>
      </c>
      <c r="AJ39" s="86" t="str">
        <f t="shared" si="3"/>
        <v>NAOD</v>
      </c>
      <c r="AK39" s="93">
        <f t="shared" si="15"/>
        <v>791.89099999999996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>
        <f t="shared" si="0"/>
        <v>32.440000000000005</v>
      </c>
      <c r="B40" s="95">
        <f t="shared" si="1"/>
        <v>794.02200000000005</v>
      </c>
      <c r="C40" s="96" t="str">
        <f t="shared" si="5"/>
        <v>PRD</v>
      </c>
      <c r="D40" s="184"/>
      <c r="X40" s="107"/>
      <c r="Y40" s="108"/>
      <c r="Z40" s="109"/>
      <c r="AA40" s="110">
        <v>0.70899999999999996</v>
      </c>
      <c r="AB40" s="111"/>
      <c r="AC40" s="112"/>
      <c r="AD40" s="113">
        <f t="shared" si="13"/>
        <v>794.02200000000005</v>
      </c>
      <c r="AE40" s="114">
        <v>3</v>
      </c>
      <c r="AF40" s="113">
        <f t="shared" si="12"/>
        <v>32.440000000000005</v>
      </c>
      <c r="AG40" s="115" t="s">
        <v>5</v>
      </c>
      <c r="AH40" s="86">
        <f t="shared" si="2"/>
        <v>794.73099999999999</v>
      </c>
      <c r="AI40" s="86">
        <f t="shared" si="6"/>
        <v>794.73099999999999</v>
      </c>
      <c r="AJ40" s="86" t="str">
        <f t="shared" si="3"/>
        <v>PRD</v>
      </c>
      <c r="AK40" s="93">
        <f t="shared" si="15"/>
        <v>794.02200000000005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/>
      <c r="B41" s="95"/>
      <c r="C41" s="96"/>
      <c r="D41" s="184"/>
      <c r="X41" s="107"/>
      <c r="Y41" s="108"/>
      <c r="Z41" s="109"/>
      <c r="AA41" s="110">
        <v>2.871</v>
      </c>
      <c r="AB41" s="111"/>
      <c r="AC41" s="112"/>
      <c r="AD41" s="113">
        <f t="shared" si="13"/>
        <v>791.86</v>
      </c>
      <c r="AE41" s="114">
        <v>0</v>
      </c>
      <c r="AF41" s="113">
        <f t="shared" si="12"/>
        <v>32.440000000000005</v>
      </c>
      <c r="AG41" s="115" t="s">
        <v>46</v>
      </c>
      <c r="AH41" s="86">
        <f t="shared" si="2"/>
        <v>794.73099999999999</v>
      </c>
      <c r="AI41" s="86">
        <f t="shared" si="6"/>
        <v>794.73099999999999</v>
      </c>
      <c r="AJ41" s="86" t="str">
        <f>IF(AG41="",AJ40,AG41)</f>
        <v xml:space="preserve">S/BM </v>
      </c>
      <c r="AK41" s="93">
        <f t="shared" si="15"/>
        <v>791.86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6"/>
      <c r="AH42" s="86">
        <f t="shared" si="2"/>
        <v>0</v>
      </c>
      <c r="AI42" s="86">
        <f t="shared" si="6"/>
        <v>0</v>
      </c>
      <c r="AJ42" s="86" t="str">
        <f>IF(AG42="",AJ41,AG42)</f>
        <v xml:space="preserve">S/BM </v>
      </c>
      <c r="AK42" s="93">
        <f t="shared" si="15"/>
        <v>0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6"/>
      <c r="AH43" s="86">
        <f t="shared" si="2"/>
        <v>0</v>
      </c>
      <c r="AI43" s="86">
        <f t="shared" si="6"/>
        <v>0</v>
      </c>
      <c r="AJ43" s="86" t="str">
        <f t="shared" si="3"/>
        <v xml:space="preserve">S/BM </v>
      </c>
      <c r="AK43" s="93">
        <f t="shared" si="15"/>
        <v>0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2"/>
        <v>0</v>
      </c>
      <c r="AI44" s="86">
        <f t="shared" si="6"/>
        <v>0</v>
      </c>
      <c r="AJ44" s="86" t="str">
        <f t="shared" si="3"/>
        <v xml:space="preserve">S/BM </v>
      </c>
      <c r="AK44" s="93">
        <f t="shared" si="15"/>
        <v>0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6">IF(AG47="","",AG47)</f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6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7">IF(AJ47="S/BM",1,0)</f>
        <v>0</v>
      </c>
    </row>
    <row r="49" spans="1:42" ht="15.75" x14ac:dyDescent="0.25">
      <c r="A49" s="94"/>
      <c r="B49" s="95"/>
      <c r="C49" s="96" t="str">
        <f t="shared" si="16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7"/>
        <v>0</v>
      </c>
    </row>
    <row r="50" spans="1:42" ht="15.75" x14ac:dyDescent="0.25">
      <c r="A50" s="94"/>
      <c r="B50" s="95"/>
      <c r="C50" s="96" t="str">
        <f t="shared" si="16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7"/>
        <v>0</v>
      </c>
    </row>
    <row r="51" spans="1:42" ht="16.5" thickBot="1" x14ac:dyDescent="0.3">
      <c r="A51" s="122"/>
      <c r="B51" s="123"/>
      <c r="C51" s="96" t="str">
        <f t="shared" si="16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7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12.4</v>
      </c>
      <c r="B53" s="136">
        <f>AL4</f>
        <v>786.95600000000002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26.940000000000005</v>
      </c>
      <c r="B54" s="136">
        <f>AN4</f>
        <v>786.95600000000002</v>
      </c>
      <c r="C54" s="139" t="s">
        <v>10</v>
      </c>
      <c r="D54" s="192"/>
    </row>
    <row r="55" spans="1:42" ht="20.100000000000001" customHeight="1" x14ac:dyDescent="0.2">
      <c r="A55" s="140">
        <v>26.5</v>
      </c>
      <c r="B55" s="141">
        <v>786.48</v>
      </c>
      <c r="C55" s="142" t="s">
        <v>8</v>
      </c>
      <c r="D55" s="192"/>
    </row>
    <row r="56" spans="1:42" ht="20.100000000000001" customHeight="1" x14ac:dyDescent="0.2">
      <c r="A56" s="140">
        <v>26.5</v>
      </c>
      <c r="B56" s="143">
        <f>B55+3</f>
        <v>789.48</v>
      </c>
      <c r="C56" s="142" t="s">
        <v>8</v>
      </c>
      <c r="D56" s="192"/>
    </row>
    <row r="57" spans="1:42" ht="20.100000000000001" customHeight="1" x14ac:dyDescent="0.2">
      <c r="A57" s="63">
        <v>27</v>
      </c>
      <c r="B57" s="143">
        <v>788.86</v>
      </c>
      <c r="C57" s="144" t="s">
        <v>2</v>
      </c>
      <c r="D57" s="192"/>
    </row>
    <row r="58" spans="1:42" ht="20.100000000000001" customHeight="1" thickBot="1" x14ac:dyDescent="0.25">
      <c r="A58" s="140">
        <v>27</v>
      </c>
      <c r="B58" s="143">
        <f>B57+1.5</f>
        <v>790.36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79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786.48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7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75</v>
      </c>
      <c r="C69" s="193"/>
    </row>
    <row r="70" spans="1:4" ht="14.25" x14ac:dyDescent="0.2">
      <c r="A70" s="157" t="s">
        <v>57</v>
      </c>
      <c r="B70" s="193" t="s">
        <v>75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43606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272" priority="79" stopIfTrue="1">
      <formula>$AP$47=1</formula>
    </cfRule>
  </conditionalFormatting>
  <conditionalFormatting sqref="AC46:AF46">
    <cfRule type="expression" dxfId="271" priority="78" stopIfTrue="1">
      <formula>$AP$46</formula>
    </cfRule>
  </conditionalFormatting>
  <conditionalFormatting sqref="AC50:AF50">
    <cfRule type="expression" dxfId="270" priority="77" stopIfTrue="1">
      <formula>$AP$50=1</formula>
    </cfRule>
  </conditionalFormatting>
  <conditionalFormatting sqref="AC51:AF51">
    <cfRule type="expression" dxfId="269" priority="76" stopIfTrue="1">
      <formula>$AP$51=1</formula>
    </cfRule>
  </conditionalFormatting>
  <conditionalFormatting sqref="AC49:AF49">
    <cfRule type="expression" dxfId="268" priority="75" stopIfTrue="1">
      <formula>$AP$49=1</formula>
    </cfRule>
  </conditionalFormatting>
  <conditionalFormatting sqref="AC48:AF48">
    <cfRule type="expression" dxfId="267" priority="74" stopIfTrue="1">
      <formula>$AP$48=1</formula>
    </cfRule>
  </conditionalFormatting>
  <conditionalFormatting sqref="AC45:AF45">
    <cfRule type="expression" dxfId="266" priority="73" stopIfTrue="1">
      <formula>$AP$45=1</formula>
    </cfRule>
  </conditionalFormatting>
  <conditionalFormatting sqref="AC44:AF44">
    <cfRule type="expression" dxfId="265" priority="72" stopIfTrue="1">
      <formula>$AP$44=1</formula>
    </cfRule>
  </conditionalFormatting>
  <conditionalFormatting sqref="AC43:AF43">
    <cfRule type="expression" dxfId="264" priority="71" stopIfTrue="1">
      <formula>$AP$43=1</formula>
    </cfRule>
  </conditionalFormatting>
  <conditionalFormatting sqref="AC42:AF42">
    <cfRule type="expression" dxfId="263" priority="70" stopIfTrue="1">
      <formula>$AP$42=1</formula>
    </cfRule>
  </conditionalFormatting>
  <conditionalFormatting sqref="AC41 AE41">
    <cfRule type="expression" dxfId="262" priority="69" stopIfTrue="1">
      <formula>$AP$41=1</formula>
    </cfRule>
  </conditionalFormatting>
  <conditionalFormatting sqref="AE40">
    <cfRule type="expression" dxfId="261" priority="68" stopIfTrue="1">
      <formula>$AP$40=1</formula>
    </cfRule>
  </conditionalFormatting>
  <conditionalFormatting sqref="AE39">
    <cfRule type="expression" dxfId="260" priority="67" stopIfTrue="1">
      <formula>$AP$39=1</formula>
    </cfRule>
  </conditionalFormatting>
  <conditionalFormatting sqref="AE38">
    <cfRule type="expression" dxfId="259" priority="66" stopIfTrue="1">
      <formula>$AP$38=1</formula>
    </cfRule>
  </conditionalFormatting>
  <conditionalFormatting sqref="AE37">
    <cfRule type="expression" dxfId="258" priority="65" stopIfTrue="1">
      <formula>$AP$37=1</formula>
    </cfRule>
  </conditionalFormatting>
  <conditionalFormatting sqref="AE36">
    <cfRule type="expression" dxfId="257" priority="64" stopIfTrue="1">
      <formula>$AP$36=1</formula>
    </cfRule>
  </conditionalFormatting>
  <conditionalFormatting sqref="AE35">
    <cfRule type="expression" dxfId="256" priority="62" stopIfTrue="1">
      <formula>$AP$35=1</formula>
    </cfRule>
    <cfRule type="expression" dxfId="255" priority="63" stopIfTrue="1">
      <formula>$AP$35=1</formula>
    </cfRule>
  </conditionalFormatting>
  <conditionalFormatting sqref="AE34">
    <cfRule type="expression" dxfId="254" priority="61" stopIfTrue="1">
      <formula>$AP$34=1</formula>
    </cfRule>
  </conditionalFormatting>
  <conditionalFormatting sqref="AE33">
    <cfRule type="expression" dxfId="253" priority="60" stopIfTrue="1">
      <formula>$AP$33=1</formula>
    </cfRule>
  </conditionalFormatting>
  <conditionalFormatting sqref="AE32">
    <cfRule type="expression" dxfId="252" priority="59" stopIfTrue="1">
      <formula>$AP$32=1</formula>
    </cfRule>
  </conditionalFormatting>
  <conditionalFormatting sqref="AE31">
    <cfRule type="expression" dxfId="251" priority="58" stopIfTrue="1">
      <formula>$AP$31=1</formula>
    </cfRule>
  </conditionalFormatting>
  <conditionalFormatting sqref="AC30:AF30">
    <cfRule type="expression" dxfId="250" priority="57" stopIfTrue="1">
      <formula>$AP$30</formula>
    </cfRule>
  </conditionalFormatting>
  <conditionalFormatting sqref="AC29:AD29 AF29">
    <cfRule type="expression" dxfId="249" priority="56" stopIfTrue="1">
      <formula>$AP$29=1</formula>
    </cfRule>
  </conditionalFormatting>
  <conditionalFormatting sqref="AC28:AD28 AF28">
    <cfRule type="expression" dxfId="248" priority="55" stopIfTrue="1">
      <formula>$AP$28=1</formula>
    </cfRule>
  </conditionalFormatting>
  <conditionalFormatting sqref="AC27:AD27 AF27">
    <cfRule type="expression" dxfId="247" priority="54" stopIfTrue="1">
      <formula>$AP$27=1</formula>
    </cfRule>
  </conditionalFormatting>
  <conditionalFormatting sqref="AC26:AD26 AF26">
    <cfRule type="expression" dxfId="246" priority="53" stopIfTrue="1">
      <formula>$AP$26=1</formula>
    </cfRule>
  </conditionalFormatting>
  <conditionalFormatting sqref="AC25:AD25 AF25">
    <cfRule type="expression" dxfId="245" priority="52" stopIfTrue="1">
      <formula>$AP$25=1</formula>
    </cfRule>
  </conditionalFormatting>
  <conditionalFormatting sqref="AC24:AD24 AF24">
    <cfRule type="expression" dxfId="244" priority="51" stopIfTrue="1">
      <formula>$AP$24=1</formula>
    </cfRule>
  </conditionalFormatting>
  <conditionalFormatting sqref="AC23:AD23 AF23">
    <cfRule type="expression" dxfId="243" priority="50" stopIfTrue="1">
      <formula>$AP$23=1</formula>
    </cfRule>
  </conditionalFormatting>
  <conditionalFormatting sqref="AC22:AD22 AF22">
    <cfRule type="expression" dxfId="242" priority="49" stopIfTrue="1">
      <formula>$AP$22=1</formula>
    </cfRule>
  </conditionalFormatting>
  <conditionalFormatting sqref="AC21:AD21 AF21">
    <cfRule type="expression" dxfId="241" priority="48" stopIfTrue="1">
      <formula>$AP$21=1</formula>
    </cfRule>
  </conditionalFormatting>
  <conditionalFormatting sqref="AC20:AD20 AF20">
    <cfRule type="expression" dxfId="240" priority="47" stopIfTrue="1">
      <formula>$AP$20=1</formula>
    </cfRule>
  </conditionalFormatting>
  <conditionalFormatting sqref="AC19:AD19 AF19">
    <cfRule type="expression" dxfId="239" priority="46" stopIfTrue="1">
      <formula>$AP$19=1</formula>
    </cfRule>
  </conditionalFormatting>
  <conditionalFormatting sqref="AC18:AD18 AF18">
    <cfRule type="expression" dxfId="238" priority="45" stopIfTrue="1">
      <formula>$AP$18=1</formula>
    </cfRule>
  </conditionalFormatting>
  <conditionalFormatting sqref="AC17:AD17 AF17">
    <cfRule type="expression" dxfId="237" priority="44" stopIfTrue="1">
      <formula>$AP$17=1</formula>
    </cfRule>
  </conditionalFormatting>
  <conditionalFormatting sqref="AC16:AD16 AF16">
    <cfRule type="expression" dxfId="236" priority="43" stopIfTrue="1">
      <formula>$AP$16=1</formula>
    </cfRule>
  </conditionalFormatting>
  <conditionalFormatting sqref="AC15:AD15 AF15">
    <cfRule type="expression" dxfId="235" priority="42" stopIfTrue="1">
      <formula>$AP$15=1</formula>
    </cfRule>
  </conditionalFormatting>
  <conditionalFormatting sqref="AC14:AD14 AF14">
    <cfRule type="expression" dxfId="234" priority="41" stopIfTrue="1">
      <formula>$AP$14=1</formula>
    </cfRule>
  </conditionalFormatting>
  <conditionalFormatting sqref="AC13:AD13 AF13">
    <cfRule type="expression" dxfId="233" priority="40" stopIfTrue="1">
      <formula>$AP$13=1</formula>
    </cfRule>
  </conditionalFormatting>
  <conditionalFormatting sqref="AC12:AF12 AE13:AE29">
    <cfRule type="expression" dxfId="232" priority="39" stopIfTrue="1">
      <formula>$AP$12=1</formula>
    </cfRule>
  </conditionalFormatting>
  <conditionalFormatting sqref="AC11:AF11">
    <cfRule type="expression" dxfId="231" priority="38" stopIfTrue="1">
      <formula>$AP$11=1</formula>
    </cfRule>
  </conditionalFormatting>
  <conditionalFormatting sqref="A51:B51">
    <cfRule type="expression" dxfId="230" priority="37" stopIfTrue="1">
      <formula>$AP$51=1</formula>
    </cfRule>
  </conditionalFormatting>
  <conditionalFormatting sqref="A50:B50">
    <cfRule type="expression" dxfId="229" priority="36" stopIfTrue="1">
      <formula>$AP$50=1</formula>
    </cfRule>
  </conditionalFormatting>
  <conditionalFormatting sqref="A49:B49">
    <cfRule type="expression" dxfId="228" priority="35" stopIfTrue="1">
      <formula>$AP$49=1</formula>
    </cfRule>
  </conditionalFormatting>
  <conditionalFormatting sqref="A48:B48">
    <cfRule type="expression" dxfId="227" priority="34" stopIfTrue="1">
      <formula>$AP$48=1</formula>
    </cfRule>
  </conditionalFormatting>
  <conditionalFormatting sqref="A47:B47">
    <cfRule type="expression" dxfId="226" priority="33" stopIfTrue="1">
      <formula>$AP$47=1</formula>
    </cfRule>
  </conditionalFormatting>
  <conditionalFormatting sqref="A46:B46">
    <cfRule type="expression" dxfId="225" priority="32" stopIfTrue="1">
      <formula>$AP$46=1</formula>
    </cfRule>
  </conditionalFormatting>
  <conditionalFormatting sqref="A45:B45">
    <cfRule type="expression" dxfId="224" priority="31" stopIfTrue="1">
      <formula>$AP$45=1</formula>
    </cfRule>
  </conditionalFormatting>
  <conditionalFormatting sqref="A44:B44">
    <cfRule type="expression" dxfId="223" priority="30" stopIfTrue="1">
      <formula>$AP$44=1</formula>
    </cfRule>
  </conditionalFormatting>
  <conditionalFormatting sqref="A43:B43">
    <cfRule type="expression" dxfId="222" priority="29" stopIfTrue="1">
      <formula>$AP$43=1</formula>
    </cfRule>
  </conditionalFormatting>
  <conditionalFormatting sqref="A42:B42">
    <cfRule type="expression" dxfId="221" priority="28" stopIfTrue="1">
      <formula>$AP$42=1</formula>
    </cfRule>
  </conditionalFormatting>
  <conditionalFormatting sqref="A30:B41">
    <cfRule type="expression" dxfId="220" priority="25" stopIfTrue="1">
      <formula>$AP$30=1</formula>
    </cfRule>
  </conditionalFormatting>
  <conditionalFormatting sqref="A29:B29">
    <cfRule type="expression" dxfId="219" priority="24" stopIfTrue="1">
      <formula>$AP$29=1</formula>
    </cfRule>
  </conditionalFormatting>
  <conditionalFormatting sqref="A28:B28">
    <cfRule type="expression" dxfId="218" priority="23" stopIfTrue="1">
      <formula>$AP$28=1</formula>
    </cfRule>
  </conditionalFormatting>
  <conditionalFormatting sqref="A27:B27">
    <cfRule type="expression" dxfId="217" priority="22" stopIfTrue="1">
      <formula>$AP$27=1</formula>
    </cfRule>
  </conditionalFormatting>
  <conditionalFormatting sqref="A26:B26">
    <cfRule type="expression" dxfId="216" priority="21" stopIfTrue="1">
      <formula>$AP$26=1</formula>
    </cfRule>
  </conditionalFormatting>
  <conditionalFormatting sqref="A25:B25">
    <cfRule type="expression" dxfId="215" priority="20" stopIfTrue="1">
      <formula>$AP$25=1</formula>
    </cfRule>
  </conditionalFormatting>
  <conditionalFormatting sqref="A24:B24">
    <cfRule type="expression" dxfId="214" priority="19" stopIfTrue="1">
      <formula>$AP$24=1</formula>
    </cfRule>
  </conditionalFormatting>
  <conditionalFormatting sqref="A23:B23">
    <cfRule type="expression" dxfId="213" priority="18" stopIfTrue="1">
      <formula>$AP$23=1</formula>
    </cfRule>
  </conditionalFormatting>
  <conditionalFormatting sqref="A22:B22">
    <cfRule type="expression" dxfId="212" priority="17" stopIfTrue="1">
      <formula>$AP$22=1</formula>
    </cfRule>
  </conditionalFormatting>
  <conditionalFormatting sqref="A21:B21">
    <cfRule type="expression" dxfId="211" priority="16" stopIfTrue="1">
      <formula>$AP$21=1</formula>
    </cfRule>
  </conditionalFormatting>
  <conditionalFormatting sqref="A20:B20">
    <cfRule type="expression" dxfId="210" priority="15" stopIfTrue="1">
      <formula>$AP$20=1</formula>
    </cfRule>
  </conditionalFormatting>
  <conditionalFormatting sqref="A19:B19">
    <cfRule type="expression" dxfId="209" priority="14" stopIfTrue="1">
      <formula>$AP$19=1</formula>
    </cfRule>
  </conditionalFormatting>
  <conditionalFormatting sqref="A18:B18">
    <cfRule type="expression" dxfId="208" priority="13" stopIfTrue="1">
      <formula>$AP$18=1</formula>
    </cfRule>
  </conditionalFormatting>
  <conditionalFormatting sqref="A17:B17">
    <cfRule type="expression" dxfId="207" priority="12" stopIfTrue="1">
      <formula>$AP$17=1</formula>
    </cfRule>
  </conditionalFormatting>
  <conditionalFormatting sqref="A16:B16">
    <cfRule type="expression" dxfId="206" priority="11" stopIfTrue="1">
      <formula>$AP$16=1</formula>
    </cfRule>
  </conditionalFormatting>
  <conditionalFormatting sqref="A15:B15">
    <cfRule type="expression" dxfId="205" priority="10" stopIfTrue="1">
      <formula>$AP$15=1</formula>
    </cfRule>
  </conditionalFormatting>
  <conditionalFormatting sqref="A14:B14">
    <cfRule type="expression" dxfId="204" priority="9" stopIfTrue="1">
      <formula>$AP$14=1</formula>
    </cfRule>
  </conditionalFormatting>
  <conditionalFormatting sqref="A13:B13">
    <cfRule type="expression" dxfId="203" priority="8" stopIfTrue="1">
      <formula>$AP$13=1</formula>
    </cfRule>
  </conditionalFormatting>
  <conditionalFormatting sqref="A12:B12">
    <cfRule type="expression" dxfId="202" priority="7" stopIfTrue="1">
      <formula>$AP$12=1</formula>
    </cfRule>
  </conditionalFormatting>
  <conditionalFormatting sqref="A11:B11">
    <cfRule type="expression" dxfId="201" priority="6" stopIfTrue="1">
      <formula>$AP$11=1</formula>
    </cfRule>
  </conditionalFormatting>
  <conditionalFormatting sqref="A10:B10">
    <cfRule type="expression" dxfId="200" priority="5" stopIfTrue="1">
      <formula>$AP$10=1</formula>
    </cfRule>
  </conditionalFormatting>
  <conditionalFormatting sqref="AF31">
    <cfRule type="expression" dxfId="199" priority="4" stopIfTrue="1">
      <formula>$AP$30</formula>
    </cfRule>
  </conditionalFormatting>
  <conditionalFormatting sqref="AD31:AD41">
    <cfRule type="expression" dxfId="198" priority="3" stopIfTrue="1">
      <formula>$AP$30</formula>
    </cfRule>
  </conditionalFormatting>
  <conditionalFormatting sqref="AF32:AF41">
    <cfRule type="expression" dxfId="197" priority="2" stopIfTrue="1">
      <formula>$AP$30</formula>
    </cfRule>
  </conditionalFormatting>
  <conditionalFormatting sqref="AC31:AC40">
    <cfRule type="expression" dxfId="196" priority="1" stopIfTrue="1">
      <formula>$AP$30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AP75"/>
  <sheetViews>
    <sheetView zoomScale="70" zoomScaleNormal="70" workbookViewId="0">
      <selection activeCell="AA6" sqref="AA6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81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787.25900000000001</v>
      </c>
      <c r="AM4" s="93">
        <f>SUM(AM5:AM46)</f>
        <v>12</v>
      </c>
      <c r="AN4" s="93">
        <f>SUM(AN5:AN46)</f>
        <v>787.25900000000001</v>
      </c>
      <c r="AO4" s="93">
        <f>SUM(AO5:AO46)</f>
        <v>27</v>
      </c>
      <c r="AP4" s="86"/>
    </row>
    <row r="5" spans="1:42" ht="15.75" x14ac:dyDescent="0.25">
      <c r="A5" s="94">
        <f t="shared" ref="A5:A43" si="0">AF5</f>
        <v>0</v>
      </c>
      <c r="B5" s="95">
        <f t="shared" ref="B5:B43" si="1">AD5</f>
        <v>791.86</v>
      </c>
      <c r="C5" s="96" t="str">
        <f>IF(AG5="","",AG5)</f>
        <v xml:space="preserve">S/BM </v>
      </c>
      <c r="D5" s="184"/>
      <c r="X5" s="97"/>
      <c r="Y5" s="98"/>
      <c r="Z5" s="99">
        <v>2.1280000000000001</v>
      </c>
      <c r="AA5" s="100"/>
      <c r="AB5" s="101"/>
      <c r="AC5" s="102">
        <f>IF(AA5="",AD5+Z5,"")</f>
        <v>793.98800000000006</v>
      </c>
      <c r="AD5" s="103">
        <v>791.86</v>
      </c>
      <c r="AE5" s="104">
        <v>0</v>
      </c>
      <c r="AF5" s="105"/>
      <c r="AG5" s="106" t="s">
        <v>46</v>
      </c>
      <c r="AH5" s="86">
        <f t="shared" ref="AH5:AH46" si="2">IF(AND(AJ5="NAOI",AJ5=AJ6),AK5,AI5)</f>
        <v>793.98800000000006</v>
      </c>
      <c r="AI5" s="86">
        <f>IF(AA5="",AC5,AI4)</f>
        <v>793.98800000000006</v>
      </c>
      <c r="AJ5" s="86" t="str">
        <f t="shared" ref="AJ5:AJ51" si="3">IF(AG5="",AJ4,AG5)</f>
        <v xml:space="preserve">S/BM </v>
      </c>
      <c r="AK5" s="93">
        <f t="shared" ref="AK5:AK13" si="4">IF(AND(AJ5="NAOI",AJ4="NAOI"),AK4,AD5)</f>
        <v>791.86</v>
      </c>
      <c r="AL5" s="86" t="str">
        <f>IF(AG5="NAOI",AD5,"")</f>
        <v/>
      </c>
      <c r="AM5" s="93" t="str">
        <f>IF(AG5="NAOI",AF5,"")</f>
        <v/>
      </c>
      <c r="AN5" s="86" t="str">
        <f>IF(AG5="NAOD",AD5,"")</f>
        <v/>
      </c>
      <c r="AO5" s="86" t="str">
        <f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792.70800000000008</v>
      </c>
      <c r="C6" s="96" t="str">
        <f t="shared" ref="C6:C44" si="5">IF(AG6="","",AG6)</f>
        <v>PRI</v>
      </c>
      <c r="D6" s="184"/>
      <c r="X6" s="107"/>
      <c r="Y6" s="108"/>
      <c r="Z6" s="109"/>
      <c r="AA6" s="110">
        <v>1.28</v>
      </c>
      <c r="AB6" s="111"/>
      <c r="AC6" s="112" t="str">
        <f>IF(AA6="",AD6+Z6,"")</f>
        <v/>
      </c>
      <c r="AD6" s="113">
        <f>IF(AA6="",AH5-AB6,AH5-AA6)</f>
        <v>792.70800000000008</v>
      </c>
      <c r="AE6" s="114">
        <v>0</v>
      </c>
      <c r="AF6" s="113">
        <f>AE6</f>
        <v>0</v>
      </c>
      <c r="AG6" s="115" t="s">
        <v>4</v>
      </c>
      <c r="AH6" s="86">
        <f t="shared" si="2"/>
        <v>793.98800000000006</v>
      </c>
      <c r="AI6" s="86">
        <f t="shared" ref="AI6:AI46" si="6">IF(AA6="",AC6,AI5)</f>
        <v>793.98800000000006</v>
      </c>
      <c r="AJ6" s="86" t="str">
        <f t="shared" si="3"/>
        <v>PRI</v>
      </c>
      <c r="AK6" s="93">
        <f t="shared" si="4"/>
        <v>792.70800000000008</v>
      </c>
      <c r="AL6" s="86" t="str">
        <f t="shared" ref="AL6:AL51" si="7">IF(AG6="NAOI",AD6,"")</f>
        <v/>
      </c>
      <c r="AM6" s="93" t="str">
        <f t="shared" ref="AM6:AM51" si="8">IF(AG6="NAOI",AF6,"")</f>
        <v/>
      </c>
      <c r="AN6" s="86" t="str">
        <f t="shared" ref="AN6:AN51" si="9">IF(AG6="NAOD",AD6,"")</f>
        <v/>
      </c>
      <c r="AO6" s="86" t="str">
        <f t="shared" ref="AO6:AO51" si="10">IF(AG6="NAOD",AF6,"")</f>
        <v/>
      </c>
      <c r="AP6" s="86"/>
    </row>
    <row r="7" spans="1:42" ht="15.75" x14ac:dyDescent="0.25">
      <c r="A7" s="94">
        <f t="shared" si="0"/>
        <v>4</v>
      </c>
      <c r="B7" s="95">
        <f t="shared" si="1"/>
        <v>790.86</v>
      </c>
      <c r="C7" s="96" t="str">
        <f t="shared" si="5"/>
        <v/>
      </c>
      <c r="D7" s="184"/>
      <c r="X7" s="107"/>
      <c r="Y7" s="108"/>
      <c r="Z7" s="109"/>
      <c r="AA7" s="110">
        <v>3.1280000000000001</v>
      </c>
      <c r="AB7" s="111"/>
      <c r="AC7" s="112" t="str">
        <f t="shared" ref="AC7:AC39" si="11">IF(AA7="",AD7+Z7,"")</f>
        <v/>
      </c>
      <c r="AD7" s="113">
        <f>IF(AA7="",AH6-AB7,AH6-AA7)</f>
        <v>790.86</v>
      </c>
      <c r="AE7" s="114">
        <v>4</v>
      </c>
      <c r="AF7" s="113">
        <f t="shared" ref="AF7:AF44" si="12">+AF6+AE7</f>
        <v>4</v>
      </c>
      <c r="AG7" s="116"/>
      <c r="AH7" s="86">
        <f t="shared" si="2"/>
        <v>793.98800000000006</v>
      </c>
      <c r="AI7" s="86">
        <f t="shared" si="6"/>
        <v>793.98800000000006</v>
      </c>
      <c r="AJ7" s="86" t="str">
        <f t="shared" si="3"/>
        <v>PRI</v>
      </c>
      <c r="AK7" s="93">
        <f t="shared" si="4"/>
        <v>790.86</v>
      </c>
      <c r="AL7" s="86" t="str">
        <f t="shared" si="7"/>
        <v/>
      </c>
      <c r="AM7" s="93" t="str">
        <f t="shared" si="8"/>
        <v/>
      </c>
      <c r="AN7" s="86" t="str">
        <f t="shared" si="9"/>
        <v/>
      </c>
      <c r="AO7" s="86" t="str">
        <f t="shared" si="10"/>
        <v/>
      </c>
      <c r="AP7" s="86"/>
    </row>
    <row r="8" spans="1:42" ht="15.75" x14ac:dyDescent="0.25">
      <c r="A8" s="94">
        <f t="shared" si="0"/>
        <v>4</v>
      </c>
      <c r="B8" s="95">
        <f t="shared" si="1"/>
        <v>789.07</v>
      </c>
      <c r="C8" s="96" t="str">
        <f t="shared" si="5"/>
        <v/>
      </c>
      <c r="D8" s="184"/>
      <c r="X8" s="107" t="s">
        <v>47</v>
      </c>
      <c r="Y8" s="108"/>
      <c r="Z8" s="109">
        <v>0.71799999999999997</v>
      </c>
      <c r="AA8" s="110"/>
      <c r="AB8" s="111">
        <v>4.9180000000000001</v>
      </c>
      <c r="AC8" s="112">
        <f t="shared" si="11"/>
        <v>789.78800000000001</v>
      </c>
      <c r="AD8" s="113">
        <f>IF(AA8="",AH7-AB8,AH7-AA8)</f>
        <v>789.07</v>
      </c>
      <c r="AE8" s="114">
        <v>0</v>
      </c>
      <c r="AF8" s="113">
        <f t="shared" si="12"/>
        <v>4</v>
      </c>
      <c r="AG8" s="116"/>
      <c r="AH8" s="86">
        <f t="shared" si="2"/>
        <v>789.78800000000001</v>
      </c>
      <c r="AI8" s="86">
        <f t="shared" si="6"/>
        <v>789.78800000000001</v>
      </c>
      <c r="AJ8" s="86" t="str">
        <f t="shared" si="3"/>
        <v>PRI</v>
      </c>
      <c r="AK8" s="93">
        <f t="shared" si="4"/>
        <v>789.07</v>
      </c>
      <c r="AL8" s="86" t="str">
        <f t="shared" si="7"/>
        <v/>
      </c>
      <c r="AM8" s="93" t="str">
        <f t="shared" si="8"/>
        <v/>
      </c>
      <c r="AN8" s="86" t="str">
        <f t="shared" si="9"/>
        <v/>
      </c>
      <c r="AO8" s="86" t="str">
        <f t="shared" si="10"/>
        <v/>
      </c>
      <c r="AP8" s="86"/>
    </row>
    <row r="9" spans="1:42" ht="15.75" x14ac:dyDescent="0.25">
      <c r="A9" s="94">
        <f t="shared" si="0"/>
        <v>5</v>
      </c>
      <c r="B9" s="95">
        <f t="shared" si="1"/>
        <v>789.62800000000004</v>
      </c>
      <c r="C9" s="96" t="str">
        <f t="shared" si="5"/>
        <v/>
      </c>
      <c r="D9" s="184"/>
      <c r="X9" s="107"/>
      <c r="Y9" s="108"/>
      <c r="Z9" s="109"/>
      <c r="AA9" s="110">
        <v>0.16</v>
      </c>
      <c r="AB9" s="111"/>
      <c r="AC9" s="112" t="str">
        <f t="shared" si="11"/>
        <v/>
      </c>
      <c r="AD9" s="113">
        <f>IF(AA9="",AH8-AB9,AH8-AA9)</f>
        <v>789.62800000000004</v>
      </c>
      <c r="AE9" s="114">
        <v>1</v>
      </c>
      <c r="AF9" s="113">
        <f t="shared" si="12"/>
        <v>5</v>
      </c>
      <c r="AG9" s="115"/>
      <c r="AH9" s="86">
        <f t="shared" si="2"/>
        <v>789.78800000000001</v>
      </c>
      <c r="AI9" s="86">
        <f t="shared" si="6"/>
        <v>789.78800000000001</v>
      </c>
      <c r="AJ9" s="86" t="str">
        <f t="shared" si="3"/>
        <v>PRI</v>
      </c>
      <c r="AK9" s="93">
        <f t="shared" si="4"/>
        <v>789.62800000000004</v>
      </c>
      <c r="AL9" s="86" t="str">
        <f t="shared" si="7"/>
        <v/>
      </c>
      <c r="AM9" s="93" t="str">
        <f t="shared" si="8"/>
        <v/>
      </c>
      <c r="AN9" s="86" t="str">
        <f t="shared" si="9"/>
        <v/>
      </c>
      <c r="AO9" s="86" t="str">
        <f t="shared" si="10"/>
        <v/>
      </c>
      <c r="AP9" s="86"/>
    </row>
    <row r="10" spans="1:42" ht="15.75" x14ac:dyDescent="0.25">
      <c r="A10" s="94">
        <f t="shared" si="0"/>
        <v>7</v>
      </c>
      <c r="B10" s="95">
        <f t="shared" si="1"/>
        <v>789.10599999999999</v>
      </c>
      <c r="C10" s="96" t="str">
        <f t="shared" si="5"/>
        <v/>
      </c>
      <c r="D10" s="184"/>
      <c r="E10" s="84">
        <f>(B12+B35)/2</f>
        <v>786.21849999999995</v>
      </c>
      <c r="X10" s="107"/>
      <c r="Y10" s="108"/>
      <c r="Z10" s="109"/>
      <c r="AA10" s="110">
        <v>0.68200000000000005</v>
      </c>
      <c r="AB10" s="111"/>
      <c r="AC10" s="112" t="str">
        <f t="shared" si="11"/>
        <v/>
      </c>
      <c r="AD10" s="113">
        <f t="shared" ref="AD10:AD44" si="13">IF(AJ9="S/BM",AD9,IF(AA10="",AH9-AB10,AH9-AA10))</f>
        <v>789.10599999999999</v>
      </c>
      <c r="AE10" s="114">
        <v>2</v>
      </c>
      <c r="AF10" s="113">
        <f t="shared" si="12"/>
        <v>7</v>
      </c>
      <c r="AG10" s="115"/>
      <c r="AH10" s="86">
        <f t="shared" si="2"/>
        <v>789.78800000000001</v>
      </c>
      <c r="AI10" s="86">
        <f t="shared" si="6"/>
        <v>789.78800000000001</v>
      </c>
      <c r="AJ10" s="86" t="str">
        <f t="shared" si="3"/>
        <v>PRI</v>
      </c>
      <c r="AK10" s="93">
        <f t="shared" si="4"/>
        <v>789.10599999999999</v>
      </c>
      <c r="AL10" s="86" t="str">
        <f t="shared" si="7"/>
        <v/>
      </c>
      <c r="AM10" s="93" t="str">
        <f t="shared" si="8"/>
        <v/>
      </c>
      <c r="AN10" s="86" t="str">
        <f t="shared" si="9"/>
        <v/>
      </c>
      <c r="AO10" s="86" t="str">
        <f t="shared" si="10"/>
        <v/>
      </c>
      <c r="AP10" s="86"/>
    </row>
    <row r="11" spans="1:42" s="117" customFormat="1" ht="15.75" x14ac:dyDescent="0.25">
      <c r="A11" s="94">
        <f t="shared" si="0"/>
        <v>8</v>
      </c>
      <c r="B11" s="95">
        <f t="shared" si="1"/>
        <v>787.72500000000002</v>
      </c>
      <c r="C11" s="96" t="str">
        <f t="shared" si="5"/>
        <v/>
      </c>
      <c r="D11" s="184"/>
      <c r="E11" s="117">
        <v>0.33</v>
      </c>
      <c r="X11" s="107"/>
      <c r="Y11" s="108"/>
      <c r="Z11" s="109"/>
      <c r="AA11" s="110">
        <v>2.0630000000000002</v>
      </c>
      <c r="AB11" s="111"/>
      <c r="AC11" s="112" t="str">
        <f t="shared" si="11"/>
        <v/>
      </c>
      <c r="AD11" s="113">
        <f t="shared" si="13"/>
        <v>787.72500000000002</v>
      </c>
      <c r="AE11" s="114">
        <v>1</v>
      </c>
      <c r="AF11" s="113">
        <f t="shared" si="12"/>
        <v>8</v>
      </c>
      <c r="AG11" s="115"/>
      <c r="AH11" s="86">
        <f t="shared" si="2"/>
        <v>789.78800000000001</v>
      </c>
      <c r="AI11" s="86">
        <f t="shared" si="6"/>
        <v>789.78800000000001</v>
      </c>
      <c r="AJ11" s="86" t="str">
        <f t="shared" si="3"/>
        <v>PRI</v>
      </c>
      <c r="AK11" s="93">
        <f t="shared" si="4"/>
        <v>787.72500000000002</v>
      </c>
      <c r="AL11" s="86" t="str">
        <f t="shared" si="7"/>
        <v/>
      </c>
      <c r="AM11" s="93" t="str">
        <f t="shared" si="8"/>
        <v/>
      </c>
      <c r="AN11" s="86" t="str">
        <f t="shared" si="9"/>
        <v/>
      </c>
      <c r="AO11" s="86" t="str">
        <f t="shared" si="10"/>
        <v/>
      </c>
      <c r="AP11" s="86">
        <f t="shared" ref="AP11:AP46" si="14">IF(AJ10="S/BM",1,0)</f>
        <v>0</v>
      </c>
    </row>
    <row r="12" spans="1:42" s="117" customFormat="1" ht="15.75" x14ac:dyDescent="0.25">
      <c r="A12" s="94">
        <f t="shared" si="0"/>
        <v>10</v>
      </c>
      <c r="B12" s="95">
        <f t="shared" si="1"/>
        <v>787.78800000000001</v>
      </c>
      <c r="C12" s="96" t="str">
        <f t="shared" si="5"/>
        <v/>
      </c>
      <c r="D12" s="184"/>
      <c r="E12" s="117">
        <v>0.3</v>
      </c>
      <c r="X12" s="107"/>
      <c r="Y12" s="108"/>
      <c r="Z12" s="109"/>
      <c r="AA12" s="110">
        <v>2</v>
      </c>
      <c r="AB12" s="111"/>
      <c r="AC12" s="112" t="str">
        <f>IF(AA12="",AD12+Z12,"")</f>
        <v/>
      </c>
      <c r="AD12" s="113">
        <f t="shared" si="13"/>
        <v>787.78800000000001</v>
      </c>
      <c r="AE12" s="114">
        <v>2</v>
      </c>
      <c r="AF12" s="113">
        <f t="shared" si="12"/>
        <v>10</v>
      </c>
      <c r="AG12" s="115"/>
      <c r="AH12" s="86">
        <f t="shared" si="2"/>
        <v>789.78800000000001</v>
      </c>
      <c r="AI12" s="86">
        <f t="shared" si="6"/>
        <v>789.78800000000001</v>
      </c>
      <c r="AJ12" s="86" t="str">
        <f t="shared" si="3"/>
        <v>PRI</v>
      </c>
      <c r="AK12" s="93">
        <f t="shared" si="4"/>
        <v>787.78800000000001</v>
      </c>
      <c r="AL12" s="86" t="str">
        <f t="shared" si="7"/>
        <v/>
      </c>
      <c r="AM12" s="93" t="str">
        <f t="shared" si="8"/>
        <v/>
      </c>
      <c r="AN12" s="86" t="str">
        <f t="shared" si="9"/>
        <v/>
      </c>
      <c r="AO12" s="86" t="str">
        <f t="shared" si="10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12</v>
      </c>
      <c r="B13" s="95">
        <f t="shared" si="1"/>
        <v>787.25900000000001</v>
      </c>
      <c r="C13" s="96" t="str">
        <f t="shared" si="5"/>
        <v>NAOI</v>
      </c>
      <c r="D13" s="184"/>
      <c r="E13" s="117">
        <v>0.35</v>
      </c>
      <c r="X13" s="107"/>
      <c r="Y13" s="108"/>
      <c r="Z13" s="109"/>
      <c r="AA13" s="110">
        <v>2.5289999999999999</v>
      </c>
      <c r="AB13" s="111"/>
      <c r="AC13" s="112" t="str">
        <f t="shared" si="11"/>
        <v/>
      </c>
      <c r="AD13" s="113">
        <f t="shared" si="13"/>
        <v>787.25900000000001</v>
      </c>
      <c r="AE13" s="114">
        <v>2</v>
      </c>
      <c r="AF13" s="113">
        <f t="shared" si="12"/>
        <v>12</v>
      </c>
      <c r="AG13" s="115" t="s">
        <v>9</v>
      </c>
      <c r="AH13" s="86">
        <f t="shared" si="2"/>
        <v>787.25900000000001</v>
      </c>
      <c r="AI13" s="86">
        <f t="shared" si="6"/>
        <v>789.78800000000001</v>
      </c>
      <c r="AJ13" s="86" t="str">
        <f t="shared" si="3"/>
        <v>NAOI</v>
      </c>
      <c r="AK13" s="93">
        <f t="shared" si="4"/>
        <v>787.25900000000001</v>
      </c>
      <c r="AL13" s="86">
        <f t="shared" si="7"/>
        <v>787.25900000000001</v>
      </c>
      <c r="AM13" s="93">
        <f t="shared" si="8"/>
        <v>12</v>
      </c>
      <c r="AN13" s="86" t="str">
        <f t="shared" si="9"/>
        <v/>
      </c>
      <c r="AO13" s="86" t="str">
        <f t="shared" si="10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14</v>
      </c>
      <c r="B14" s="95">
        <f t="shared" si="1"/>
        <v>786.42899999999997</v>
      </c>
      <c r="C14" s="96" t="str">
        <f t="shared" si="5"/>
        <v/>
      </c>
      <c r="D14" s="184"/>
      <c r="E14" s="117">
        <v>0.5</v>
      </c>
      <c r="X14" s="107"/>
      <c r="Y14" s="108"/>
      <c r="Z14" s="109"/>
      <c r="AA14" s="110">
        <v>0.83</v>
      </c>
      <c r="AB14" s="111"/>
      <c r="AC14" s="112" t="str">
        <f t="shared" si="11"/>
        <v/>
      </c>
      <c r="AD14" s="113">
        <f t="shared" si="13"/>
        <v>786.42899999999997</v>
      </c>
      <c r="AE14" s="114">
        <v>2</v>
      </c>
      <c r="AF14" s="113">
        <f t="shared" si="12"/>
        <v>14</v>
      </c>
      <c r="AG14" s="116"/>
      <c r="AH14" s="86">
        <f t="shared" si="2"/>
        <v>787.25900000000001</v>
      </c>
      <c r="AI14" s="86">
        <f t="shared" si="6"/>
        <v>789.78800000000001</v>
      </c>
      <c r="AJ14" s="86" t="str">
        <f t="shared" si="3"/>
        <v>NAOI</v>
      </c>
      <c r="AK14" s="93">
        <f>IF(AND(AJ14="NAOI",AJ13="NAOI"),AK13,AD14)</f>
        <v>787.25900000000001</v>
      </c>
      <c r="AL14" s="86" t="str">
        <f t="shared" si="7"/>
        <v/>
      </c>
      <c r="AM14" s="93" t="str">
        <f t="shared" si="8"/>
        <v/>
      </c>
      <c r="AN14" s="86" t="str">
        <f t="shared" si="9"/>
        <v/>
      </c>
      <c r="AO14" s="86" t="str">
        <f t="shared" si="10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15</v>
      </c>
      <c r="B15" s="95">
        <f t="shared" si="1"/>
        <v>786.29899999999998</v>
      </c>
      <c r="C15" s="96" t="str">
        <f t="shared" si="5"/>
        <v/>
      </c>
      <c r="D15" s="184"/>
      <c r="E15" s="117">
        <v>0.55000000000000004</v>
      </c>
      <c r="X15" s="107"/>
      <c r="Y15" s="108"/>
      <c r="Z15" s="109"/>
      <c r="AA15" s="110">
        <v>0.96</v>
      </c>
      <c r="AB15" s="111"/>
      <c r="AC15" s="112" t="str">
        <f t="shared" si="11"/>
        <v/>
      </c>
      <c r="AD15" s="113">
        <f t="shared" si="13"/>
        <v>786.29899999999998</v>
      </c>
      <c r="AE15" s="114">
        <v>1</v>
      </c>
      <c r="AF15" s="113">
        <f t="shared" si="12"/>
        <v>15</v>
      </c>
      <c r="AG15" s="115"/>
      <c r="AH15" s="86">
        <f t="shared" si="2"/>
        <v>787.25900000000001</v>
      </c>
      <c r="AI15" s="86">
        <f t="shared" si="6"/>
        <v>789.78800000000001</v>
      </c>
      <c r="AJ15" s="86" t="str">
        <f t="shared" si="3"/>
        <v>NAOI</v>
      </c>
      <c r="AK15" s="93">
        <f>IF(AND(AJ15="NAOI",AJ14="NAOI"),AK14,AD15)</f>
        <v>787.25900000000001</v>
      </c>
      <c r="AL15" s="86" t="str">
        <f t="shared" si="7"/>
        <v/>
      </c>
      <c r="AM15" s="93" t="str">
        <f t="shared" si="8"/>
        <v/>
      </c>
      <c r="AN15" s="86" t="str">
        <f t="shared" si="9"/>
        <v/>
      </c>
      <c r="AO15" s="86" t="str">
        <f t="shared" si="10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16</v>
      </c>
      <c r="B16" s="95">
        <f t="shared" si="1"/>
        <v>786.15899999999999</v>
      </c>
      <c r="C16" s="96" t="str">
        <f t="shared" si="5"/>
        <v/>
      </c>
      <c r="D16" s="184"/>
      <c r="E16" s="117">
        <v>0.75</v>
      </c>
      <c r="X16" s="107"/>
      <c r="Y16" s="108"/>
      <c r="Z16" s="109"/>
      <c r="AA16" s="110">
        <v>1.1000000000000001</v>
      </c>
      <c r="AB16" s="111"/>
      <c r="AC16" s="112" t="str">
        <f t="shared" si="11"/>
        <v/>
      </c>
      <c r="AD16" s="113">
        <f t="shared" si="13"/>
        <v>786.15899999999999</v>
      </c>
      <c r="AE16" s="114">
        <v>1</v>
      </c>
      <c r="AF16" s="113">
        <f t="shared" si="12"/>
        <v>16</v>
      </c>
      <c r="AG16" s="118"/>
      <c r="AH16" s="86">
        <f t="shared" si="2"/>
        <v>787.25900000000001</v>
      </c>
      <c r="AI16" s="86">
        <f t="shared" si="6"/>
        <v>789.78800000000001</v>
      </c>
      <c r="AJ16" s="86" t="str">
        <f t="shared" si="3"/>
        <v>NAOI</v>
      </c>
      <c r="AK16" s="93">
        <f>IF(AND(AJ16="NAOI",AJ15="NAOI"),AK15,AD16)</f>
        <v>787.25900000000001</v>
      </c>
      <c r="AL16" s="86" t="str">
        <f t="shared" si="7"/>
        <v/>
      </c>
      <c r="AM16" s="93" t="str">
        <f t="shared" si="8"/>
        <v/>
      </c>
      <c r="AN16" s="86" t="str">
        <f t="shared" si="9"/>
        <v/>
      </c>
      <c r="AO16" s="86" t="str">
        <f t="shared" si="10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16.8</v>
      </c>
      <c r="B17" s="95">
        <f t="shared" si="1"/>
        <v>786.04899999999998</v>
      </c>
      <c r="C17" s="96" t="str">
        <f t="shared" si="5"/>
        <v/>
      </c>
      <c r="D17" s="184"/>
      <c r="E17" s="117">
        <v>0.7</v>
      </c>
      <c r="X17" s="107"/>
      <c r="Y17" s="108"/>
      <c r="Z17" s="109"/>
      <c r="AA17" s="110">
        <v>1.21</v>
      </c>
      <c r="AB17" s="111"/>
      <c r="AC17" s="112" t="str">
        <f t="shared" si="11"/>
        <v/>
      </c>
      <c r="AD17" s="113">
        <f t="shared" si="13"/>
        <v>786.04899999999998</v>
      </c>
      <c r="AE17" s="114">
        <v>0.8</v>
      </c>
      <c r="AF17" s="113">
        <f t="shared" si="12"/>
        <v>16.8</v>
      </c>
      <c r="AG17" s="118"/>
      <c r="AH17" s="86">
        <f t="shared" si="2"/>
        <v>787.25900000000001</v>
      </c>
      <c r="AI17" s="86">
        <f t="shared" si="6"/>
        <v>789.78800000000001</v>
      </c>
      <c r="AJ17" s="86" t="str">
        <f t="shared" si="3"/>
        <v>NAOI</v>
      </c>
      <c r="AK17" s="93">
        <f t="shared" ref="AK17:AK46" si="15">IF(AND(AJ17="NAOI",AJ16="NAOI"),AK16,AD17)</f>
        <v>787.25900000000001</v>
      </c>
      <c r="AL17" s="86" t="str">
        <f t="shared" si="7"/>
        <v/>
      </c>
      <c r="AM17" s="93" t="str">
        <f t="shared" si="8"/>
        <v/>
      </c>
      <c r="AN17" s="86" t="str">
        <f t="shared" si="9"/>
        <v/>
      </c>
      <c r="AO17" s="86" t="str">
        <f t="shared" si="10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17.5</v>
      </c>
      <c r="B18" s="95">
        <f t="shared" si="1"/>
        <v>785.85900000000004</v>
      </c>
      <c r="C18" s="96" t="str">
        <f t="shared" si="5"/>
        <v/>
      </c>
      <c r="D18" s="184"/>
      <c r="E18" s="117">
        <v>0.65</v>
      </c>
      <c r="X18" s="107"/>
      <c r="Y18" s="108"/>
      <c r="Z18" s="109"/>
      <c r="AA18" s="110">
        <v>1.4</v>
      </c>
      <c r="AB18" s="111"/>
      <c r="AC18" s="112" t="str">
        <f t="shared" si="11"/>
        <v/>
      </c>
      <c r="AD18" s="113">
        <f t="shared" si="13"/>
        <v>785.85900000000004</v>
      </c>
      <c r="AE18" s="114">
        <v>0.7</v>
      </c>
      <c r="AF18" s="113">
        <f t="shared" si="12"/>
        <v>17.5</v>
      </c>
      <c r="AG18" s="118"/>
      <c r="AH18" s="86">
        <f t="shared" si="2"/>
        <v>787.25900000000001</v>
      </c>
      <c r="AI18" s="86">
        <f t="shared" si="6"/>
        <v>789.78800000000001</v>
      </c>
      <c r="AJ18" s="86" t="str">
        <f t="shared" si="3"/>
        <v>NAOI</v>
      </c>
      <c r="AK18" s="93">
        <f t="shared" si="15"/>
        <v>787.25900000000001</v>
      </c>
      <c r="AL18" s="86" t="str">
        <f t="shared" si="7"/>
        <v/>
      </c>
      <c r="AM18" s="93" t="str">
        <f t="shared" si="8"/>
        <v/>
      </c>
      <c r="AN18" s="86" t="str">
        <f t="shared" si="9"/>
        <v/>
      </c>
      <c r="AO18" s="86" t="str">
        <f t="shared" si="10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18</v>
      </c>
      <c r="B19" s="95">
        <f t="shared" si="1"/>
        <v>785.649</v>
      </c>
      <c r="C19" s="96" t="str">
        <f t="shared" si="5"/>
        <v/>
      </c>
      <c r="D19" s="184"/>
      <c r="E19" s="117">
        <v>0.85</v>
      </c>
      <c r="X19" s="107"/>
      <c r="Y19" s="108"/>
      <c r="Z19" s="109"/>
      <c r="AA19" s="110">
        <v>1.61</v>
      </c>
      <c r="AB19" s="111"/>
      <c r="AC19" s="112" t="str">
        <f t="shared" si="11"/>
        <v/>
      </c>
      <c r="AD19" s="113">
        <f t="shared" si="13"/>
        <v>785.649</v>
      </c>
      <c r="AE19" s="114">
        <v>0.5</v>
      </c>
      <c r="AF19" s="113">
        <f t="shared" si="12"/>
        <v>18</v>
      </c>
      <c r="AG19" s="118"/>
      <c r="AH19" s="86">
        <f t="shared" si="2"/>
        <v>787.25900000000001</v>
      </c>
      <c r="AI19" s="86">
        <f t="shared" si="6"/>
        <v>789.78800000000001</v>
      </c>
      <c r="AJ19" s="86" t="str">
        <f t="shared" si="3"/>
        <v>NAOI</v>
      </c>
      <c r="AK19" s="93">
        <f t="shared" si="15"/>
        <v>787.25900000000001</v>
      </c>
      <c r="AL19" s="86" t="str">
        <f t="shared" si="7"/>
        <v/>
      </c>
      <c r="AM19" s="93" t="str">
        <f t="shared" si="8"/>
        <v/>
      </c>
      <c r="AN19" s="86" t="str">
        <f t="shared" si="9"/>
        <v/>
      </c>
      <c r="AO19" s="86" t="str">
        <f t="shared" si="10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18.5</v>
      </c>
      <c r="B20" s="95">
        <f t="shared" si="1"/>
        <v>785.68899999999996</v>
      </c>
      <c r="C20" s="96" t="str">
        <f t="shared" si="5"/>
        <v/>
      </c>
      <c r="D20" s="184"/>
      <c r="E20" s="117">
        <v>1.3</v>
      </c>
      <c r="X20" s="107"/>
      <c r="Y20" s="108"/>
      <c r="Z20" s="109"/>
      <c r="AA20" s="110">
        <v>1.57</v>
      </c>
      <c r="AB20" s="111"/>
      <c r="AC20" s="112" t="str">
        <f t="shared" si="11"/>
        <v/>
      </c>
      <c r="AD20" s="113">
        <f t="shared" si="13"/>
        <v>785.68899999999996</v>
      </c>
      <c r="AE20" s="114">
        <v>0.5</v>
      </c>
      <c r="AF20" s="113">
        <f t="shared" si="12"/>
        <v>18.5</v>
      </c>
      <c r="AG20" s="118"/>
      <c r="AH20" s="86">
        <f t="shared" si="2"/>
        <v>787.25900000000001</v>
      </c>
      <c r="AI20" s="86">
        <f t="shared" si="6"/>
        <v>789.78800000000001</v>
      </c>
      <c r="AJ20" s="86" t="str">
        <f t="shared" si="3"/>
        <v>NAOI</v>
      </c>
      <c r="AK20" s="93">
        <f t="shared" si="15"/>
        <v>787.25900000000001</v>
      </c>
      <c r="AL20" s="86" t="str">
        <f t="shared" si="7"/>
        <v/>
      </c>
      <c r="AM20" s="93" t="str">
        <f t="shared" si="8"/>
        <v/>
      </c>
      <c r="AN20" s="86" t="str">
        <f t="shared" si="9"/>
        <v/>
      </c>
      <c r="AO20" s="86" t="str">
        <f t="shared" si="10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19</v>
      </c>
      <c r="B21" s="95">
        <f t="shared" si="1"/>
        <v>785.61900000000003</v>
      </c>
      <c r="C21" s="96" t="str">
        <f t="shared" si="5"/>
        <v/>
      </c>
      <c r="D21" s="184"/>
      <c r="E21" s="117">
        <v>1.55</v>
      </c>
      <c r="X21" s="107"/>
      <c r="Y21" s="108"/>
      <c r="Z21" s="109"/>
      <c r="AA21" s="110">
        <v>1.64</v>
      </c>
      <c r="AB21" s="111"/>
      <c r="AC21" s="112" t="str">
        <f t="shared" si="11"/>
        <v/>
      </c>
      <c r="AD21" s="113">
        <f t="shared" si="13"/>
        <v>785.61900000000003</v>
      </c>
      <c r="AE21" s="114">
        <v>0.5</v>
      </c>
      <c r="AF21" s="113">
        <f t="shared" si="12"/>
        <v>19</v>
      </c>
      <c r="AG21" s="118"/>
      <c r="AH21" s="86">
        <f t="shared" si="2"/>
        <v>787.25900000000001</v>
      </c>
      <c r="AI21" s="86">
        <f t="shared" si="6"/>
        <v>789.78800000000001</v>
      </c>
      <c r="AJ21" s="86" t="str">
        <f t="shared" si="3"/>
        <v>NAOI</v>
      </c>
      <c r="AK21" s="93">
        <f t="shared" si="15"/>
        <v>787.25900000000001</v>
      </c>
      <c r="AL21" s="86" t="str">
        <f t="shared" si="7"/>
        <v/>
      </c>
      <c r="AM21" s="93" t="str">
        <f t="shared" si="8"/>
        <v/>
      </c>
      <c r="AN21" s="86" t="str">
        <f t="shared" si="9"/>
        <v/>
      </c>
      <c r="AO21" s="86" t="str">
        <f t="shared" si="10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19.5</v>
      </c>
      <c r="B22" s="95">
        <f t="shared" si="1"/>
        <v>785.59900000000005</v>
      </c>
      <c r="C22" s="96" t="str">
        <f t="shared" si="5"/>
        <v/>
      </c>
      <c r="D22" s="184"/>
      <c r="E22" s="117">
        <v>1.8</v>
      </c>
      <c r="X22" s="107"/>
      <c r="Y22" s="108"/>
      <c r="Z22" s="109"/>
      <c r="AA22" s="110">
        <v>1.66</v>
      </c>
      <c r="AB22" s="111"/>
      <c r="AC22" s="112" t="str">
        <f t="shared" si="11"/>
        <v/>
      </c>
      <c r="AD22" s="113">
        <f t="shared" si="13"/>
        <v>785.59900000000005</v>
      </c>
      <c r="AE22" s="114">
        <v>0.5</v>
      </c>
      <c r="AF22" s="113">
        <f t="shared" si="12"/>
        <v>19.5</v>
      </c>
      <c r="AG22" s="118"/>
      <c r="AH22" s="86">
        <f t="shared" si="2"/>
        <v>787.25900000000001</v>
      </c>
      <c r="AI22" s="86">
        <f t="shared" si="6"/>
        <v>789.78800000000001</v>
      </c>
      <c r="AJ22" s="86" t="str">
        <f t="shared" si="3"/>
        <v>NAOI</v>
      </c>
      <c r="AK22" s="93">
        <f t="shared" si="15"/>
        <v>787.25900000000001</v>
      </c>
      <c r="AL22" s="86" t="str">
        <f t="shared" si="7"/>
        <v/>
      </c>
      <c r="AM22" s="93" t="str">
        <f t="shared" si="8"/>
        <v/>
      </c>
      <c r="AN22" s="86" t="str">
        <f t="shared" si="9"/>
        <v/>
      </c>
      <c r="AO22" s="86" t="str">
        <f t="shared" si="10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20</v>
      </c>
      <c r="B23" s="95">
        <f t="shared" si="1"/>
        <v>785.48900000000003</v>
      </c>
      <c r="C23" s="96" t="str">
        <f t="shared" si="5"/>
        <v/>
      </c>
      <c r="D23" s="184"/>
      <c r="E23" s="117">
        <v>1.93</v>
      </c>
      <c r="X23" s="107"/>
      <c r="Y23" s="108"/>
      <c r="Z23" s="109"/>
      <c r="AA23" s="110">
        <v>1.77</v>
      </c>
      <c r="AB23" s="111"/>
      <c r="AC23" s="112" t="str">
        <f t="shared" si="11"/>
        <v/>
      </c>
      <c r="AD23" s="113">
        <f t="shared" si="13"/>
        <v>785.48900000000003</v>
      </c>
      <c r="AE23" s="114">
        <v>0.5</v>
      </c>
      <c r="AF23" s="113">
        <f t="shared" si="12"/>
        <v>20</v>
      </c>
      <c r="AG23" s="118"/>
      <c r="AH23" s="86">
        <f t="shared" si="2"/>
        <v>787.25900000000001</v>
      </c>
      <c r="AI23" s="86">
        <f t="shared" si="6"/>
        <v>789.78800000000001</v>
      </c>
      <c r="AJ23" s="86" t="str">
        <f t="shared" si="3"/>
        <v>NAOI</v>
      </c>
      <c r="AK23" s="93">
        <f t="shared" si="15"/>
        <v>787.25900000000001</v>
      </c>
      <c r="AL23" s="86" t="str">
        <f t="shared" si="7"/>
        <v/>
      </c>
      <c r="AM23" s="93" t="str">
        <f t="shared" si="8"/>
        <v/>
      </c>
      <c r="AN23" s="86" t="str">
        <f t="shared" si="9"/>
        <v/>
      </c>
      <c r="AO23" s="86" t="str">
        <f t="shared" si="10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20.5</v>
      </c>
      <c r="B24" s="95">
        <f t="shared" si="1"/>
        <v>785.48900000000003</v>
      </c>
      <c r="C24" s="96" t="str">
        <f t="shared" si="5"/>
        <v/>
      </c>
      <c r="D24" s="184"/>
      <c r="E24" s="117">
        <v>1.75</v>
      </c>
      <c r="X24" s="107"/>
      <c r="Y24" s="108"/>
      <c r="Z24" s="109"/>
      <c r="AA24" s="110">
        <v>1.77</v>
      </c>
      <c r="AB24" s="111"/>
      <c r="AC24" s="112" t="str">
        <f t="shared" si="11"/>
        <v/>
      </c>
      <c r="AD24" s="113">
        <f t="shared" si="13"/>
        <v>785.48900000000003</v>
      </c>
      <c r="AE24" s="114">
        <v>0.5</v>
      </c>
      <c r="AF24" s="113">
        <f t="shared" si="12"/>
        <v>20.5</v>
      </c>
      <c r="AG24" s="118"/>
      <c r="AH24" s="86">
        <f t="shared" si="2"/>
        <v>787.25900000000001</v>
      </c>
      <c r="AI24" s="86">
        <f t="shared" si="6"/>
        <v>789.78800000000001</v>
      </c>
      <c r="AJ24" s="86" t="str">
        <f t="shared" si="3"/>
        <v>NAOI</v>
      </c>
      <c r="AK24" s="93">
        <f t="shared" si="15"/>
        <v>787.25900000000001</v>
      </c>
      <c r="AL24" s="86" t="str">
        <f t="shared" si="7"/>
        <v/>
      </c>
      <c r="AM24" s="93" t="str">
        <f t="shared" si="8"/>
        <v/>
      </c>
      <c r="AN24" s="86" t="str">
        <f t="shared" si="9"/>
        <v/>
      </c>
      <c r="AO24" s="86" t="str">
        <f t="shared" si="10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21</v>
      </c>
      <c r="B25" s="95">
        <f t="shared" si="1"/>
        <v>785.49900000000002</v>
      </c>
      <c r="C25" s="96" t="str">
        <f t="shared" si="5"/>
        <v/>
      </c>
      <c r="D25" s="184"/>
      <c r="E25" s="117">
        <v>1.77</v>
      </c>
      <c r="X25" s="107"/>
      <c r="Y25" s="108"/>
      <c r="Z25" s="109"/>
      <c r="AA25" s="110">
        <v>1.76</v>
      </c>
      <c r="AB25" s="111"/>
      <c r="AC25" s="112" t="str">
        <f t="shared" si="11"/>
        <v/>
      </c>
      <c r="AD25" s="113">
        <f t="shared" si="13"/>
        <v>785.49900000000002</v>
      </c>
      <c r="AE25" s="114">
        <v>0.5</v>
      </c>
      <c r="AF25" s="113">
        <f t="shared" si="12"/>
        <v>21</v>
      </c>
      <c r="AG25" s="118"/>
      <c r="AH25" s="86">
        <f t="shared" si="2"/>
        <v>787.25900000000001</v>
      </c>
      <c r="AI25" s="86">
        <f t="shared" si="6"/>
        <v>789.78800000000001</v>
      </c>
      <c r="AJ25" s="86" t="str">
        <f t="shared" si="3"/>
        <v>NAOI</v>
      </c>
      <c r="AK25" s="93">
        <f t="shared" si="15"/>
        <v>787.25900000000001</v>
      </c>
      <c r="AL25" s="86" t="str">
        <f t="shared" si="7"/>
        <v/>
      </c>
      <c r="AM25" s="93" t="str">
        <f t="shared" si="8"/>
        <v/>
      </c>
      <c r="AN25" s="86" t="str">
        <f t="shared" si="9"/>
        <v/>
      </c>
      <c r="AO25" s="86" t="str">
        <f t="shared" si="10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21.5</v>
      </c>
      <c r="B26" s="95">
        <f t="shared" si="1"/>
        <v>785.37900000000002</v>
      </c>
      <c r="C26" s="96" t="str">
        <f t="shared" si="5"/>
        <v/>
      </c>
      <c r="D26" s="184"/>
      <c r="E26" s="117">
        <v>1.7</v>
      </c>
      <c r="X26" s="107"/>
      <c r="Y26" s="108"/>
      <c r="Z26" s="109"/>
      <c r="AA26" s="110">
        <v>1.88</v>
      </c>
      <c r="AB26" s="111"/>
      <c r="AC26" s="112" t="str">
        <f t="shared" si="11"/>
        <v/>
      </c>
      <c r="AD26" s="113">
        <f t="shared" si="13"/>
        <v>785.37900000000002</v>
      </c>
      <c r="AE26" s="114">
        <v>0.5</v>
      </c>
      <c r="AF26" s="113">
        <f t="shared" si="12"/>
        <v>21.5</v>
      </c>
      <c r="AG26" s="115"/>
      <c r="AH26" s="86">
        <f t="shared" si="2"/>
        <v>787.25900000000001</v>
      </c>
      <c r="AI26" s="86">
        <f t="shared" si="6"/>
        <v>789.78800000000001</v>
      </c>
      <c r="AJ26" s="86" t="str">
        <f t="shared" si="3"/>
        <v>NAOI</v>
      </c>
      <c r="AK26" s="93">
        <f t="shared" si="15"/>
        <v>787.25900000000001</v>
      </c>
      <c r="AL26" s="86" t="str">
        <f t="shared" si="7"/>
        <v/>
      </c>
      <c r="AM26" s="93" t="str">
        <f t="shared" si="8"/>
        <v/>
      </c>
      <c r="AN26" s="86" t="str">
        <f t="shared" si="9"/>
        <v/>
      </c>
      <c r="AO26" s="86" t="str">
        <f t="shared" si="10"/>
        <v/>
      </c>
      <c r="AP26" s="86">
        <f t="shared" si="14"/>
        <v>0</v>
      </c>
    </row>
    <row r="27" spans="1:42" ht="15.75" x14ac:dyDescent="0.25">
      <c r="A27" s="94">
        <f t="shared" si="0"/>
        <v>22</v>
      </c>
      <c r="B27" s="95">
        <f t="shared" si="1"/>
        <v>785.69900000000007</v>
      </c>
      <c r="C27" s="96" t="str">
        <f t="shared" si="5"/>
        <v/>
      </c>
      <c r="D27" s="184"/>
      <c r="E27" s="117">
        <v>1.7</v>
      </c>
      <c r="X27" s="107"/>
      <c r="Y27" s="108"/>
      <c r="Z27" s="109"/>
      <c r="AA27" s="110">
        <v>1.56</v>
      </c>
      <c r="AB27" s="111"/>
      <c r="AC27" s="112" t="str">
        <f t="shared" si="11"/>
        <v/>
      </c>
      <c r="AD27" s="113">
        <f t="shared" si="13"/>
        <v>785.69900000000007</v>
      </c>
      <c r="AE27" s="114">
        <v>0.5</v>
      </c>
      <c r="AF27" s="113">
        <f t="shared" si="12"/>
        <v>22</v>
      </c>
      <c r="AG27" s="115"/>
      <c r="AH27" s="86">
        <f t="shared" si="2"/>
        <v>787.25900000000001</v>
      </c>
      <c r="AI27" s="86">
        <f t="shared" si="6"/>
        <v>789.78800000000001</v>
      </c>
      <c r="AJ27" s="86" t="str">
        <f t="shared" si="3"/>
        <v>NAOI</v>
      </c>
      <c r="AK27" s="93">
        <f t="shared" si="15"/>
        <v>787.25900000000001</v>
      </c>
      <c r="AL27" s="86" t="str">
        <f t="shared" si="7"/>
        <v/>
      </c>
      <c r="AM27" s="93" t="str">
        <f t="shared" si="8"/>
        <v/>
      </c>
      <c r="AN27" s="86" t="str">
        <f t="shared" si="9"/>
        <v/>
      </c>
      <c r="AO27" s="86" t="str">
        <f t="shared" si="10"/>
        <v/>
      </c>
      <c r="AP27" s="86">
        <f t="shared" si="14"/>
        <v>0</v>
      </c>
    </row>
    <row r="28" spans="1:42" ht="15.75" x14ac:dyDescent="0.25">
      <c r="A28" s="94">
        <f t="shared" si="0"/>
        <v>22.5</v>
      </c>
      <c r="B28" s="95">
        <f t="shared" si="1"/>
        <v>785.26900000000001</v>
      </c>
      <c r="C28" s="96" t="str">
        <f t="shared" si="5"/>
        <v/>
      </c>
      <c r="D28" s="184"/>
      <c r="E28" s="117">
        <v>1.35</v>
      </c>
      <c r="X28" s="107"/>
      <c r="Y28" s="108"/>
      <c r="Z28" s="109"/>
      <c r="AA28" s="110">
        <v>1.99</v>
      </c>
      <c r="AB28" s="111"/>
      <c r="AC28" s="112" t="str">
        <f t="shared" si="11"/>
        <v/>
      </c>
      <c r="AD28" s="113">
        <f t="shared" si="13"/>
        <v>785.26900000000001</v>
      </c>
      <c r="AE28" s="114">
        <v>0.5</v>
      </c>
      <c r="AF28" s="113">
        <f t="shared" si="12"/>
        <v>22.5</v>
      </c>
      <c r="AG28" s="115"/>
      <c r="AH28" s="86">
        <f t="shared" si="2"/>
        <v>787.25900000000001</v>
      </c>
      <c r="AI28" s="86">
        <f t="shared" si="6"/>
        <v>789.78800000000001</v>
      </c>
      <c r="AJ28" s="86" t="str">
        <f t="shared" si="3"/>
        <v>NAOI</v>
      </c>
      <c r="AK28" s="93">
        <f t="shared" si="15"/>
        <v>787.25900000000001</v>
      </c>
      <c r="AL28" s="86" t="str">
        <f t="shared" si="7"/>
        <v/>
      </c>
      <c r="AM28" s="93" t="str">
        <f t="shared" si="8"/>
        <v/>
      </c>
      <c r="AN28" s="86" t="str">
        <f t="shared" si="9"/>
        <v/>
      </c>
      <c r="AO28" s="86" t="str">
        <f t="shared" si="10"/>
        <v/>
      </c>
      <c r="AP28" s="86">
        <f t="shared" si="14"/>
        <v>0</v>
      </c>
    </row>
    <row r="29" spans="1:42" ht="15.75" x14ac:dyDescent="0.25">
      <c r="A29" s="94">
        <f t="shared" si="0"/>
        <v>23</v>
      </c>
      <c r="B29" s="95">
        <f t="shared" si="1"/>
        <v>785.16899999999998</v>
      </c>
      <c r="C29" s="96" t="str">
        <f t="shared" si="5"/>
        <v/>
      </c>
      <c r="D29" s="184"/>
      <c r="E29" s="117">
        <v>1.2</v>
      </c>
      <c r="X29" s="107"/>
      <c r="Y29" s="108"/>
      <c r="Z29" s="109"/>
      <c r="AA29" s="110">
        <v>2.09</v>
      </c>
      <c r="AB29" s="111"/>
      <c r="AC29" s="112" t="str">
        <f t="shared" si="11"/>
        <v/>
      </c>
      <c r="AD29" s="113">
        <f t="shared" si="13"/>
        <v>785.16899999999998</v>
      </c>
      <c r="AE29" s="114">
        <v>0.5</v>
      </c>
      <c r="AF29" s="113">
        <f t="shared" si="12"/>
        <v>23</v>
      </c>
      <c r="AG29" s="116"/>
      <c r="AH29" s="86">
        <f t="shared" si="2"/>
        <v>787.25900000000001</v>
      </c>
      <c r="AI29" s="86">
        <f t="shared" si="6"/>
        <v>789.78800000000001</v>
      </c>
      <c r="AJ29" s="86" t="str">
        <f t="shared" si="3"/>
        <v>NAOI</v>
      </c>
      <c r="AK29" s="93">
        <f t="shared" si="15"/>
        <v>787.25900000000001</v>
      </c>
      <c r="AL29" s="86" t="str">
        <f t="shared" si="7"/>
        <v/>
      </c>
      <c r="AM29" s="93" t="str">
        <f t="shared" si="8"/>
        <v/>
      </c>
      <c r="AN29" s="86" t="str">
        <f t="shared" si="9"/>
        <v/>
      </c>
      <c r="AO29" s="86" t="str">
        <f t="shared" si="10"/>
        <v/>
      </c>
      <c r="AP29" s="86">
        <f t="shared" si="14"/>
        <v>0</v>
      </c>
    </row>
    <row r="30" spans="1:42" ht="15.75" x14ac:dyDescent="0.25">
      <c r="A30" s="94">
        <f t="shared" si="0"/>
        <v>23.5</v>
      </c>
      <c r="B30" s="95">
        <f t="shared" si="1"/>
        <v>785.22900000000004</v>
      </c>
      <c r="C30" s="96" t="str">
        <f t="shared" si="5"/>
        <v/>
      </c>
      <c r="D30" s="184"/>
      <c r="E30" s="117">
        <v>0.8</v>
      </c>
      <c r="X30" s="107"/>
      <c r="Y30" s="108"/>
      <c r="Z30" s="109"/>
      <c r="AA30" s="110">
        <v>2.0299999999999998</v>
      </c>
      <c r="AB30" s="111"/>
      <c r="AC30" s="112" t="str">
        <f t="shared" si="11"/>
        <v/>
      </c>
      <c r="AD30" s="113">
        <f t="shared" si="13"/>
        <v>785.22900000000004</v>
      </c>
      <c r="AE30" s="114">
        <v>0.5</v>
      </c>
      <c r="AF30" s="113">
        <f t="shared" si="12"/>
        <v>23.5</v>
      </c>
      <c r="AG30" s="115"/>
      <c r="AH30" s="86">
        <f t="shared" si="2"/>
        <v>787.25900000000001</v>
      </c>
      <c r="AI30" s="86">
        <f t="shared" si="6"/>
        <v>789.78800000000001</v>
      </c>
      <c r="AJ30" s="86" t="str">
        <f t="shared" si="3"/>
        <v>NAOI</v>
      </c>
      <c r="AK30" s="93">
        <f t="shared" si="15"/>
        <v>787.25900000000001</v>
      </c>
      <c r="AL30" s="86" t="str">
        <f t="shared" si="7"/>
        <v/>
      </c>
      <c r="AM30" s="93" t="str">
        <f t="shared" si="8"/>
        <v/>
      </c>
      <c r="AN30" s="86" t="str">
        <f t="shared" si="9"/>
        <v/>
      </c>
      <c r="AO30" s="86" t="str">
        <f t="shared" si="10"/>
        <v/>
      </c>
      <c r="AP30" s="86">
        <f t="shared" si="14"/>
        <v>0</v>
      </c>
    </row>
    <row r="31" spans="1:42" ht="15.75" x14ac:dyDescent="0.25">
      <c r="A31" s="94">
        <f t="shared" si="0"/>
        <v>24</v>
      </c>
      <c r="B31" s="95">
        <f t="shared" si="1"/>
        <v>784.75900000000001</v>
      </c>
      <c r="C31" s="96" t="str">
        <f t="shared" si="5"/>
        <v/>
      </c>
      <c r="D31" s="184"/>
      <c r="E31" s="117">
        <v>0.55000000000000004</v>
      </c>
      <c r="X31" s="107"/>
      <c r="Y31" s="108"/>
      <c r="Z31" s="109"/>
      <c r="AA31" s="110">
        <v>2.5</v>
      </c>
      <c r="AB31" s="111"/>
      <c r="AC31" s="112" t="str">
        <f t="shared" si="11"/>
        <v/>
      </c>
      <c r="AD31" s="113">
        <f t="shared" si="13"/>
        <v>784.75900000000001</v>
      </c>
      <c r="AE31" s="114">
        <v>0.5</v>
      </c>
      <c r="AF31" s="113">
        <f t="shared" si="12"/>
        <v>24</v>
      </c>
      <c r="AG31" s="118"/>
      <c r="AH31" s="86">
        <f t="shared" si="2"/>
        <v>787.25900000000001</v>
      </c>
      <c r="AI31" s="86">
        <f t="shared" si="6"/>
        <v>789.78800000000001</v>
      </c>
      <c r="AJ31" s="86" t="str">
        <f t="shared" si="3"/>
        <v>NAOI</v>
      </c>
      <c r="AK31" s="93">
        <f t="shared" si="15"/>
        <v>787.25900000000001</v>
      </c>
      <c r="AL31" s="86" t="str">
        <f t="shared" si="7"/>
        <v/>
      </c>
      <c r="AM31" s="93" t="str">
        <f t="shared" si="8"/>
        <v/>
      </c>
      <c r="AN31" s="86" t="str">
        <f t="shared" si="9"/>
        <v/>
      </c>
      <c r="AO31" s="86" t="str">
        <f t="shared" si="10"/>
        <v/>
      </c>
      <c r="AP31" s="86">
        <f t="shared" si="14"/>
        <v>0</v>
      </c>
    </row>
    <row r="32" spans="1:42" ht="15.75" x14ac:dyDescent="0.25">
      <c r="A32" s="94">
        <f t="shared" si="0"/>
        <v>24.5</v>
      </c>
      <c r="B32" s="95">
        <f t="shared" si="1"/>
        <v>785.12900000000002</v>
      </c>
      <c r="C32" s="96" t="str">
        <f t="shared" si="5"/>
        <v/>
      </c>
      <c r="D32" s="184"/>
      <c r="E32" s="117">
        <v>0.35</v>
      </c>
      <c r="X32" s="107"/>
      <c r="Y32" s="108"/>
      <c r="Z32" s="109"/>
      <c r="AA32" s="110">
        <v>2.13</v>
      </c>
      <c r="AB32" s="111"/>
      <c r="AC32" s="112" t="str">
        <f t="shared" si="11"/>
        <v/>
      </c>
      <c r="AD32" s="113">
        <f t="shared" si="13"/>
        <v>785.12900000000002</v>
      </c>
      <c r="AE32" s="114">
        <v>0.5</v>
      </c>
      <c r="AF32" s="113">
        <f t="shared" si="12"/>
        <v>24.5</v>
      </c>
      <c r="AG32" s="115"/>
      <c r="AH32" s="86">
        <f t="shared" si="2"/>
        <v>787.25900000000001</v>
      </c>
      <c r="AI32" s="86">
        <f t="shared" si="6"/>
        <v>789.78800000000001</v>
      </c>
      <c r="AJ32" s="86" t="str">
        <f t="shared" si="3"/>
        <v>NAOI</v>
      </c>
      <c r="AK32" s="93">
        <f t="shared" si="15"/>
        <v>787.25900000000001</v>
      </c>
      <c r="AL32" s="86" t="str">
        <f t="shared" si="7"/>
        <v/>
      </c>
      <c r="AM32" s="93" t="str">
        <f t="shared" si="8"/>
        <v/>
      </c>
      <c r="AN32" s="86" t="str">
        <f t="shared" si="9"/>
        <v/>
      </c>
      <c r="AO32" s="86" t="str">
        <f t="shared" si="10"/>
        <v/>
      </c>
      <c r="AP32" s="86">
        <f t="shared" si="14"/>
        <v>0</v>
      </c>
    </row>
    <row r="33" spans="1:42" ht="15.75" x14ac:dyDescent="0.25">
      <c r="A33" s="94">
        <f t="shared" si="0"/>
        <v>25</v>
      </c>
      <c r="B33" s="95">
        <f t="shared" si="1"/>
        <v>784.72900000000004</v>
      </c>
      <c r="C33" s="96" t="str">
        <f t="shared" si="5"/>
        <v/>
      </c>
      <c r="D33" s="184"/>
      <c r="X33" s="107"/>
      <c r="Y33" s="108"/>
      <c r="Z33" s="109"/>
      <c r="AA33" s="110">
        <v>2.5299999999999998</v>
      </c>
      <c r="AB33" s="111"/>
      <c r="AC33" s="112" t="str">
        <f t="shared" si="11"/>
        <v/>
      </c>
      <c r="AD33" s="113">
        <f t="shared" si="13"/>
        <v>784.72900000000004</v>
      </c>
      <c r="AE33" s="114">
        <v>0.5</v>
      </c>
      <c r="AF33" s="113">
        <f t="shared" si="12"/>
        <v>25</v>
      </c>
      <c r="AG33" s="115"/>
      <c r="AH33" s="86">
        <f t="shared" si="2"/>
        <v>787.25900000000001</v>
      </c>
      <c r="AI33" s="86">
        <f t="shared" si="6"/>
        <v>789.78800000000001</v>
      </c>
      <c r="AJ33" s="86" t="str">
        <f t="shared" si="3"/>
        <v>NAOI</v>
      </c>
      <c r="AK33" s="93">
        <f t="shared" si="15"/>
        <v>787.25900000000001</v>
      </c>
      <c r="AL33" s="86" t="str">
        <f t="shared" si="7"/>
        <v/>
      </c>
      <c r="AM33" s="93" t="str">
        <f t="shared" si="8"/>
        <v/>
      </c>
      <c r="AN33" s="86" t="str">
        <f t="shared" si="9"/>
        <v/>
      </c>
      <c r="AO33" s="86" t="str">
        <f t="shared" si="10"/>
        <v/>
      </c>
      <c r="AP33" s="86">
        <f t="shared" si="14"/>
        <v>0</v>
      </c>
    </row>
    <row r="34" spans="1:42" ht="15.75" x14ac:dyDescent="0.25">
      <c r="A34" s="94">
        <f t="shared" si="0"/>
        <v>25.5</v>
      </c>
      <c r="B34" s="95">
        <f t="shared" si="1"/>
        <v>784.69900000000007</v>
      </c>
      <c r="C34" s="96" t="str">
        <f t="shared" si="5"/>
        <v/>
      </c>
      <c r="D34" s="184"/>
      <c r="X34" s="107"/>
      <c r="Y34" s="108"/>
      <c r="Z34" s="109"/>
      <c r="AA34" s="110">
        <v>2.56</v>
      </c>
      <c r="AB34" s="111"/>
      <c r="AC34" s="112" t="str">
        <f t="shared" si="11"/>
        <v/>
      </c>
      <c r="AD34" s="113">
        <f t="shared" si="13"/>
        <v>784.69900000000007</v>
      </c>
      <c r="AE34" s="114">
        <v>0.5</v>
      </c>
      <c r="AF34" s="113">
        <f t="shared" si="12"/>
        <v>25.5</v>
      </c>
      <c r="AG34" s="115"/>
      <c r="AH34" s="86">
        <f t="shared" si="2"/>
        <v>787.25900000000001</v>
      </c>
      <c r="AI34" s="86">
        <f t="shared" si="6"/>
        <v>789.78800000000001</v>
      </c>
      <c r="AJ34" s="86" t="str">
        <f t="shared" si="3"/>
        <v>NAOI</v>
      </c>
      <c r="AK34" s="93">
        <f t="shared" si="15"/>
        <v>787.25900000000001</v>
      </c>
      <c r="AL34" s="86" t="str">
        <f t="shared" si="7"/>
        <v/>
      </c>
      <c r="AM34" s="93" t="str">
        <f t="shared" si="8"/>
        <v/>
      </c>
      <c r="AN34" s="86" t="str">
        <f t="shared" si="9"/>
        <v/>
      </c>
      <c r="AO34" s="86" t="str">
        <f t="shared" si="10"/>
        <v/>
      </c>
      <c r="AP34" s="86">
        <f t="shared" si="14"/>
        <v>0</v>
      </c>
    </row>
    <row r="35" spans="1:42" ht="15.75" x14ac:dyDescent="0.25">
      <c r="A35" s="94">
        <f t="shared" si="0"/>
        <v>26</v>
      </c>
      <c r="B35" s="95">
        <f t="shared" si="1"/>
        <v>784.649</v>
      </c>
      <c r="C35" s="96" t="str">
        <f t="shared" si="5"/>
        <v/>
      </c>
      <c r="D35" s="184"/>
      <c r="X35" s="107"/>
      <c r="Y35" s="108"/>
      <c r="Z35" s="109"/>
      <c r="AA35" s="110">
        <v>2.61</v>
      </c>
      <c r="AB35" s="111"/>
      <c r="AC35" s="112" t="str">
        <f t="shared" si="11"/>
        <v/>
      </c>
      <c r="AD35" s="113">
        <f t="shared" si="13"/>
        <v>784.649</v>
      </c>
      <c r="AE35" s="114">
        <v>0.5</v>
      </c>
      <c r="AF35" s="113">
        <f t="shared" si="12"/>
        <v>26</v>
      </c>
      <c r="AG35" s="115"/>
      <c r="AH35" s="86">
        <f t="shared" si="2"/>
        <v>787.25900000000001</v>
      </c>
      <c r="AI35" s="86">
        <f t="shared" si="6"/>
        <v>789.78800000000001</v>
      </c>
      <c r="AJ35" s="86" t="str">
        <f t="shared" si="3"/>
        <v>NAOI</v>
      </c>
      <c r="AK35" s="93">
        <f t="shared" si="15"/>
        <v>787.25900000000001</v>
      </c>
      <c r="AL35" s="86" t="str">
        <f t="shared" si="7"/>
        <v/>
      </c>
      <c r="AM35" s="93" t="str">
        <f t="shared" si="8"/>
        <v/>
      </c>
      <c r="AN35" s="86" t="str">
        <f t="shared" si="9"/>
        <v/>
      </c>
      <c r="AO35" s="86" t="str">
        <f t="shared" si="10"/>
        <v/>
      </c>
      <c r="AP35" s="86">
        <f t="shared" si="14"/>
        <v>0</v>
      </c>
    </row>
    <row r="36" spans="1:42" ht="15.75" x14ac:dyDescent="0.25">
      <c r="A36" s="94">
        <f t="shared" si="0"/>
        <v>26.5</v>
      </c>
      <c r="B36" s="95">
        <f t="shared" si="1"/>
        <v>784.85900000000004</v>
      </c>
      <c r="C36" s="96" t="str">
        <f t="shared" si="5"/>
        <v/>
      </c>
      <c r="D36" s="184"/>
      <c r="X36" s="107"/>
      <c r="Y36" s="108"/>
      <c r="Z36" s="109"/>
      <c r="AA36" s="110">
        <v>2.4</v>
      </c>
      <c r="AB36" s="111"/>
      <c r="AC36" s="112" t="str">
        <f t="shared" si="11"/>
        <v/>
      </c>
      <c r="AD36" s="113">
        <f t="shared" si="13"/>
        <v>784.85900000000004</v>
      </c>
      <c r="AE36" s="114">
        <v>0.5</v>
      </c>
      <c r="AF36" s="113">
        <f t="shared" si="12"/>
        <v>26.5</v>
      </c>
      <c r="AG36" s="115"/>
      <c r="AH36" s="86">
        <f t="shared" si="2"/>
        <v>787.25900000000001</v>
      </c>
      <c r="AI36" s="86">
        <f t="shared" si="6"/>
        <v>789.78800000000001</v>
      </c>
      <c r="AJ36" s="86" t="str">
        <f t="shared" si="3"/>
        <v>NAOI</v>
      </c>
      <c r="AK36" s="93">
        <f t="shared" si="15"/>
        <v>787.25900000000001</v>
      </c>
      <c r="AL36" s="86" t="str">
        <f t="shared" si="7"/>
        <v/>
      </c>
      <c r="AM36" s="93" t="str">
        <f t="shared" si="8"/>
        <v/>
      </c>
      <c r="AN36" s="86" t="str">
        <f t="shared" si="9"/>
        <v/>
      </c>
      <c r="AO36" s="86" t="str">
        <f t="shared" si="10"/>
        <v/>
      </c>
      <c r="AP36" s="86">
        <f t="shared" si="14"/>
        <v>0</v>
      </c>
    </row>
    <row r="37" spans="1:42" ht="15.75" x14ac:dyDescent="0.25">
      <c r="A37" s="94">
        <f t="shared" si="0"/>
        <v>27</v>
      </c>
      <c r="B37" s="95">
        <f t="shared" si="1"/>
        <v>784.81899999999996</v>
      </c>
      <c r="C37" s="96" t="str">
        <f t="shared" si="5"/>
        <v/>
      </c>
      <c r="D37" s="184"/>
      <c r="X37" s="107"/>
      <c r="Y37" s="108"/>
      <c r="Z37" s="109"/>
      <c r="AA37" s="110">
        <v>2.44</v>
      </c>
      <c r="AB37" s="111"/>
      <c r="AC37" s="112" t="str">
        <f t="shared" si="11"/>
        <v/>
      </c>
      <c r="AD37" s="113">
        <f t="shared" si="13"/>
        <v>784.81899999999996</v>
      </c>
      <c r="AE37" s="114">
        <v>0.5</v>
      </c>
      <c r="AF37" s="113">
        <f t="shared" si="12"/>
        <v>27</v>
      </c>
      <c r="AG37" s="115"/>
      <c r="AH37" s="86">
        <f t="shared" si="2"/>
        <v>789.78800000000001</v>
      </c>
      <c r="AI37" s="86">
        <f t="shared" si="6"/>
        <v>789.78800000000001</v>
      </c>
      <c r="AJ37" s="86" t="str">
        <f t="shared" si="3"/>
        <v>NAOI</v>
      </c>
      <c r="AK37" s="93">
        <f t="shared" si="15"/>
        <v>787.25900000000001</v>
      </c>
      <c r="AL37" s="86" t="str">
        <f t="shared" si="7"/>
        <v/>
      </c>
      <c r="AM37" s="93" t="str">
        <f t="shared" si="8"/>
        <v/>
      </c>
      <c r="AN37" s="86" t="str">
        <f t="shared" si="9"/>
        <v/>
      </c>
      <c r="AO37" s="86" t="str">
        <f t="shared" si="10"/>
        <v/>
      </c>
      <c r="AP37" s="86">
        <f t="shared" si="14"/>
        <v>0</v>
      </c>
    </row>
    <row r="38" spans="1:42" ht="15.75" x14ac:dyDescent="0.25">
      <c r="A38" s="94">
        <f t="shared" si="0"/>
        <v>27</v>
      </c>
      <c r="B38" s="95">
        <f t="shared" si="1"/>
        <v>787.25900000000001</v>
      </c>
      <c r="C38" s="96" t="str">
        <f t="shared" si="5"/>
        <v>NAOD</v>
      </c>
      <c r="D38" s="184"/>
      <c r="X38" s="107"/>
      <c r="Y38" s="108"/>
      <c r="Z38" s="109"/>
      <c r="AA38" s="110">
        <v>2.5289999999999999</v>
      </c>
      <c r="AB38" s="111"/>
      <c r="AC38" s="112" t="str">
        <f t="shared" si="11"/>
        <v/>
      </c>
      <c r="AD38" s="113">
        <f t="shared" si="13"/>
        <v>787.25900000000001</v>
      </c>
      <c r="AE38" s="114">
        <v>0</v>
      </c>
      <c r="AF38" s="113">
        <f t="shared" si="12"/>
        <v>27</v>
      </c>
      <c r="AG38" s="115" t="s">
        <v>10</v>
      </c>
      <c r="AH38" s="86">
        <f t="shared" si="2"/>
        <v>789.78800000000001</v>
      </c>
      <c r="AI38" s="86">
        <f t="shared" si="6"/>
        <v>789.78800000000001</v>
      </c>
      <c r="AJ38" s="86" t="str">
        <f t="shared" si="3"/>
        <v>NAOD</v>
      </c>
      <c r="AK38" s="93">
        <f t="shared" si="15"/>
        <v>787.25900000000001</v>
      </c>
      <c r="AL38" s="86" t="str">
        <f t="shared" si="7"/>
        <v/>
      </c>
      <c r="AM38" s="93" t="str">
        <f t="shared" si="8"/>
        <v/>
      </c>
      <c r="AN38" s="86">
        <f t="shared" si="9"/>
        <v>787.25900000000001</v>
      </c>
      <c r="AO38" s="86">
        <f t="shared" si="10"/>
        <v>27</v>
      </c>
      <c r="AP38" s="86">
        <f t="shared" si="14"/>
        <v>0</v>
      </c>
    </row>
    <row r="39" spans="1:42" ht="15.75" x14ac:dyDescent="0.25">
      <c r="A39" s="94">
        <f t="shared" si="0"/>
        <v>27</v>
      </c>
      <c r="B39" s="95">
        <f t="shared" si="1"/>
        <v>788.75400000000002</v>
      </c>
      <c r="C39" s="96" t="str">
        <f t="shared" si="5"/>
        <v/>
      </c>
      <c r="D39" s="184"/>
      <c r="X39" s="107" t="s">
        <v>48</v>
      </c>
      <c r="Y39" s="108"/>
      <c r="Z39" s="109">
        <v>4.6989999999999998</v>
      </c>
      <c r="AA39" s="110"/>
      <c r="AB39" s="111">
        <v>1.034</v>
      </c>
      <c r="AC39" s="112">
        <f t="shared" si="11"/>
        <v>793.45299999999997</v>
      </c>
      <c r="AD39" s="113">
        <f t="shared" si="13"/>
        <v>788.75400000000002</v>
      </c>
      <c r="AE39" s="114">
        <v>0</v>
      </c>
      <c r="AF39" s="113">
        <f t="shared" si="12"/>
        <v>27</v>
      </c>
      <c r="AG39" s="115"/>
      <c r="AH39" s="86">
        <f t="shared" si="2"/>
        <v>793.45299999999997</v>
      </c>
      <c r="AI39" s="86">
        <f t="shared" si="6"/>
        <v>793.45299999999997</v>
      </c>
      <c r="AJ39" s="86" t="str">
        <f t="shared" si="3"/>
        <v>NAOD</v>
      </c>
      <c r="AK39" s="93">
        <f t="shared" si="15"/>
        <v>788.75400000000002</v>
      </c>
      <c r="AL39" s="86" t="str">
        <f t="shared" si="7"/>
        <v/>
      </c>
      <c r="AM39" s="93" t="str">
        <f t="shared" si="8"/>
        <v/>
      </c>
      <c r="AN39" s="86" t="str">
        <f t="shared" si="9"/>
        <v/>
      </c>
      <c r="AO39" s="86" t="str">
        <f t="shared" si="10"/>
        <v/>
      </c>
      <c r="AP39" s="86">
        <f t="shared" si="14"/>
        <v>0</v>
      </c>
    </row>
    <row r="40" spans="1:42" ht="15.75" x14ac:dyDescent="0.25">
      <c r="A40" s="94">
        <f t="shared" si="0"/>
        <v>27</v>
      </c>
      <c r="B40" s="95">
        <f t="shared" si="1"/>
        <v>789.46799999999996</v>
      </c>
      <c r="C40" s="96" t="str">
        <f t="shared" si="5"/>
        <v/>
      </c>
      <c r="D40" s="184"/>
      <c r="X40" s="107"/>
      <c r="Y40" s="108"/>
      <c r="Z40" s="109"/>
      <c r="AA40" s="110">
        <v>3.9849999999999999</v>
      </c>
      <c r="AB40" s="111"/>
      <c r="AC40" s="112"/>
      <c r="AD40" s="113">
        <f t="shared" si="13"/>
        <v>789.46799999999996</v>
      </c>
      <c r="AE40" s="114">
        <v>0</v>
      </c>
      <c r="AF40" s="113">
        <f t="shared" si="12"/>
        <v>27</v>
      </c>
      <c r="AG40" s="115"/>
      <c r="AH40" s="86">
        <f t="shared" si="2"/>
        <v>793.45299999999997</v>
      </c>
      <c r="AI40" s="86">
        <f t="shared" si="6"/>
        <v>793.45299999999997</v>
      </c>
      <c r="AJ40" s="86" t="str">
        <f t="shared" si="3"/>
        <v>NAOD</v>
      </c>
      <c r="AK40" s="93">
        <f t="shared" si="15"/>
        <v>789.46799999999996</v>
      </c>
      <c r="AL40" s="86" t="str">
        <f t="shared" si="7"/>
        <v/>
      </c>
      <c r="AM40" s="93" t="str">
        <f t="shared" si="8"/>
        <v/>
      </c>
      <c r="AN40" s="86" t="str">
        <f t="shared" si="9"/>
        <v/>
      </c>
      <c r="AO40" s="86" t="str">
        <f t="shared" si="10"/>
        <v/>
      </c>
      <c r="AP40" s="86">
        <f t="shared" si="14"/>
        <v>0</v>
      </c>
    </row>
    <row r="41" spans="1:42" ht="15.75" x14ac:dyDescent="0.25">
      <c r="A41" s="94">
        <f t="shared" si="0"/>
        <v>28</v>
      </c>
      <c r="B41" s="95">
        <f t="shared" si="1"/>
        <v>790.10500000000002</v>
      </c>
      <c r="C41" s="96"/>
      <c r="D41" s="184"/>
      <c r="X41" s="107"/>
      <c r="Y41" s="108"/>
      <c r="Z41" s="109"/>
      <c r="AA41" s="110">
        <v>3.3479999999999999</v>
      </c>
      <c r="AB41" s="111"/>
      <c r="AC41" s="112"/>
      <c r="AD41" s="113">
        <f t="shared" si="13"/>
        <v>790.10500000000002</v>
      </c>
      <c r="AE41" s="114">
        <v>1</v>
      </c>
      <c r="AF41" s="113">
        <f t="shared" si="12"/>
        <v>28</v>
      </c>
      <c r="AG41" s="115"/>
      <c r="AH41" s="86">
        <f t="shared" si="2"/>
        <v>793.45299999999997</v>
      </c>
      <c r="AI41" s="86">
        <f t="shared" si="6"/>
        <v>793.45299999999997</v>
      </c>
      <c r="AJ41" s="86" t="str">
        <f>IF(AG41="",AJ40,AG41)</f>
        <v>NAOD</v>
      </c>
      <c r="AK41" s="93">
        <f t="shared" si="15"/>
        <v>790.10500000000002</v>
      </c>
      <c r="AL41" s="86" t="str">
        <f>IF(AG41="NAOI",AD41,"")</f>
        <v/>
      </c>
      <c r="AM41" s="93" t="str">
        <f>IF(AG41="NAOI",AF41,"")</f>
        <v/>
      </c>
      <c r="AN41" s="86" t="str">
        <f>IF(AG41="NAOD",AD41,"")</f>
        <v/>
      </c>
      <c r="AO41" s="86" t="str">
        <f>IF(AG41="NAOD",AF41,"")</f>
        <v/>
      </c>
      <c r="AP41" s="86">
        <f t="shared" si="14"/>
        <v>0</v>
      </c>
    </row>
    <row r="42" spans="1:42" ht="15.75" x14ac:dyDescent="0.25">
      <c r="A42" s="94">
        <f t="shared" si="0"/>
        <v>30</v>
      </c>
      <c r="B42" s="95">
        <f t="shared" si="1"/>
        <v>791.91700000000003</v>
      </c>
      <c r="C42" s="96" t="str">
        <f>IF(AG42="","",AG42)</f>
        <v/>
      </c>
      <c r="D42" s="184"/>
      <c r="X42" s="107"/>
      <c r="Y42" s="108"/>
      <c r="Z42" s="109"/>
      <c r="AA42" s="110">
        <v>1.536</v>
      </c>
      <c r="AB42" s="111"/>
      <c r="AC42" s="112"/>
      <c r="AD42" s="113">
        <f t="shared" si="13"/>
        <v>791.91700000000003</v>
      </c>
      <c r="AE42" s="114">
        <v>2</v>
      </c>
      <c r="AF42" s="113">
        <f t="shared" si="12"/>
        <v>30</v>
      </c>
      <c r="AG42" s="115"/>
      <c r="AH42" s="86">
        <f t="shared" si="2"/>
        <v>793.45299999999997</v>
      </c>
      <c r="AI42" s="86">
        <f t="shared" si="6"/>
        <v>793.45299999999997</v>
      </c>
      <c r="AJ42" s="86" t="str">
        <f>IF(AG42="",AJ41,AG42)</f>
        <v>NAOD</v>
      </c>
      <c r="AK42" s="93">
        <f t="shared" si="15"/>
        <v>791.91700000000003</v>
      </c>
      <c r="AL42" s="86" t="str">
        <f>IF(AG42="NAOI",AD42,"")</f>
        <v/>
      </c>
      <c r="AM42" s="93" t="str">
        <f>IF(AG42="NAOI",AF42,"")</f>
        <v/>
      </c>
      <c r="AN42" s="86" t="str">
        <f>IF(AG42="NAOD",AD42,"")</f>
        <v/>
      </c>
      <c r="AO42" s="86" t="str">
        <f>IF(AG42="NAOD",AF42,"")</f>
        <v/>
      </c>
      <c r="AP42" s="86">
        <f t="shared" si="14"/>
        <v>0</v>
      </c>
    </row>
    <row r="43" spans="1:42" ht="15.75" x14ac:dyDescent="0.25">
      <c r="A43" s="94">
        <f t="shared" si="0"/>
        <v>31</v>
      </c>
      <c r="B43" s="95">
        <f t="shared" si="1"/>
        <v>793.178</v>
      </c>
      <c r="C43" s="96" t="str">
        <f t="shared" si="5"/>
        <v>PRD</v>
      </c>
      <c r="D43" s="184"/>
      <c r="X43" s="107"/>
      <c r="Y43" s="108"/>
      <c r="Z43" s="109"/>
      <c r="AA43" s="110">
        <v>0.27500000000000002</v>
      </c>
      <c r="AB43" s="111"/>
      <c r="AC43" s="112"/>
      <c r="AD43" s="113">
        <f t="shared" si="13"/>
        <v>793.178</v>
      </c>
      <c r="AE43" s="114">
        <v>1</v>
      </c>
      <c r="AF43" s="113">
        <f t="shared" si="12"/>
        <v>31</v>
      </c>
      <c r="AG43" s="115" t="s">
        <v>5</v>
      </c>
      <c r="AH43" s="86">
        <f t="shared" si="2"/>
        <v>793.45299999999997</v>
      </c>
      <c r="AI43" s="86">
        <f t="shared" si="6"/>
        <v>793.45299999999997</v>
      </c>
      <c r="AJ43" s="86" t="str">
        <f t="shared" si="3"/>
        <v>PRD</v>
      </c>
      <c r="AK43" s="93">
        <f t="shared" si="15"/>
        <v>793.178</v>
      </c>
      <c r="AL43" s="86" t="str">
        <f t="shared" si="7"/>
        <v/>
      </c>
      <c r="AM43" s="93" t="str">
        <f t="shared" si="8"/>
        <v/>
      </c>
      <c r="AN43" s="86" t="str">
        <f t="shared" si="9"/>
        <v/>
      </c>
      <c r="AO43" s="86" t="str">
        <f t="shared" si="10"/>
        <v/>
      </c>
      <c r="AP43" s="86">
        <f t="shared" si="14"/>
        <v>0</v>
      </c>
    </row>
    <row r="44" spans="1:42" ht="15.75" x14ac:dyDescent="0.25">
      <c r="A44" s="94">
        <f t="shared" ref="A44" si="16">AF44</f>
        <v>31</v>
      </c>
      <c r="B44" s="95">
        <f t="shared" ref="B44" si="17">AD44</f>
        <v>791.85199999999998</v>
      </c>
      <c r="C44" s="96" t="str">
        <f t="shared" si="5"/>
        <v xml:space="preserve">S/BM </v>
      </c>
      <c r="D44" s="184"/>
      <c r="X44" s="107"/>
      <c r="Y44" s="108"/>
      <c r="Z44" s="109"/>
      <c r="AA44" s="110">
        <v>1.601</v>
      </c>
      <c r="AB44" s="111"/>
      <c r="AC44" s="112"/>
      <c r="AD44" s="113">
        <f t="shared" si="13"/>
        <v>791.85199999999998</v>
      </c>
      <c r="AE44" s="114">
        <v>0</v>
      </c>
      <c r="AF44" s="113">
        <f t="shared" si="12"/>
        <v>31</v>
      </c>
      <c r="AG44" s="115" t="s">
        <v>46</v>
      </c>
      <c r="AH44" s="86">
        <f t="shared" si="2"/>
        <v>793.45299999999997</v>
      </c>
      <c r="AI44" s="86">
        <f t="shared" si="6"/>
        <v>793.45299999999997</v>
      </c>
      <c r="AJ44" s="86" t="str">
        <f t="shared" si="3"/>
        <v xml:space="preserve">S/BM </v>
      </c>
      <c r="AK44" s="93">
        <f t="shared" si="15"/>
        <v>791.85199999999998</v>
      </c>
      <c r="AL44" s="86" t="str">
        <f t="shared" si="7"/>
        <v/>
      </c>
      <c r="AM44" s="93" t="str">
        <f t="shared" si="8"/>
        <v/>
      </c>
      <c r="AN44" s="86" t="str">
        <f t="shared" si="9"/>
        <v/>
      </c>
      <c r="AO44" s="86" t="str">
        <f t="shared" si="10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>IF(AG45="","",AG45)</f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2"/>
        <v>0</v>
      </c>
      <c r="AI45" s="86">
        <f t="shared" si="6"/>
        <v>0</v>
      </c>
      <c r="AJ45" s="86" t="str">
        <f t="shared" si="3"/>
        <v xml:space="preserve">S/BM </v>
      </c>
      <c r="AK45" s="93">
        <f t="shared" si="15"/>
        <v>0</v>
      </c>
      <c r="AL45" s="86" t="str">
        <f t="shared" si="7"/>
        <v/>
      </c>
      <c r="AM45" s="93" t="str">
        <f t="shared" si="8"/>
        <v/>
      </c>
      <c r="AN45" s="86" t="str">
        <f t="shared" si="9"/>
        <v/>
      </c>
      <c r="AO45" s="86" t="str">
        <f t="shared" si="10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>IF(AG46="","",AG46)</f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2"/>
        <v>0</v>
      </c>
      <c r="AI46" s="86">
        <f t="shared" si="6"/>
        <v>0</v>
      </c>
      <c r="AJ46" s="86" t="str">
        <f t="shared" si="3"/>
        <v xml:space="preserve">S/BM </v>
      </c>
      <c r="AK46" s="93">
        <f t="shared" si="15"/>
        <v>0</v>
      </c>
      <c r="AL46" s="86" t="str">
        <f t="shared" si="7"/>
        <v/>
      </c>
      <c r="AM46" s="93" t="str">
        <f t="shared" si="8"/>
        <v/>
      </c>
      <c r="AN46" s="86" t="str">
        <f t="shared" si="9"/>
        <v/>
      </c>
      <c r="AO46" s="86" t="str">
        <f t="shared" si="10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ref="C47:C51" si="18">IF(AG47="","",AG47)</f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>IF(AND(AJ47="NAOI",AJ47=AJ48),AK47,AI47)</f>
        <v>0</v>
      </c>
      <c r="AI47" s="86">
        <f>IF(AA47="",AC47,AI46)</f>
        <v>0</v>
      </c>
      <c r="AJ47" s="86" t="str">
        <f t="shared" si="3"/>
        <v xml:space="preserve">S/BM </v>
      </c>
      <c r="AK47" s="93">
        <f>IF(AND(AJ47="NAOI",AJ46="NAOI"),AK46,AD47)</f>
        <v>0</v>
      </c>
      <c r="AL47" s="86" t="str">
        <f t="shared" si="7"/>
        <v/>
      </c>
      <c r="AM47" s="93" t="str">
        <f t="shared" si="8"/>
        <v/>
      </c>
      <c r="AN47" s="86" t="str">
        <f t="shared" si="9"/>
        <v/>
      </c>
      <c r="AO47" s="86" t="str">
        <f t="shared" si="10"/>
        <v/>
      </c>
      <c r="AP47" s="86">
        <f>IF(AJ46="S/BM",1,0)</f>
        <v>0</v>
      </c>
    </row>
    <row r="48" spans="1:42" ht="15.75" x14ac:dyDescent="0.25">
      <c r="A48" s="94"/>
      <c r="B48" s="95"/>
      <c r="C48" s="96" t="str">
        <f t="shared" si="18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>IF(AND(AJ48="NAOI",AJ48=AJ49),AK48,AI48)</f>
        <v>0</v>
      </c>
      <c r="AI48" s="86">
        <f>IF(AA48="",AC48,AI47)</f>
        <v>0</v>
      </c>
      <c r="AJ48" s="86" t="str">
        <f t="shared" si="3"/>
        <v xml:space="preserve">S/BM </v>
      </c>
      <c r="AK48" s="93">
        <f>IF(AND(AJ48="NAOI",AJ47="NAOI"),AK47,AD48)</f>
        <v>0</v>
      </c>
      <c r="AL48" s="86" t="str">
        <f t="shared" si="7"/>
        <v/>
      </c>
      <c r="AM48" s="93" t="str">
        <f t="shared" si="8"/>
        <v/>
      </c>
      <c r="AN48" s="86" t="str">
        <f t="shared" si="9"/>
        <v/>
      </c>
      <c r="AO48" s="86" t="str">
        <f t="shared" si="10"/>
        <v/>
      </c>
      <c r="AP48" s="86">
        <f t="shared" ref="AP48:AP51" si="19">IF(AJ47="S/BM",1,0)</f>
        <v>0</v>
      </c>
    </row>
    <row r="49" spans="1:42" ht="15.75" x14ac:dyDescent="0.25">
      <c r="A49" s="94"/>
      <c r="B49" s="95"/>
      <c r="C49" s="96" t="str">
        <f t="shared" si="18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>IF(AND(AJ49="NAOI",AJ49=AJ50),AK49,AI49)</f>
        <v>0</v>
      </c>
      <c r="AI49" s="86">
        <f>IF(AA49="",AC49,AI48)</f>
        <v>0</v>
      </c>
      <c r="AJ49" s="86" t="str">
        <f t="shared" si="3"/>
        <v xml:space="preserve">S/BM </v>
      </c>
      <c r="AK49" s="93">
        <f>IF(AND(AJ49="NAOI",AJ48="NAOI"),AK48,AD49)</f>
        <v>0</v>
      </c>
      <c r="AL49" s="86" t="str">
        <f t="shared" si="7"/>
        <v/>
      </c>
      <c r="AM49" s="93" t="str">
        <f t="shared" si="8"/>
        <v/>
      </c>
      <c r="AN49" s="86" t="str">
        <f t="shared" si="9"/>
        <v/>
      </c>
      <c r="AO49" s="86" t="str">
        <f t="shared" si="10"/>
        <v/>
      </c>
      <c r="AP49" s="86">
        <f t="shared" si="19"/>
        <v>0</v>
      </c>
    </row>
    <row r="50" spans="1:42" ht="15.75" x14ac:dyDescent="0.25">
      <c r="A50" s="94"/>
      <c r="B50" s="95"/>
      <c r="C50" s="96" t="str">
        <f t="shared" si="18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>IF(AND(AJ50="NAOI",AJ50=AJ51),AK50,AI50)</f>
        <v>0</v>
      </c>
      <c r="AI50" s="86">
        <f>IF(AA50="",AC50,AI49)</f>
        <v>0</v>
      </c>
      <c r="AJ50" s="86" t="str">
        <f t="shared" si="3"/>
        <v xml:space="preserve">S/BM </v>
      </c>
      <c r="AK50" s="93">
        <f>IF(AND(AJ50="NAOI",AJ49="NAOI"),AK49,AD50)</f>
        <v>0</v>
      </c>
      <c r="AL50" s="86" t="str">
        <f t="shared" si="7"/>
        <v/>
      </c>
      <c r="AM50" s="93" t="str">
        <f t="shared" si="8"/>
        <v/>
      </c>
      <c r="AN50" s="86" t="str">
        <f t="shared" si="9"/>
        <v/>
      </c>
      <c r="AO50" s="86" t="str">
        <f t="shared" si="10"/>
        <v/>
      </c>
      <c r="AP50" s="86">
        <f t="shared" si="19"/>
        <v>0</v>
      </c>
    </row>
    <row r="51" spans="1:42" ht="16.5" thickBot="1" x14ac:dyDescent="0.3">
      <c r="A51" s="122"/>
      <c r="B51" s="123"/>
      <c r="C51" s="96" t="str">
        <f t="shared" si="18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>IF(AND(AJ51="NAOI",AJ51=AJ52),AK51,AI51)</f>
        <v>0</v>
      </c>
      <c r="AI51" s="86">
        <f>IF(AA51="",AC51,AI50)</f>
        <v>0</v>
      </c>
      <c r="AJ51" s="86" t="str">
        <f t="shared" si="3"/>
        <v xml:space="preserve">S/BM </v>
      </c>
      <c r="AK51" s="93">
        <f>IF(AND(AJ51="NAOI",AJ50="NAOI"),AK50,AD51)</f>
        <v>0</v>
      </c>
      <c r="AL51" s="86" t="str">
        <f t="shared" si="7"/>
        <v/>
      </c>
      <c r="AM51" s="93" t="str">
        <f t="shared" si="8"/>
        <v/>
      </c>
      <c r="AN51" s="86" t="str">
        <f t="shared" si="9"/>
        <v/>
      </c>
      <c r="AO51" s="86" t="str">
        <f t="shared" si="10"/>
        <v/>
      </c>
      <c r="AP51" s="86">
        <f t="shared" si="19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12</v>
      </c>
      <c r="B53" s="136">
        <f>AL4</f>
        <v>787.25900000000001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27</v>
      </c>
      <c r="B54" s="136">
        <f>AN4</f>
        <v>787.25900000000001</v>
      </c>
      <c r="C54" s="139" t="s">
        <v>10</v>
      </c>
      <c r="D54" s="192"/>
    </row>
    <row r="55" spans="1:42" ht="20.100000000000001" customHeight="1" x14ac:dyDescent="0.2">
      <c r="A55" s="140">
        <v>26.5</v>
      </c>
      <c r="B55" s="141">
        <v>786.48900000000003</v>
      </c>
      <c r="C55" s="142" t="s">
        <v>8</v>
      </c>
      <c r="D55" s="192"/>
    </row>
    <row r="56" spans="1:42" ht="20.100000000000001" customHeight="1" x14ac:dyDescent="0.2">
      <c r="A56" s="140">
        <v>26.5</v>
      </c>
      <c r="B56" s="143">
        <f>B55+3</f>
        <v>789.48900000000003</v>
      </c>
      <c r="C56" s="142" t="s">
        <v>8</v>
      </c>
      <c r="D56" s="192"/>
    </row>
    <row r="57" spans="1:42" ht="20.100000000000001" customHeight="1" x14ac:dyDescent="0.2">
      <c r="A57" s="63">
        <v>27</v>
      </c>
      <c r="B57" s="143">
        <v>788.85400000000004</v>
      </c>
      <c r="C57" s="144" t="s">
        <v>2</v>
      </c>
      <c r="D57" s="192"/>
    </row>
    <row r="58" spans="1:42" ht="20.100000000000001" customHeight="1" thickBot="1" x14ac:dyDescent="0.25">
      <c r="A58" s="140">
        <v>27</v>
      </c>
      <c r="B58" s="143">
        <f>B57+1.5</f>
        <v>790.35400000000004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82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786.48900000000003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8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75</v>
      </c>
      <c r="C69" s="193"/>
    </row>
    <row r="70" spans="1:4" ht="14.25" x14ac:dyDescent="0.2">
      <c r="A70" s="157" t="s">
        <v>57</v>
      </c>
      <c r="B70" s="193" t="s">
        <v>75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43606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195" priority="77" stopIfTrue="1">
      <formula>$AP$47=1</formula>
    </cfRule>
  </conditionalFormatting>
  <conditionalFormatting sqref="AC46:AF46">
    <cfRule type="expression" dxfId="194" priority="76" stopIfTrue="1">
      <formula>$AP$46</formula>
    </cfRule>
  </conditionalFormatting>
  <conditionalFormatting sqref="AC50:AF50">
    <cfRule type="expression" dxfId="193" priority="75" stopIfTrue="1">
      <formula>$AP$50=1</formula>
    </cfRule>
  </conditionalFormatting>
  <conditionalFormatting sqref="AC51:AF51">
    <cfRule type="expression" dxfId="192" priority="74" stopIfTrue="1">
      <formula>$AP$51=1</formula>
    </cfRule>
  </conditionalFormatting>
  <conditionalFormatting sqref="AC49:AF49">
    <cfRule type="expression" dxfId="191" priority="73" stopIfTrue="1">
      <formula>$AP$49=1</formula>
    </cfRule>
  </conditionalFormatting>
  <conditionalFormatting sqref="AC48:AF48">
    <cfRule type="expression" dxfId="190" priority="72" stopIfTrue="1">
      <formula>$AP$48=1</formula>
    </cfRule>
  </conditionalFormatting>
  <conditionalFormatting sqref="AC45:AF45">
    <cfRule type="expression" dxfId="189" priority="71" stopIfTrue="1">
      <formula>$AP$45=1</formula>
    </cfRule>
  </conditionalFormatting>
  <conditionalFormatting sqref="AC44 AE44">
    <cfRule type="expression" dxfId="188" priority="70" stopIfTrue="1">
      <formula>$AP$44=1</formula>
    </cfRule>
  </conditionalFormatting>
  <conditionalFormatting sqref="AC43 AE43">
    <cfRule type="expression" dxfId="187" priority="69" stopIfTrue="1">
      <formula>$AP$43=1</formula>
    </cfRule>
  </conditionalFormatting>
  <conditionalFormatting sqref="AC42 AE42">
    <cfRule type="expression" dxfId="186" priority="68" stopIfTrue="1">
      <formula>$AP$42=1</formula>
    </cfRule>
  </conditionalFormatting>
  <conditionalFormatting sqref="AC41 AE41">
    <cfRule type="expression" dxfId="185" priority="67" stopIfTrue="1">
      <formula>$AP$41=1</formula>
    </cfRule>
  </conditionalFormatting>
  <conditionalFormatting sqref="AE40">
    <cfRule type="expression" dxfId="184" priority="66" stopIfTrue="1">
      <formula>$AP$40=1</formula>
    </cfRule>
  </conditionalFormatting>
  <conditionalFormatting sqref="AE39">
    <cfRule type="expression" dxfId="183" priority="65" stopIfTrue="1">
      <formula>$AP$39=1</formula>
    </cfRule>
  </conditionalFormatting>
  <conditionalFormatting sqref="AE38">
    <cfRule type="expression" dxfId="182" priority="64" stopIfTrue="1">
      <formula>$AP$38=1</formula>
    </cfRule>
  </conditionalFormatting>
  <conditionalFormatting sqref="AC30:AD30 AF30">
    <cfRule type="expression" dxfId="181" priority="55" stopIfTrue="1">
      <formula>$AP$30</formula>
    </cfRule>
  </conditionalFormatting>
  <conditionalFormatting sqref="AC29:AD29 AF29">
    <cfRule type="expression" dxfId="180" priority="54" stopIfTrue="1">
      <formula>$AP$29=1</formula>
    </cfRule>
  </conditionalFormatting>
  <conditionalFormatting sqref="AC28:AD28 AF28">
    <cfRule type="expression" dxfId="179" priority="53" stopIfTrue="1">
      <formula>$AP$28=1</formula>
    </cfRule>
  </conditionalFormatting>
  <conditionalFormatting sqref="AC27:AD27 AF27">
    <cfRule type="expression" dxfId="178" priority="52" stopIfTrue="1">
      <formula>$AP$27=1</formula>
    </cfRule>
  </conditionalFormatting>
  <conditionalFormatting sqref="AC26:AD26 AF26">
    <cfRule type="expression" dxfId="177" priority="51" stopIfTrue="1">
      <formula>$AP$26=1</formula>
    </cfRule>
  </conditionalFormatting>
  <conditionalFormatting sqref="AC25:AD25 AF25">
    <cfRule type="expression" dxfId="176" priority="50" stopIfTrue="1">
      <formula>$AP$25=1</formula>
    </cfRule>
  </conditionalFormatting>
  <conditionalFormatting sqref="AC24:AD24 AF24">
    <cfRule type="expression" dxfId="175" priority="49" stopIfTrue="1">
      <formula>$AP$24=1</formula>
    </cfRule>
  </conditionalFormatting>
  <conditionalFormatting sqref="AC23:AD23 AF23">
    <cfRule type="expression" dxfId="174" priority="48" stopIfTrue="1">
      <formula>$AP$23=1</formula>
    </cfRule>
  </conditionalFormatting>
  <conditionalFormatting sqref="AC22:AD22 AF22">
    <cfRule type="expression" dxfId="173" priority="47" stopIfTrue="1">
      <formula>$AP$22=1</formula>
    </cfRule>
  </conditionalFormatting>
  <conditionalFormatting sqref="AC21:AD21 AF21">
    <cfRule type="expression" dxfId="172" priority="46" stopIfTrue="1">
      <formula>$AP$21=1</formula>
    </cfRule>
  </conditionalFormatting>
  <conditionalFormatting sqref="AC20:AD20 AF20">
    <cfRule type="expression" dxfId="171" priority="45" stopIfTrue="1">
      <formula>$AP$20=1</formula>
    </cfRule>
  </conditionalFormatting>
  <conditionalFormatting sqref="AC19:AD19 AF19">
    <cfRule type="expression" dxfId="170" priority="44" stopIfTrue="1">
      <formula>$AP$19=1</formula>
    </cfRule>
  </conditionalFormatting>
  <conditionalFormatting sqref="AC18:AD18 AF18">
    <cfRule type="expression" dxfId="169" priority="43" stopIfTrue="1">
      <formula>$AP$18=1</formula>
    </cfRule>
  </conditionalFormatting>
  <conditionalFormatting sqref="AC17:AD17 AF17">
    <cfRule type="expression" dxfId="168" priority="42" stopIfTrue="1">
      <formula>$AP$17=1</formula>
    </cfRule>
  </conditionalFormatting>
  <conditionalFormatting sqref="AC16:AD16 AF16">
    <cfRule type="expression" dxfId="167" priority="41" stopIfTrue="1">
      <formula>$AP$16=1</formula>
    </cfRule>
  </conditionalFormatting>
  <conditionalFormatting sqref="AC15:AD15 AF15">
    <cfRule type="expression" dxfId="166" priority="40" stopIfTrue="1">
      <formula>$AP$15=1</formula>
    </cfRule>
  </conditionalFormatting>
  <conditionalFormatting sqref="AC14:AD14 AF14">
    <cfRule type="expression" dxfId="165" priority="39" stopIfTrue="1">
      <formula>$AP$14=1</formula>
    </cfRule>
  </conditionalFormatting>
  <conditionalFormatting sqref="AC13:AD13 AF13">
    <cfRule type="expression" dxfId="164" priority="38" stopIfTrue="1">
      <formula>$AP$13=1</formula>
    </cfRule>
  </conditionalFormatting>
  <conditionalFormatting sqref="AC12:AF12 AE13:AE37">
    <cfRule type="expression" dxfId="163" priority="37" stopIfTrue="1">
      <formula>$AP$12=1</formula>
    </cfRule>
  </conditionalFormatting>
  <conditionalFormatting sqref="AC11:AF11">
    <cfRule type="expression" dxfId="162" priority="36" stopIfTrue="1">
      <formula>$AP$11=1</formula>
    </cfRule>
  </conditionalFormatting>
  <conditionalFormatting sqref="A51:B51">
    <cfRule type="expression" dxfId="161" priority="35" stopIfTrue="1">
      <formula>$AP$51=1</formula>
    </cfRule>
  </conditionalFormatting>
  <conditionalFormatting sqref="A50:B50">
    <cfRule type="expression" dxfId="160" priority="34" stopIfTrue="1">
      <formula>$AP$50=1</formula>
    </cfRule>
  </conditionalFormatting>
  <conditionalFormatting sqref="A49:B49">
    <cfRule type="expression" dxfId="159" priority="33" stopIfTrue="1">
      <formula>$AP$49=1</formula>
    </cfRule>
  </conditionalFormatting>
  <conditionalFormatting sqref="A48:B48">
    <cfRule type="expression" dxfId="158" priority="32" stopIfTrue="1">
      <formula>$AP$48=1</formula>
    </cfRule>
  </conditionalFormatting>
  <conditionalFormatting sqref="A47:B47">
    <cfRule type="expression" dxfId="157" priority="31" stopIfTrue="1">
      <formula>$AP$47=1</formula>
    </cfRule>
  </conditionalFormatting>
  <conditionalFormatting sqref="A46:B46">
    <cfRule type="expression" dxfId="156" priority="30" stopIfTrue="1">
      <formula>$AP$46=1</formula>
    </cfRule>
  </conditionalFormatting>
  <conditionalFormatting sqref="A45:B45">
    <cfRule type="expression" dxfId="155" priority="29" stopIfTrue="1">
      <formula>$AP$45=1</formula>
    </cfRule>
  </conditionalFormatting>
  <conditionalFormatting sqref="A30:B44">
    <cfRule type="expression" dxfId="154" priority="25" stopIfTrue="1">
      <formula>$AP$30=1</formula>
    </cfRule>
  </conditionalFormatting>
  <conditionalFormatting sqref="A29:B29">
    <cfRule type="expression" dxfId="153" priority="24" stopIfTrue="1">
      <formula>$AP$29=1</formula>
    </cfRule>
  </conditionalFormatting>
  <conditionalFormatting sqref="A28:B28">
    <cfRule type="expression" dxfId="152" priority="23" stopIfTrue="1">
      <formula>$AP$28=1</formula>
    </cfRule>
  </conditionalFormatting>
  <conditionalFormatting sqref="A27:B27">
    <cfRule type="expression" dxfId="151" priority="22" stopIfTrue="1">
      <formula>$AP$27=1</formula>
    </cfRule>
  </conditionalFormatting>
  <conditionalFormatting sqref="A26:B26">
    <cfRule type="expression" dxfId="150" priority="21" stopIfTrue="1">
      <formula>$AP$26=1</formula>
    </cfRule>
  </conditionalFormatting>
  <conditionalFormatting sqref="A25:B25">
    <cfRule type="expression" dxfId="149" priority="20" stopIfTrue="1">
      <formula>$AP$25=1</formula>
    </cfRule>
  </conditionalFormatting>
  <conditionalFormatting sqref="A24:B24">
    <cfRule type="expression" dxfId="148" priority="19" stopIfTrue="1">
      <formula>$AP$24=1</formula>
    </cfRule>
  </conditionalFormatting>
  <conditionalFormatting sqref="A23:B23">
    <cfRule type="expression" dxfId="147" priority="18" stopIfTrue="1">
      <formula>$AP$23=1</formula>
    </cfRule>
  </conditionalFormatting>
  <conditionalFormatting sqref="A22:B22">
    <cfRule type="expression" dxfId="146" priority="17" stopIfTrue="1">
      <formula>$AP$22=1</formula>
    </cfRule>
  </conditionalFormatting>
  <conditionalFormatting sqref="A21:B21">
    <cfRule type="expression" dxfId="145" priority="16" stopIfTrue="1">
      <formula>$AP$21=1</formula>
    </cfRule>
  </conditionalFormatting>
  <conditionalFormatting sqref="A20:B20">
    <cfRule type="expression" dxfId="144" priority="15" stopIfTrue="1">
      <formula>$AP$20=1</formula>
    </cfRule>
  </conditionalFormatting>
  <conditionalFormatting sqref="A19:B19">
    <cfRule type="expression" dxfId="143" priority="14" stopIfTrue="1">
      <formula>$AP$19=1</formula>
    </cfRule>
  </conditionalFormatting>
  <conditionalFormatting sqref="A18:B18">
    <cfRule type="expression" dxfId="142" priority="13" stopIfTrue="1">
      <formula>$AP$18=1</formula>
    </cfRule>
  </conditionalFormatting>
  <conditionalFormatting sqref="A17:B17">
    <cfRule type="expression" dxfId="141" priority="12" stopIfTrue="1">
      <formula>$AP$17=1</formula>
    </cfRule>
  </conditionalFormatting>
  <conditionalFormatting sqref="A16:B16">
    <cfRule type="expression" dxfId="140" priority="11" stopIfTrue="1">
      <formula>$AP$16=1</formula>
    </cfRule>
  </conditionalFormatting>
  <conditionalFormatting sqref="A15:B15">
    <cfRule type="expression" dxfId="139" priority="10" stopIfTrue="1">
      <formula>$AP$15=1</formula>
    </cfRule>
  </conditionalFormatting>
  <conditionalFormatting sqref="A14:B14">
    <cfRule type="expression" dxfId="138" priority="9" stopIfTrue="1">
      <formula>$AP$14=1</formula>
    </cfRule>
  </conditionalFormatting>
  <conditionalFormatting sqref="A13:B13">
    <cfRule type="expression" dxfId="137" priority="8" stopIfTrue="1">
      <formula>$AP$13=1</formula>
    </cfRule>
  </conditionalFormatting>
  <conditionalFormatting sqref="A12:B12">
    <cfRule type="expression" dxfId="136" priority="7" stopIfTrue="1">
      <formula>$AP$12=1</formula>
    </cfRule>
  </conditionalFormatting>
  <conditionalFormatting sqref="A11:B11">
    <cfRule type="expression" dxfId="135" priority="6" stopIfTrue="1">
      <formula>$AP$11=1</formula>
    </cfRule>
  </conditionalFormatting>
  <conditionalFormatting sqref="A10:B10">
    <cfRule type="expression" dxfId="134" priority="5" stopIfTrue="1">
      <formula>$AP$10=1</formula>
    </cfRule>
  </conditionalFormatting>
  <conditionalFormatting sqref="AF31">
    <cfRule type="expression" dxfId="133" priority="4" stopIfTrue="1">
      <formula>$AP$30</formula>
    </cfRule>
  </conditionalFormatting>
  <conditionalFormatting sqref="AD31:AD44">
    <cfRule type="expression" dxfId="132" priority="3" stopIfTrue="1">
      <formula>$AP$30</formula>
    </cfRule>
  </conditionalFormatting>
  <conditionalFormatting sqref="AF32:AF44">
    <cfRule type="expression" dxfId="131" priority="2" stopIfTrue="1">
      <formula>$AP$30</formula>
    </cfRule>
  </conditionalFormatting>
  <conditionalFormatting sqref="AC31:AC40">
    <cfRule type="expression" dxfId="130" priority="1" stopIfTrue="1">
      <formula>$AP$30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AP75"/>
  <sheetViews>
    <sheetView topLeftCell="A28" zoomScale="70" zoomScaleNormal="70" workbookViewId="0">
      <selection activeCell="Z17" sqref="Z17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85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791.86</v>
      </c>
      <c r="AI4" s="92">
        <f>AH4</f>
        <v>791.86</v>
      </c>
      <c r="AJ4" s="86"/>
      <c r="AK4" s="86"/>
      <c r="AL4" s="93">
        <f>SUM(AL5:AL46)</f>
        <v>786.72500000000002</v>
      </c>
      <c r="AM4" s="93">
        <f>SUM(AM5:AM46)</f>
        <v>12</v>
      </c>
      <c r="AN4" s="93">
        <f>SUM(AN5:AN46)</f>
        <v>786.72500000000002</v>
      </c>
      <c r="AO4" s="93">
        <f>SUM(AO5:AO46)</f>
        <v>27</v>
      </c>
      <c r="AP4" s="86"/>
    </row>
    <row r="5" spans="1:42" ht="15.75" x14ac:dyDescent="0.25">
      <c r="A5" s="94">
        <f t="shared" ref="A5:A38" si="0">AF5</f>
        <v>0</v>
      </c>
      <c r="B5" s="95">
        <f t="shared" ref="B5:B38" si="1">AD5</f>
        <v>791.86</v>
      </c>
      <c r="C5" s="96" t="str">
        <f t="shared" ref="C5:C40" si="2">IF(AG5="","",AG5)</f>
        <v xml:space="preserve">S/BM </v>
      </c>
      <c r="D5" s="184"/>
      <c r="X5" s="97"/>
      <c r="Y5" s="98"/>
      <c r="Z5" s="99">
        <v>2.2000000000000002</v>
      </c>
      <c r="AA5" s="100"/>
      <c r="AB5" s="101"/>
      <c r="AC5" s="102">
        <f t="shared" ref="AC5:AC31" si="3">IF(AA5="",AD5+Z5,"")</f>
        <v>794.06000000000006</v>
      </c>
      <c r="AD5" s="103">
        <v>791.86</v>
      </c>
      <c r="AE5" s="104">
        <v>0</v>
      </c>
      <c r="AF5" s="105"/>
      <c r="AG5" s="106" t="s">
        <v>46</v>
      </c>
      <c r="AH5" s="86">
        <f t="shared" ref="AH5:AH51" si="4">IF(AND(AJ5="NAOI",AJ5=AJ6),AK5,AI5)</f>
        <v>794.06000000000006</v>
      </c>
      <c r="AI5" s="86">
        <f t="shared" ref="AI5:AI51" si="5">IF(AA5="",AC5,AI4)</f>
        <v>794.06000000000006</v>
      </c>
      <c r="AJ5" s="86" t="str">
        <f t="shared" ref="AJ5:AJ51" si="6">IF(AG5="",AJ4,AG5)</f>
        <v xml:space="preserve">S/BM </v>
      </c>
      <c r="AK5" s="93">
        <f t="shared" ref="AK5:AK51" si="7">IF(AND(AJ5="NAOI",AJ4="NAOI"),AK4,AD5)</f>
        <v>791.86</v>
      </c>
      <c r="AL5" s="86" t="str">
        <f t="shared" ref="AL5:AL51" si="8">IF(AG5="NAOI",AD5,"")</f>
        <v/>
      </c>
      <c r="AM5" s="93" t="str">
        <f t="shared" ref="AM5:AM51" si="9">IF(AG5="NAOI",AF5,"")</f>
        <v/>
      </c>
      <c r="AN5" s="86" t="str">
        <f t="shared" ref="AN5:AN51" si="10">IF(AG5="NAOD",AD5,"")</f>
        <v/>
      </c>
      <c r="AO5" s="86" t="str">
        <f t="shared" ref="AO5:AO51" si="11">IF(AG5="NAOD",AF5,"")</f>
        <v/>
      </c>
      <c r="AP5" s="86"/>
    </row>
    <row r="6" spans="1:42" ht="15.75" x14ac:dyDescent="0.25">
      <c r="A6" s="94">
        <f t="shared" si="0"/>
        <v>2</v>
      </c>
      <c r="B6" s="95">
        <f t="shared" si="1"/>
        <v>792.75000000000011</v>
      </c>
      <c r="C6" s="96" t="str">
        <f t="shared" si="2"/>
        <v>PRI</v>
      </c>
      <c r="D6" s="184"/>
      <c r="X6" s="107"/>
      <c r="Y6" s="108"/>
      <c r="Z6" s="109"/>
      <c r="AA6" s="110">
        <v>1.31</v>
      </c>
      <c r="AB6" s="111"/>
      <c r="AC6" s="112" t="str">
        <f t="shared" si="3"/>
        <v/>
      </c>
      <c r="AD6" s="113">
        <f>IF(AA6="",AH5-AB6,AH5-AA6)</f>
        <v>792.75000000000011</v>
      </c>
      <c r="AE6" s="114">
        <v>2</v>
      </c>
      <c r="AF6" s="113">
        <f>AE6</f>
        <v>2</v>
      </c>
      <c r="AG6" s="115" t="s">
        <v>4</v>
      </c>
      <c r="AH6" s="86">
        <f t="shared" si="4"/>
        <v>794.06000000000006</v>
      </c>
      <c r="AI6" s="86">
        <f t="shared" si="5"/>
        <v>794.06000000000006</v>
      </c>
      <c r="AJ6" s="86" t="str">
        <f t="shared" si="6"/>
        <v>PRI</v>
      </c>
      <c r="AK6" s="93">
        <f t="shared" si="7"/>
        <v>792.75000000000011</v>
      </c>
      <c r="AL6" s="86" t="str">
        <f t="shared" si="8"/>
        <v/>
      </c>
      <c r="AM6" s="93" t="str">
        <f t="shared" si="9"/>
        <v/>
      </c>
      <c r="AN6" s="86" t="str">
        <f t="shared" si="10"/>
        <v/>
      </c>
      <c r="AO6" s="86" t="str">
        <f t="shared" si="11"/>
        <v/>
      </c>
      <c r="AP6" s="86"/>
    </row>
    <row r="7" spans="1:42" ht="15.75" x14ac:dyDescent="0.25">
      <c r="A7" s="94">
        <f t="shared" si="0"/>
        <v>4</v>
      </c>
      <c r="B7" s="95">
        <f t="shared" si="1"/>
        <v>790.94500000000005</v>
      </c>
      <c r="C7" s="96" t="str">
        <f t="shared" si="2"/>
        <v/>
      </c>
      <c r="D7" s="184"/>
      <c r="X7" s="107"/>
      <c r="Y7" s="108"/>
      <c r="Z7" s="109"/>
      <c r="AA7" s="110">
        <v>3.1150000000000002</v>
      </c>
      <c r="AB7" s="111"/>
      <c r="AC7" s="112" t="str">
        <f t="shared" si="3"/>
        <v/>
      </c>
      <c r="AD7" s="113">
        <f>IF(AA7="",AH6-AB7,AH6-AA7)</f>
        <v>790.94500000000005</v>
      </c>
      <c r="AE7" s="114">
        <v>2</v>
      </c>
      <c r="AF7" s="113">
        <f t="shared" ref="AF7:AF38" si="12">+AF6+AE7</f>
        <v>4</v>
      </c>
      <c r="AG7" s="116"/>
      <c r="AH7" s="86">
        <f t="shared" si="4"/>
        <v>794.06000000000006</v>
      </c>
      <c r="AI7" s="86">
        <f t="shared" si="5"/>
        <v>794.06000000000006</v>
      </c>
      <c r="AJ7" s="86" t="str">
        <f t="shared" si="6"/>
        <v>PRI</v>
      </c>
      <c r="AK7" s="93">
        <f t="shared" si="7"/>
        <v>790.94500000000005</v>
      </c>
      <c r="AL7" s="86" t="str">
        <f t="shared" si="8"/>
        <v/>
      </c>
      <c r="AM7" s="93" t="str">
        <f t="shared" si="9"/>
        <v/>
      </c>
      <c r="AN7" s="86" t="str">
        <f t="shared" si="10"/>
        <v/>
      </c>
      <c r="AO7" s="86" t="str">
        <f t="shared" si="11"/>
        <v/>
      </c>
      <c r="AP7" s="86"/>
    </row>
    <row r="8" spans="1:42" ht="15.75" x14ac:dyDescent="0.25">
      <c r="A8" s="94">
        <f t="shared" si="0"/>
        <v>6</v>
      </c>
      <c r="B8" s="95">
        <f t="shared" si="1"/>
        <v>789.82900000000006</v>
      </c>
      <c r="C8" s="96" t="str">
        <f t="shared" si="2"/>
        <v/>
      </c>
      <c r="D8" s="184"/>
      <c r="X8" s="107"/>
      <c r="Y8" s="108"/>
      <c r="Z8" s="109"/>
      <c r="AA8" s="110">
        <v>4.2309999999999999</v>
      </c>
      <c r="AB8" s="111"/>
      <c r="AC8" s="112" t="str">
        <f t="shared" si="3"/>
        <v/>
      </c>
      <c r="AD8" s="113">
        <f>IF(AA8="",AH7-AB8,AH7-AA8)</f>
        <v>789.82900000000006</v>
      </c>
      <c r="AE8" s="114">
        <v>2</v>
      </c>
      <c r="AF8" s="113">
        <f t="shared" si="12"/>
        <v>6</v>
      </c>
      <c r="AG8" s="116"/>
      <c r="AH8" s="86">
        <f t="shared" si="4"/>
        <v>794.06000000000006</v>
      </c>
      <c r="AI8" s="86">
        <f t="shared" si="5"/>
        <v>794.06000000000006</v>
      </c>
      <c r="AJ8" s="86" t="str">
        <f t="shared" si="6"/>
        <v>PRI</v>
      </c>
      <c r="AK8" s="93">
        <f t="shared" si="7"/>
        <v>789.82900000000006</v>
      </c>
      <c r="AL8" s="86" t="str">
        <f t="shared" si="8"/>
        <v/>
      </c>
      <c r="AM8" s="93" t="str">
        <f t="shared" si="9"/>
        <v/>
      </c>
      <c r="AN8" s="86" t="str">
        <f t="shared" si="10"/>
        <v/>
      </c>
      <c r="AO8" s="86" t="str">
        <f t="shared" si="11"/>
        <v/>
      </c>
      <c r="AP8" s="86"/>
    </row>
    <row r="9" spans="1:42" ht="15.75" x14ac:dyDescent="0.25">
      <c r="A9" s="94">
        <f t="shared" si="0"/>
        <v>6</v>
      </c>
      <c r="B9" s="95">
        <f t="shared" si="1"/>
        <v>789.26700000000005</v>
      </c>
      <c r="C9" s="96" t="str">
        <f t="shared" si="2"/>
        <v/>
      </c>
      <c r="D9" s="184"/>
      <c r="X9" s="107" t="s">
        <v>47</v>
      </c>
      <c r="Y9" s="108"/>
      <c r="Z9" s="109">
        <v>0.84699999999999998</v>
      </c>
      <c r="AA9" s="110"/>
      <c r="AB9" s="111">
        <v>4.7930000000000001</v>
      </c>
      <c r="AC9" s="112">
        <f t="shared" si="3"/>
        <v>790.11400000000003</v>
      </c>
      <c r="AD9" s="113">
        <f>IF(AA9="",AH8-AB9,AH8-AA9)</f>
        <v>789.26700000000005</v>
      </c>
      <c r="AE9" s="114">
        <v>0</v>
      </c>
      <c r="AF9" s="113">
        <f t="shared" si="12"/>
        <v>6</v>
      </c>
      <c r="AG9" s="115"/>
      <c r="AH9" s="86">
        <f t="shared" si="4"/>
        <v>790.11400000000003</v>
      </c>
      <c r="AI9" s="86">
        <f t="shared" si="5"/>
        <v>790.11400000000003</v>
      </c>
      <c r="AJ9" s="86" t="str">
        <f t="shared" si="6"/>
        <v>PRI</v>
      </c>
      <c r="AK9" s="93">
        <f t="shared" si="7"/>
        <v>789.26700000000005</v>
      </c>
      <c r="AL9" s="86" t="str">
        <f t="shared" si="8"/>
        <v/>
      </c>
      <c r="AM9" s="93" t="str">
        <f t="shared" si="9"/>
        <v/>
      </c>
      <c r="AN9" s="86" t="str">
        <f t="shared" si="10"/>
        <v/>
      </c>
      <c r="AO9" s="86" t="str">
        <f t="shared" si="11"/>
        <v/>
      </c>
      <c r="AP9" s="86"/>
    </row>
    <row r="10" spans="1:42" ht="15.75" x14ac:dyDescent="0.25">
      <c r="A10" s="94">
        <f t="shared" si="0"/>
        <v>7</v>
      </c>
      <c r="B10" s="95">
        <f t="shared" si="1"/>
        <v>787.56500000000005</v>
      </c>
      <c r="C10" s="96" t="str">
        <f t="shared" si="2"/>
        <v/>
      </c>
      <c r="D10" s="184"/>
      <c r="E10" s="84">
        <f>(B12+B35)/2</f>
        <v>788.5775000000001</v>
      </c>
      <c r="X10" s="107"/>
      <c r="Y10" s="108"/>
      <c r="Z10" s="109"/>
      <c r="AA10" s="110">
        <v>2.5489999999999999</v>
      </c>
      <c r="AB10" s="111"/>
      <c r="AC10" s="112" t="str">
        <f t="shared" si="3"/>
        <v/>
      </c>
      <c r="AD10" s="113">
        <f t="shared" ref="AD10:AD31" si="13">IF(AJ9="S/BM",AD9,IF(AA10="",AH9-AB10,AH9-AA10))</f>
        <v>787.56500000000005</v>
      </c>
      <c r="AE10" s="114">
        <v>1</v>
      </c>
      <c r="AF10" s="113">
        <f t="shared" si="12"/>
        <v>7</v>
      </c>
      <c r="AG10" s="115"/>
      <c r="AH10" s="86">
        <f t="shared" si="4"/>
        <v>790.11400000000003</v>
      </c>
      <c r="AI10" s="86">
        <f t="shared" si="5"/>
        <v>790.11400000000003</v>
      </c>
      <c r="AJ10" s="86" t="str">
        <f t="shared" si="6"/>
        <v>PRI</v>
      </c>
      <c r="AK10" s="93">
        <f t="shared" si="7"/>
        <v>787.56500000000005</v>
      </c>
      <c r="AL10" s="86" t="str">
        <f t="shared" si="8"/>
        <v/>
      </c>
      <c r="AM10" s="93" t="str">
        <f t="shared" si="9"/>
        <v/>
      </c>
      <c r="AN10" s="86" t="str">
        <f t="shared" si="10"/>
        <v/>
      </c>
      <c r="AO10" s="86" t="str">
        <f t="shared" si="11"/>
        <v/>
      </c>
      <c r="AP10" s="86"/>
    </row>
    <row r="11" spans="1:42" s="117" customFormat="1" ht="15.75" x14ac:dyDescent="0.25">
      <c r="A11" s="94">
        <f t="shared" si="0"/>
        <v>12</v>
      </c>
      <c r="B11" s="95">
        <f t="shared" si="1"/>
        <v>786.72500000000002</v>
      </c>
      <c r="C11" s="96" t="str">
        <f t="shared" si="2"/>
        <v>NAOI</v>
      </c>
      <c r="D11" s="184"/>
      <c r="E11" s="117">
        <v>0.33</v>
      </c>
      <c r="X11" s="107"/>
      <c r="Y11" s="108"/>
      <c r="Z11" s="109"/>
      <c r="AA11" s="110">
        <v>3.3889999999999998</v>
      </c>
      <c r="AB11" s="111"/>
      <c r="AC11" s="112" t="str">
        <f t="shared" si="3"/>
        <v/>
      </c>
      <c r="AD11" s="113">
        <f t="shared" si="13"/>
        <v>786.72500000000002</v>
      </c>
      <c r="AE11" s="114">
        <v>5</v>
      </c>
      <c r="AF11" s="113">
        <f t="shared" si="12"/>
        <v>12</v>
      </c>
      <c r="AG11" s="115" t="s">
        <v>9</v>
      </c>
      <c r="AH11" s="86">
        <f t="shared" si="4"/>
        <v>786.72500000000002</v>
      </c>
      <c r="AI11" s="86">
        <f t="shared" si="5"/>
        <v>790.11400000000003</v>
      </c>
      <c r="AJ11" s="86" t="str">
        <f t="shared" si="6"/>
        <v>NAOI</v>
      </c>
      <c r="AK11" s="93">
        <f t="shared" si="7"/>
        <v>786.72500000000002</v>
      </c>
      <c r="AL11" s="86">
        <f t="shared" si="8"/>
        <v>786.72500000000002</v>
      </c>
      <c r="AM11" s="93">
        <f t="shared" si="9"/>
        <v>12</v>
      </c>
      <c r="AN11" s="86" t="str">
        <f t="shared" si="10"/>
        <v/>
      </c>
      <c r="AO11" s="86" t="str">
        <f t="shared" si="11"/>
        <v/>
      </c>
      <c r="AP11" s="86">
        <f t="shared" ref="AP11:AP51" si="14">IF(AJ10="S/BM",1,0)</f>
        <v>0</v>
      </c>
    </row>
    <row r="12" spans="1:42" s="117" customFormat="1" ht="15.75" x14ac:dyDescent="0.25">
      <c r="A12" s="94">
        <f t="shared" si="0"/>
        <v>14</v>
      </c>
      <c r="B12" s="95">
        <f t="shared" si="1"/>
        <v>786.27499999999998</v>
      </c>
      <c r="C12" s="96" t="str">
        <f t="shared" si="2"/>
        <v/>
      </c>
      <c r="D12" s="184"/>
      <c r="E12" s="117">
        <v>0.3</v>
      </c>
      <c r="X12" s="107"/>
      <c r="Y12" s="108"/>
      <c r="Z12" s="109"/>
      <c r="AA12" s="110">
        <v>0.45</v>
      </c>
      <c r="AB12" s="111"/>
      <c r="AC12" s="112" t="str">
        <f t="shared" si="3"/>
        <v/>
      </c>
      <c r="AD12" s="113">
        <f t="shared" si="13"/>
        <v>786.27499999999998</v>
      </c>
      <c r="AE12" s="114">
        <v>2</v>
      </c>
      <c r="AF12" s="113">
        <f t="shared" si="12"/>
        <v>14</v>
      </c>
      <c r="AG12" s="115"/>
      <c r="AH12" s="86">
        <f t="shared" si="4"/>
        <v>786.72500000000002</v>
      </c>
      <c r="AI12" s="86">
        <f t="shared" si="5"/>
        <v>790.11400000000003</v>
      </c>
      <c r="AJ12" s="86" t="str">
        <f t="shared" si="6"/>
        <v>NAOI</v>
      </c>
      <c r="AK12" s="93">
        <f t="shared" si="7"/>
        <v>786.72500000000002</v>
      </c>
      <c r="AL12" s="86" t="str">
        <f t="shared" si="8"/>
        <v/>
      </c>
      <c r="AM12" s="93" t="str">
        <f t="shared" si="9"/>
        <v/>
      </c>
      <c r="AN12" s="86" t="str">
        <f t="shared" si="10"/>
        <v/>
      </c>
      <c r="AO12" s="86" t="str">
        <f t="shared" si="11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16</v>
      </c>
      <c r="B13" s="95">
        <f t="shared" si="1"/>
        <v>786.06500000000005</v>
      </c>
      <c r="C13" s="96" t="str">
        <f t="shared" si="2"/>
        <v/>
      </c>
      <c r="D13" s="184"/>
      <c r="E13" s="117">
        <v>0.35</v>
      </c>
      <c r="X13" s="107"/>
      <c r="Y13" s="108"/>
      <c r="Z13" s="109"/>
      <c r="AA13" s="110">
        <v>0.66</v>
      </c>
      <c r="AB13" s="111"/>
      <c r="AC13" s="112" t="str">
        <f t="shared" si="3"/>
        <v/>
      </c>
      <c r="AD13" s="113">
        <f t="shared" si="13"/>
        <v>786.06500000000005</v>
      </c>
      <c r="AE13" s="114">
        <v>2</v>
      </c>
      <c r="AF13" s="113">
        <f t="shared" si="12"/>
        <v>16</v>
      </c>
      <c r="AG13" s="115"/>
      <c r="AH13" s="86">
        <f t="shared" si="4"/>
        <v>786.72500000000002</v>
      </c>
      <c r="AI13" s="86">
        <f t="shared" si="5"/>
        <v>790.11400000000003</v>
      </c>
      <c r="AJ13" s="86" t="str">
        <f t="shared" si="6"/>
        <v>NAOI</v>
      </c>
      <c r="AK13" s="93">
        <f t="shared" si="7"/>
        <v>786.72500000000002</v>
      </c>
      <c r="AL13" s="86" t="str">
        <f t="shared" si="8"/>
        <v/>
      </c>
      <c r="AM13" s="93" t="str">
        <f t="shared" si="9"/>
        <v/>
      </c>
      <c r="AN13" s="86" t="str">
        <f t="shared" si="10"/>
        <v/>
      </c>
      <c r="AO13" s="86" t="str">
        <f t="shared" si="11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17</v>
      </c>
      <c r="B14" s="95">
        <f t="shared" si="1"/>
        <v>785.745</v>
      </c>
      <c r="C14" s="96" t="str">
        <f t="shared" si="2"/>
        <v/>
      </c>
      <c r="D14" s="184"/>
      <c r="E14" s="117">
        <v>0.5</v>
      </c>
      <c r="X14" s="107"/>
      <c r="Y14" s="108"/>
      <c r="Z14" s="109"/>
      <c r="AA14" s="110">
        <v>0.98</v>
      </c>
      <c r="AB14" s="111"/>
      <c r="AC14" s="112" t="str">
        <f t="shared" si="3"/>
        <v/>
      </c>
      <c r="AD14" s="113">
        <f t="shared" si="13"/>
        <v>785.745</v>
      </c>
      <c r="AE14" s="114">
        <v>1</v>
      </c>
      <c r="AF14" s="113">
        <f t="shared" si="12"/>
        <v>17</v>
      </c>
      <c r="AG14" s="116"/>
      <c r="AH14" s="86">
        <f t="shared" si="4"/>
        <v>786.72500000000002</v>
      </c>
      <c r="AI14" s="86">
        <f t="shared" si="5"/>
        <v>790.11400000000003</v>
      </c>
      <c r="AJ14" s="86" t="str">
        <f t="shared" si="6"/>
        <v>NAOI</v>
      </c>
      <c r="AK14" s="93">
        <f t="shared" si="7"/>
        <v>786.72500000000002</v>
      </c>
      <c r="AL14" s="86" t="str">
        <f t="shared" si="8"/>
        <v/>
      </c>
      <c r="AM14" s="93" t="str">
        <f t="shared" si="9"/>
        <v/>
      </c>
      <c r="AN14" s="86" t="str">
        <f t="shared" si="10"/>
        <v/>
      </c>
      <c r="AO14" s="86" t="str">
        <f t="shared" si="11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18</v>
      </c>
      <c r="B15" s="95">
        <f t="shared" si="1"/>
        <v>785.76499999999999</v>
      </c>
      <c r="C15" s="96" t="str">
        <f t="shared" si="2"/>
        <v/>
      </c>
      <c r="D15" s="184"/>
      <c r="E15" s="117">
        <v>0.55000000000000004</v>
      </c>
      <c r="X15" s="107"/>
      <c r="Y15" s="108"/>
      <c r="Z15" s="109"/>
      <c r="AA15" s="110">
        <v>0.96</v>
      </c>
      <c r="AB15" s="111"/>
      <c r="AC15" s="112" t="str">
        <f t="shared" si="3"/>
        <v/>
      </c>
      <c r="AD15" s="113">
        <f t="shared" si="13"/>
        <v>785.76499999999999</v>
      </c>
      <c r="AE15" s="114">
        <v>1</v>
      </c>
      <c r="AF15" s="113">
        <f t="shared" si="12"/>
        <v>18</v>
      </c>
      <c r="AG15" s="115"/>
      <c r="AH15" s="86">
        <f t="shared" si="4"/>
        <v>786.72500000000002</v>
      </c>
      <c r="AI15" s="86">
        <f t="shared" si="5"/>
        <v>790.11400000000003</v>
      </c>
      <c r="AJ15" s="86" t="str">
        <f t="shared" si="6"/>
        <v>NAOI</v>
      </c>
      <c r="AK15" s="93">
        <f t="shared" si="7"/>
        <v>786.72500000000002</v>
      </c>
      <c r="AL15" s="86" t="str">
        <f t="shared" si="8"/>
        <v/>
      </c>
      <c r="AM15" s="93" t="str">
        <f t="shared" si="9"/>
        <v/>
      </c>
      <c r="AN15" s="86" t="str">
        <f t="shared" si="10"/>
        <v/>
      </c>
      <c r="AO15" s="86" t="str">
        <f t="shared" si="11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19</v>
      </c>
      <c r="B16" s="95">
        <f t="shared" si="1"/>
        <v>785.625</v>
      </c>
      <c r="C16" s="96" t="str">
        <f t="shared" si="2"/>
        <v/>
      </c>
      <c r="D16" s="184"/>
      <c r="E16" s="117">
        <v>0.75</v>
      </c>
      <c r="X16" s="107"/>
      <c r="Y16" s="108"/>
      <c r="Z16" s="109"/>
      <c r="AA16" s="110">
        <v>1.1000000000000001</v>
      </c>
      <c r="AB16" s="111"/>
      <c r="AC16" s="112" t="str">
        <f t="shared" si="3"/>
        <v/>
      </c>
      <c r="AD16" s="113">
        <f t="shared" si="13"/>
        <v>785.625</v>
      </c>
      <c r="AE16" s="114">
        <v>1</v>
      </c>
      <c r="AF16" s="113">
        <f t="shared" si="12"/>
        <v>19</v>
      </c>
      <c r="AG16" s="118"/>
      <c r="AH16" s="86">
        <f t="shared" si="4"/>
        <v>786.72500000000002</v>
      </c>
      <c r="AI16" s="86">
        <f t="shared" si="5"/>
        <v>790.11400000000003</v>
      </c>
      <c r="AJ16" s="86" t="str">
        <f t="shared" si="6"/>
        <v>NAOI</v>
      </c>
      <c r="AK16" s="93">
        <f t="shared" si="7"/>
        <v>786.72500000000002</v>
      </c>
      <c r="AL16" s="86" t="str">
        <f t="shared" si="8"/>
        <v/>
      </c>
      <c r="AM16" s="93" t="str">
        <f t="shared" si="9"/>
        <v/>
      </c>
      <c r="AN16" s="86" t="str">
        <f t="shared" si="10"/>
        <v/>
      </c>
      <c r="AO16" s="86" t="str">
        <f t="shared" si="11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19.8</v>
      </c>
      <c r="B17" s="95">
        <f t="shared" si="1"/>
        <v>785.625</v>
      </c>
      <c r="C17" s="96" t="str">
        <f t="shared" si="2"/>
        <v/>
      </c>
      <c r="D17" s="184"/>
      <c r="E17" s="117">
        <v>0.7</v>
      </c>
      <c r="X17" s="107"/>
      <c r="Y17" s="108"/>
      <c r="Z17" s="109"/>
      <c r="AA17" s="110">
        <v>1.1000000000000001</v>
      </c>
      <c r="AB17" s="111"/>
      <c r="AC17" s="112" t="str">
        <f t="shared" si="3"/>
        <v/>
      </c>
      <c r="AD17" s="113">
        <f t="shared" si="13"/>
        <v>785.625</v>
      </c>
      <c r="AE17" s="114">
        <v>0.8</v>
      </c>
      <c r="AF17" s="113">
        <f t="shared" si="12"/>
        <v>19.8</v>
      </c>
      <c r="AG17" s="118"/>
      <c r="AH17" s="86">
        <f t="shared" si="4"/>
        <v>786.72500000000002</v>
      </c>
      <c r="AI17" s="86">
        <f t="shared" si="5"/>
        <v>790.11400000000003</v>
      </c>
      <c r="AJ17" s="86" t="str">
        <f t="shared" si="6"/>
        <v>NAOI</v>
      </c>
      <c r="AK17" s="93">
        <f t="shared" si="7"/>
        <v>786.72500000000002</v>
      </c>
      <c r="AL17" s="86" t="str">
        <f t="shared" si="8"/>
        <v/>
      </c>
      <c r="AM17" s="93" t="str">
        <f t="shared" si="9"/>
        <v/>
      </c>
      <c r="AN17" s="86" t="str">
        <f t="shared" si="10"/>
        <v/>
      </c>
      <c r="AO17" s="86" t="str">
        <f t="shared" si="11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20.5</v>
      </c>
      <c r="B18" s="95">
        <f t="shared" si="1"/>
        <v>785.32500000000005</v>
      </c>
      <c r="C18" s="96" t="str">
        <f t="shared" si="2"/>
        <v/>
      </c>
      <c r="D18" s="184"/>
      <c r="E18" s="117">
        <v>0.65</v>
      </c>
      <c r="X18" s="107"/>
      <c r="Y18" s="108"/>
      <c r="Z18" s="109"/>
      <c r="AA18" s="110">
        <v>1.4</v>
      </c>
      <c r="AB18" s="111"/>
      <c r="AC18" s="112" t="str">
        <f t="shared" si="3"/>
        <v/>
      </c>
      <c r="AD18" s="113">
        <f t="shared" si="13"/>
        <v>785.32500000000005</v>
      </c>
      <c r="AE18" s="114">
        <v>0.7</v>
      </c>
      <c r="AF18" s="113">
        <f t="shared" si="12"/>
        <v>20.5</v>
      </c>
      <c r="AG18" s="118"/>
      <c r="AH18" s="86">
        <f t="shared" si="4"/>
        <v>786.72500000000002</v>
      </c>
      <c r="AI18" s="86">
        <f t="shared" si="5"/>
        <v>790.11400000000003</v>
      </c>
      <c r="AJ18" s="86" t="str">
        <f t="shared" si="6"/>
        <v>NAOI</v>
      </c>
      <c r="AK18" s="93">
        <f t="shared" si="7"/>
        <v>786.72500000000002</v>
      </c>
      <c r="AL18" s="86" t="str">
        <f t="shared" si="8"/>
        <v/>
      </c>
      <c r="AM18" s="93" t="str">
        <f t="shared" si="9"/>
        <v/>
      </c>
      <c r="AN18" s="86" t="str">
        <f t="shared" si="10"/>
        <v/>
      </c>
      <c r="AO18" s="86" t="str">
        <f t="shared" si="11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21</v>
      </c>
      <c r="B19" s="95">
        <f t="shared" si="1"/>
        <v>785.11500000000001</v>
      </c>
      <c r="C19" s="96" t="str">
        <f t="shared" si="2"/>
        <v/>
      </c>
      <c r="D19" s="184"/>
      <c r="E19" s="117">
        <v>0.85</v>
      </c>
      <c r="X19" s="107"/>
      <c r="Y19" s="108"/>
      <c r="Z19" s="109"/>
      <c r="AA19" s="110">
        <v>1.61</v>
      </c>
      <c r="AB19" s="111"/>
      <c r="AC19" s="112" t="str">
        <f t="shared" si="3"/>
        <v/>
      </c>
      <c r="AD19" s="113">
        <f t="shared" si="13"/>
        <v>785.11500000000001</v>
      </c>
      <c r="AE19" s="114">
        <v>0.5</v>
      </c>
      <c r="AF19" s="113">
        <f t="shared" si="12"/>
        <v>21</v>
      </c>
      <c r="AG19" s="118"/>
      <c r="AH19" s="86">
        <f t="shared" si="4"/>
        <v>786.72500000000002</v>
      </c>
      <c r="AI19" s="86">
        <f t="shared" si="5"/>
        <v>790.11400000000003</v>
      </c>
      <c r="AJ19" s="86" t="str">
        <f t="shared" si="6"/>
        <v>NAOI</v>
      </c>
      <c r="AK19" s="93">
        <f t="shared" si="7"/>
        <v>786.72500000000002</v>
      </c>
      <c r="AL19" s="86" t="str">
        <f t="shared" si="8"/>
        <v/>
      </c>
      <c r="AM19" s="93" t="str">
        <f t="shared" si="9"/>
        <v/>
      </c>
      <c r="AN19" s="86" t="str">
        <f t="shared" si="10"/>
        <v/>
      </c>
      <c r="AO19" s="86" t="str">
        <f t="shared" si="11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21.5</v>
      </c>
      <c r="B20" s="95">
        <f t="shared" si="1"/>
        <v>785.03499999999997</v>
      </c>
      <c r="C20" s="96" t="str">
        <f t="shared" si="2"/>
        <v/>
      </c>
      <c r="D20" s="184"/>
      <c r="E20" s="117">
        <v>1.3</v>
      </c>
      <c r="X20" s="107"/>
      <c r="Y20" s="108"/>
      <c r="Z20" s="109"/>
      <c r="AA20" s="110">
        <v>1.69</v>
      </c>
      <c r="AB20" s="111"/>
      <c r="AC20" s="112" t="str">
        <f t="shared" si="3"/>
        <v/>
      </c>
      <c r="AD20" s="113">
        <f t="shared" si="13"/>
        <v>785.03499999999997</v>
      </c>
      <c r="AE20" s="114">
        <v>0.5</v>
      </c>
      <c r="AF20" s="113">
        <f t="shared" si="12"/>
        <v>21.5</v>
      </c>
      <c r="AG20" s="118"/>
      <c r="AH20" s="86">
        <f t="shared" si="4"/>
        <v>786.72500000000002</v>
      </c>
      <c r="AI20" s="86">
        <f t="shared" si="5"/>
        <v>790.11400000000003</v>
      </c>
      <c r="AJ20" s="86" t="str">
        <f t="shared" si="6"/>
        <v>NAOI</v>
      </c>
      <c r="AK20" s="93">
        <f t="shared" si="7"/>
        <v>786.72500000000002</v>
      </c>
      <c r="AL20" s="86" t="str">
        <f t="shared" si="8"/>
        <v/>
      </c>
      <c r="AM20" s="93" t="str">
        <f t="shared" si="9"/>
        <v/>
      </c>
      <c r="AN20" s="86" t="str">
        <f t="shared" si="10"/>
        <v/>
      </c>
      <c r="AO20" s="86" t="str">
        <f t="shared" si="11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22</v>
      </c>
      <c r="B21" s="95">
        <f t="shared" si="1"/>
        <v>784.85500000000002</v>
      </c>
      <c r="C21" s="96" t="str">
        <f t="shared" si="2"/>
        <v/>
      </c>
      <c r="D21" s="184"/>
      <c r="E21" s="117">
        <v>1.55</v>
      </c>
      <c r="X21" s="107"/>
      <c r="Y21" s="108"/>
      <c r="Z21" s="109"/>
      <c r="AA21" s="110">
        <v>1.87</v>
      </c>
      <c r="AB21" s="111"/>
      <c r="AC21" s="112" t="str">
        <f t="shared" si="3"/>
        <v/>
      </c>
      <c r="AD21" s="113">
        <f t="shared" si="13"/>
        <v>784.85500000000002</v>
      </c>
      <c r="AE21" s="114">
        <v>0.5</v>
      </c>
      <c r="AF21" s="113">
        <f t="shared" si="12"/>
        <v>22</v>
      </c>
      <c r="AG21" s="118"/>
      <c r="AH21" s="86">
        <f t="shared" si="4"/>
        <v>786.72500000000002</v>
      </c>
      <c r="AI21" s="86">
        <f t="shared" si="5"/>
        <v>790.11400000000003</v>
      </c>
      <c r="AJ21" s="86" t="str">
        <f t="shared" si="6"/>
        <v>NAOI</v>
      </c>
      <c r="AK21" s="93">
        <f t="shared" si="7"/>
        <v>786.72500000000002</v>
      </c>
      <c r="AL21" s="86" t="str">
        <f t="shared" si="8"/>
        <v/>
      </c>
      <c r="AM21" s="93" t="str">
        <f t="shared" si="9"/>
        <v/>
      </c>
      <c r="AN21" s="86" t="str">
        <f t="shared" si="10"/>
        <v/>
      </c>
      <c r="AO21" s="86" t="str">
        <f t="shared" si="11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22.5</v>
      </c>
      <c r="B22" s="95">
        <f t="shared" si="1"/>
        <v>784.94500000000005</v>
      </c>
      <c r="C22" s="96" t="str">
        <f t="shared" si="2"/>
        <v/>
      </c>
      <c r="D22" s="184"/>
      <c r="E22" s="117">
        <v>1.8</v>
      </c>
      <c r="X22" s="107"/>
      <c r="Y22" s="108"/>
      <c r="Z22" s="109"/>
      <c r="AA22" s="110">
        <v>1.78</v>
      </c>
      <c r="AB22" s="111"/>
      <c r="AC22" s="112" t="str">
        <f t="shared" si="3"/>
        <v/>
      </c>
      <c r="AD22" s="113">
        <f t="shared" si="13"/>
        <v>784.94500000000005</v>
      </c>
      <c r="AE22" s="114">
        <v>0.5</v>
      </c>
      <c r="AF22" s="113">
        <f t="shared" si="12"/>
        <v>22.5</v>
      </c>
      <c r="AG22" s="118"/>
      <c r="AH22" s="86">
        <f t="shared" si="4"/>
        <v>786.72500000000002</v>
      </c>
      <c r="AI22" s="86">
        <f t="shared" si="5"/>
        <v>790.11400000000003</v>
      </c>
      <c r="AJ22" s="86" t="str">
        <f t="shared" si="6"/>
        <v>NAOI</v>
      </c>
      <c r="AK22" s="93">
        <f t="shared" si="7"/>
        <v>786.72500000000002</v>
      </c>
      <c r="AL22" s="86" t="str">
        <f t="shared" si="8"/>
        <v/>
      </c>
      <c r="AM22" s="93" t="str">
        <f t="shared" si="9"/>
        <v/>
      </c>
      <c r="AN22" s="86" t="str">
        <f t="shared" si="10"/>
        <v/>
      </c>
      <c r="AO22" s="86" t="str">
        <f t="shared" si="11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23</v>
      </c>
      <c r="B23" s="95">
        <f t="shared" si="1"/>
        <v>784.83500000000004</v>
      </c>
      <c r="C23" s="96" t="str">
        <f t="shared" si="2"/>
        <v/>
      </c>
      <c r="D23" s="184"/>
      <c r="E23" s="117">
        <v>1.93</v>
      </c>
      <c r="X23" s="107"/>
      <c r="Y23" s="108"/>
      <c r="Z23" s="109"/>
      <c r="AA23" s="110">
        <v>1.89</v>
      </c>
      <c r="AB23" s="111"/>
      <c r="AC23" s="112" t="str">
        <f t="shared" si="3"/>
        <v/>
      </c>
      <c r="AD23" s="113">
        <f t="shared" si="13"/>
        <v>784.83500000000004</v>
      </c>
      <c r="AE23" s="114">
        <v>0.5</v>
      </c>
      <c r="AF23" s="113">
        <f t="shared" si="12"/>
        <v>23</v>
      </c>
      <c r="AG23" s="118"/>
      <c r="AH23" s="86">
        <f t="shared" si="4"/>
        <v>786.72500000000002</v>
      </c>
      <c r="AI23" s="86">
        <f t="shared" si="5"/>
        <v>790.11400000000003</v>
      </c>
      <c r="AJ23" s="86" t="str">
        <f t="shared" si="6"/>
        <v>NAOI</v>
      </c>
      <c r="AK23" s="93">
        <f t="shared" si="7"/>
        <v>786.72500000000002</v>
      </c>
      <c r="AL23" s="86" t="str">
        <f t="shared" si="8"/>
        <v/>
      </c>
      <c r="AM23" s="93" t="str">
        <f t="shared" si="9"/>
        <v/>
      </c>
      <c r="AN23" s="86" t="str">
        <f t="shared" si="10"/>
        <v/>
      </c>
      <c r="AO23" s="86" t="str">
        <f t="shared" si="11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23.5</v>
      </c>
      <c r="B24" s="95">
        <f t="shared" si="1"/>
        <v>784.86500000000001</v>
      </c>
      <c r="C24" s="96" t="str">
        <f t="shared" si="2"/>
        <v/>
      </c>
      <c r="D24" s="184"/>
      <c r="E24" s="117">
        <v>1.75</v>
      </c>
      <c r="X24" s="107"/>
      <c r="Y24" s="108"/>
      <c r="Z24" s="109"/>
      <c r="AA24" s="110">
        <v>1.86</v>
      </c>
      <c r="AB24" s="111"/>
      <c r="AC24" s="112" t="str">
        <f t="shared" si="3"/>
        <v/>
      </c>
      <c r="AD24" s="113">
        <f t="shared" si="13"/>
        <v>784.86500000000001</v>
      </c>
      <c r="AE24" s="114">
        <v>0.5</v>
      </c>
      <c r="AF24" s="113">
        <f t="shared" si="12"/>
        <v>23.5</v>
      </c>
      <c r="AG24" s="118"/>
      <c r="AH24" s="86">
        <f t="shared" si="4"/>
        <v>786.72500000000002</v>
      </c>
      <c r="AI24" s="86">
        <f t="shared" si="5"/>
        <v>790.11400000000003</v>
      </c>
      <c r="AJ24" s="86" t="str">
        <f t="shared" si="6"/>
        <v>NAOI</v>
      </c>
      <c r="AK24" s="93">
        <f t="shared" si="7"/>
        <v>786.72500000000002</v>
      </c>
      <c r="AL24" s="86" t="str">
        <f t="shared" si="8"/>
        <v/>
      </c>
      <c r="AM24" s="93" t="str">
        <f t="shared" si="9"/>
        <v/>
      </c>
      <c r="AN24" s="86" t="str">
        <f t="shared" si="10"/>
        <v/>
      </c>
      <c r="AO24" s="86" t="str">
        <f t="shared" si="11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24</v>
      </c>
      <c r="B25" s="95">
        <f t="shared" si="1"/>
        <v>784.83600000000001</v>
      </c>
      <c r="C25" s="96" t="str">
        <f t="shared" si="2"/>
        <v/>
      </c>
      <c r="D25" s="184"/>
      <c r="E25" s="117">
        <v>1.77</v>
      </c>
      <c r="X25" s="107"/>
      <c r="Y25" s="108"/>
      <c r="Z25" s="109"/>
      <c r="AA25" s="110">
        <v>1.889</v>
      </c>
      <c r="AB25" s="111"/>
      <c r="AC25" s="112" t="str">
        <f t="shared" si="3"/>
        <v/>
      </c>
      <c r="AD25" s="113">
        <f t="shared" si="13"/>
        <v>784.83600000000001</v>
      </c>
      <c r="AE25" s="114">
        <v>0.5</v>
      </c>
      <c r="AF25" s="113">
        <f t="shared" si="12"/>
        <v>24</v>
      </c>
      <c r="AG25" s="118"/>
      <c r="AH25" s="86">
        <f t="shared" si="4"/>
        <v>786.72500000000002</v>
      </c>
      <c r="AI25" s="86">
        <f t="shared" si="5"/>
        <v>790.11400000000003</v>
      </c>
      <c r="AJ25" s="86" t="str">
        <f t="shared" si="6"/>
        <v>NAOI</v>
      </c>
      <c r="AK25" s="93">
        <f t="shared" si="7"/>
        <v>786.72500000000002</v>
      </c>
      <c r="AL25" s="86" t="str">
        <f t="shared" si="8"/>
        <v/>
      </c>
      <c r="AM25" s="93" t="str">
        <f t="shared" si="9"/>
        <v/>
      </c>
      <c r="AN25" s="86" t="str">
        <f t="shared" si="10"/>
        <v/>
      </c>
      <c r="AO25" s="86" t="str">
        <f t="shared" si="11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24.5</v>
      </c>
      <c r="B26" s="95">
        <f t="shared" si="1"/>
        <v>784.76499999999999</v>
      </c>
      <c r="C26" s="96" t="str">
        <f t="shared" si="2"/>
        <v/>
      </c>
      <c r="D26" s="184"/>
      <c r="E26" s="117">
        <v>1.7</v>
      </c>
      <c r="X26" s="107"/>
      <c r="Y26" s="108"/>
      <c r="Z26" s="109"/>
      <c r="AA26" s="110">
        <v>1.96</v>
      </c>
      <c r="AB26" s="111"/>
      <c r="AC26" s="112" t="str">
        <f t="shared" si="3"/>
        <v/>
      </c>
      <c r="AD26" s="113">
        <f t="shared" si="13"/>
        <v>784.76499999999999</v>
      </c>
      <c r="AE26" s="114">
        <v>0.5</v>
      </c>
      <c r="AF26" s="113">
        <f t="shared" si="12"/>
        <v>24.5</v>
      </c>
      <c r="AG26" s="115"/>
      <c r="AH26" s="86">
        <f t="shared" si="4"/>
        <v>786.72500000000002</v>
      </c>
      <c r="AI26" s="86">
        <f t="shared" si="5"/>
        <v>790.11400000000003</v>
      </c>
      <c r="AJ26" s="86" t="str">
        <f t="shared" si="6"/>
        <v>NAOI</v>
      </c>
      <c r="AK26" s="93">
        <f t="shared" si="7"/>
        <v>786.72500000000002</v>
      </c>
      <c r="AL26" s="86" t="str">
        <f t="shared" si="8"/>
        <v/>
      </c>
      <c r="AM26" s="93" t="str">
        <f t="shared" si="9"/>
        <v/>
      </c>
      <c r="AN26" s="86" t="str">
        <f t="shared" si="10"/>
        <v/>
      </c>
      <c r="AO26" s="86" t="str">
        <f t="shared" si="11"/>
        <v/>
      </c>
      <c r="AP26" s="86">
        <f t="shared" si="14"/>
        <v>0</v>
      </c>
    </row>
    <row r="27" spans="1:42" ht="15.75" x14ac:dyDescent="0.25">
      <c r="A27" s="94">
        <f t="shared" si="0"/>
        <v>25</v>
      </c>
      <c r="B27" s="95">
        <f t="shared" si="1"/>
        <v>784.70500000000004</v>
      </c>
      <c r="C27" s="96" t="str">
        <f t="shared" si="2"/>
        <v/>
      </c>
      <c r="D27" s="184"/>
      <c r="E27" s="117">
        <v>1.7</v>
      </c>
      <c r="X27" s="107"/>
      <c r="Y27" s="108"/>
      <c r="Z27" s="109"/>
      <c r="AA27" s="110">
        <v>2.02</v>
      </c>
      <c r="AB27" s="111"/>
      <c r="AC27" s="112" t="str">
        <f t="shared" si="3"/>
        <v/>
      </c>
      <c r="AD27" s="113">
        <f t="shared" si="13"/>
        <v>784.70500000000004</v>
      </c>
      <c r="AE27" s="114">
        <v>0.5</v>
      </c>
      <c r="AF27" s="113">
        <f t="shared" si="12"/>
        <v>25</v>
      </c>
      <c r="AG27" s="115"/>
      <c r="AH27" s="86">
        <f t="shared" si="4"/>
        <v>786.72500000000002</v>
      </c>
      <c r="AI27" s="86">
        <f t="shared" si="5"/>
        <v>790.11400000000003</v>
      </c>
      <c r="AJ27" s="86" t="str">
        <f t="shared" si="6"/>
        <v>NAOI</v>
      </c>
      <c r="AK27" s="93">
        <f t="shared" si="7"/>
        <v>786.72500000000002</v>
      </c>
      <c r="AL27" s="86" t="str">
        <f t="shared" si="8"/>
        <v/>
      </c>
      <c r="AM27" s="93" t="str">
        <f t="shared" si="9"/>
        <v/>
      </c>
      <c r="AN27" s="86" t="str">
        <f t="shared" si="10"/>
        <v/>
      </c>
      <c r="AO27" s="86" t="str">
        <f t="shared" si="11"/>
        <v/>
      </c>
      <c r="AP27" s="86">
        <f t="shared" si="14"/>
        <v>0</v>
      </c>
    </row>
    <row r="28" spans="1:42" ht="15.75" x14ac:dyDescent="0.25">
      <c r="A28" s="94">
        <f t="shared" si="0"/>
        <v>25.5</v>
      </c>
      <c r="B28" s="95">
        <f t="shared" si="1"/>
        <v>784.71500000000003</v>
      </c>
      <c r="C28" s="96" t="str">
        <f t="shared" si="2"/>
        <v/>
      </c>
      <c r="D28" s="184"/>
      <c r="E28" s="117">
        <v>1.35</v>
      </c>
      <c r="X28" s="107"/>
      <c r="Y28" s="108"/>
      <c r="Z28" s="109"/>
      <c r="AA28" s="110">
        <v>2.0099999999999998</v>
      </c>
      <c r="AB28" s="111"/>
      <c r="AC28" s="112" t="str">
        <f t="shared" si="3"/>
        <v/>
      </c>
      <c r="AD28" s="113">
        <f t="shared" si="13"/>
        <v>784.71500000000003</v>
      </c>
      <c r="AE28" s="114">
        <v>0.5</v>
      </c>
      <c r="AF28" s="113">
        <f t="shared" si="12"/>
        <v>25.5</v>
      </c>
      <c r="AG28" s="115"/>
      <c r="AH28" s="86">
        <f t="shared" si="4"/>
        <v>786.72500000000002</v>
      </c>
      <c r="AI28" s="86">
        <f t="shared" si="5"/>
        <v>790.11400000000003</v>
      </c>
      <c r="AJ28" s="86" t="str">
        <f t="shared" si="6"/>
        <v>NAOI</v>
      </c>
      <c r="AK28" s="93">
        <f t="shared" si="7"/>
        <v>786.72500000000002</v>
      </c>
      <c r="AL28" s="86" t="str">
        <f t="shared" si="8"/>
        <v/>
      </c>
      <c r="AM28" s="93" t="str">
        <f t="shared" si="9"/>
        <v/>
      </c>
      <c r="AN28" s="86" t="str">
        <f t="shared" si="10"/>
        <v/>
      </c>
      <c r="AO28" s="86" t="str">
        <f t="shared" si="11"/>
        <v/>
      </c>
      <c r="AP28" s="86">
        <f t="shared" si="14"/>
        <v>0</v>
      </c>
    </row>
    <row r="29" spans="1:42" ht="15.75" x14ac:dyDescent="0.25">
      <c r="A29" s="94">
        <f t="shared" si="0"/>
        <v>26</v>
      </c>
      <c r="B29" s="95">
        <f t="shared" si="1"/>
        <v>784.72500000000002</v>
      </c>
      <c r="C29" s="96" t="str">
        <f t="shared" si="2"/>
        <v/>
      </c>
      <c r="D29" s="184"/>
      <c r="E29" s="117">
        <v>1.2</v>
      </c>
      <c r="X29" s="107"/>
      <c r="Y29" s="108"/>
      <c r="Z29" s="109"/>
      <c r="AA29" s="110">
        <v>2</v>
      </c>
      <c r="AB29" s="111"/>
      <c r="AC29" s="112" t="str">
        <f t="shared" si="3"/>
        <v/>
      </c>
      <c r="AD29" s="113">
        <f t="shared" si="13"/>
        <v>784.72500000000002</v>
      </c>
      <c r="AE29" s="114">
        <v>0.5</v>
      </c>
      <c r="AF29" s="113">
        <f t="shared" si="12"/>
        <v>26</v>
      </c>
      <c r="AG29" s="116"/>
      <c r="AH29" s="86">
        <f t="shared" si="4"/>
        <v>786.72500000000002</v>
      </c>
      <c r="AI29" s="86">
        <f t="shared" si="5"/>
        <v>790.11400000000003</v>
      </c>
      <c r="AJ29" s="86" t="str">
        <f t="shared" si="6"/>
        <v>NAOI</v>
      </c>
      <c r="AK29" s="93">
        <f t="shared" si="7"/>
        <v>786.72500000000002</v>
      </c>
      <c r="AL29" s="86" t="str">
        <f t="shared" si="8"/>
        <v/>
      </c>
      <c r="AM29" s="93" t="str">
        <f t="shared" si="9"/>
        <v/>
      </c>
      <c r="AN29" s="86" t="str">
        <f t="shared" si="10"/>
        <v/>
      </c>
      <c r="AO29" s="86" t="str">
        <f t="shared" si="11"/>
        <v/>
      </c>
      <c r="AP29" s="86">
        <f t="shared" si="14"/>
        <v>0</v>
      </c>
    </row>
    <row r="30" spans="1:42" ht="15.75" x14ac:dyDescent="0.25">
      <c r="A30" s="94">
        <f t="shared" si="0"/>
        <v>26.5</v>
      </c>
      <c r="B30" s="95">
        <f t="shared" si="1"/>
        <v>784.69500000000005</v>
      </c>
      <c r="C30" s="96" t="str">
        <f t="shared" si="2"/>
        <v/>
      </c>
      <c r="D30" s="184"/>
      <c r="E30" s="117">
        <v>0.8</v>
      </c>
      <c r="X30" s="107"/>
      <c r="Y30" s="108"/>
      <c r="Z30" s="109"/>
      <c r="AA30" s="110">
        <v>2.0299999999999998</v>
      </c>
      <c r="AB30" s="111"/>
      <c r="AC30" s="112" t="str">
        <f t="shared" si="3"/>
        <v/>
      </c>
      <c r="AD30" s="113">
        <f t="shared" si="13"/>
        <v>784.69500000000005</v>
      </c>
      <c r="AE30" s="114">
        <v>0.5</v>
      </c>
      <c r="AF30" s="113">
        <f t="shared" si="12"/>
        <v>26.5</v>
      </c>
      <c r="AG30" s="115"/>
      <c r="AH30" s="86">
        <f t="shared" si="4"/>
        <v>786.72500000000002</v>
      </c>
      <c r="AI30" s="86">
        <f t="shared" si="5"/>
        <v>790.11400000000003</v>
      </c>
      <c r="AJ30" s="86" t="str">
        <f t="shared" si="6"/>
        <v>NAOI</v>
      </c>
      <c r="AK30" s="93">
        <f t="shared" si="7"/>
        <v>786.72500000000002</v>
      </c>
      <c r="AL30" s="86" t="str">
        <f t="shared" si="8"/>
        <v/>
      </c>
      <c r="AM30" s="93" t="str">
        <f t="shared" si="9"/>
        <v/>
      </c>
      <c r="AN30" s="86" t="str">
        <f t="shared" si="10"/>
        <v/>
      </c>
      <c r="AO30" s="86" t="str">
        <f t="shared" si="11"/>
        <v/>
      </c>
      <c r="AP30" s="86">
        <f t="shared" si="14"/>
        <v>0</v>
      </c>
    </row>
    <row r="31" spans="1:42" ht="15.75" x14ac:dyDescent="0.25">
      <c r="A31" s="94">
        <f t="shared" si="0"/>
        <v>27</v>
      </c>
      <c r="B31" s="95">
        <f t="shared" si="1"/>
        <v>784.70500000000004</v>
      </c>
      <c r="C31" s="96" t="str">
        <f t="shared" si="2"/>
        <v/>
      </c>
      <c r="D31" s="184"/>
      <c r="E31" s="117">
        <v>0.55000000000000004</v>
      </c>
      <c r="X31" s="107"/>
      <c r="Y31" s="108"/>
      <c r="Z31" s="109"/>
      <c r="AA31" s="110">
        <v>2.02</v>
      </c>
      <c r="AB31" s="111"/>
      <c r="AC31" s="112" t="str">
        <f t="shared" si="3"/>
        <v/>
      </c>
      <c r="AD31" s="113">
        <f t="shared" si="13"/>
        <v>784.70500000000004</v>
      </c>
      <c r="AE31" s="114">
        <v>0.5</v>
      </c>
      <c r="AF31" s="113">
        <f t="shared" si="12"/>
        <v>27</v>
      </c>
      <c r="AG31" s="118"/>
      <c r="AH31" s="86">
        <f t="shared" si="4"/>
        <v>790.11400000000003</v>
      </c>
      <c r="AI31" s="86">
        <f t="shared" si="5"/>
        <v>790.11400000000003</v>
      </c>
      <c r="AJ31" s="86" t="str">
        <f t="shared" si="6"/>
        <v>NAOI</v>
      </c>
      <c r="AK31" s="93">
        <f t="shared" si="7"/>
        <v>786.72500000000002</v>
      </c>
      <c r="AL31" s="86" t="str">
        <f t="shared" si="8"/>
        <v/>
      </c>
      <c r="AM31" s="93" t="str">
        <f t="shared" si="9"/>
        <v/>
      </c>
      <c r="AN31" s="86" t="str">
        <f t="shared" si="10"/>
        <v/>
      </c>
      <c r="AO31" s="86" t="str">
        <f t="shared" si="11"/>
        <v/>
      </c>
      <c r="AP31" s="86">
        <f t="shared" si="14"/>
        <v>0</v>
      </c>
    </row>
    <row r="32" spans="1:42" ht="15.75" x14ac:dyDescent="0.25">
      <c r="A32" s="94">
        <f t="shared" si="0"/>
        <v>27</v>
      </c>
      <c r="B32" s="95">
        <f t="shared" si="1"/>
        <v>786.72500000000002</v>
      </c>
      <c r="C32" s="96" t="str">
        <f t="shared" si="2"/>
        <v>NAOD</v>
      </c>
      <c r="D32" s="184"/>
      <c r="E32" s="117">
        <v>0.35</v>
      </c>
      <c r="X32" s="107"/>
      <c r="Y32" s="108"/>
      <c r="Z32" s="109"/>
      <c r="AA32" s="110">
        <v>3.3889999999999998</v>
      </c>
      <c r="AB32" s="111"/>
      <c r="AC32" s="112" t="s">
        <v>87</v>
      </c>
      <c r="AD32" s="113">
        <v>786.72500000000002</v>
      </c>
      <c r="AE32" s="114">
        <v>0</v>
      </c>
      <c r="AF32" s="113">
        <f t="shared" si="12"/>
        <v>27</v>
      </c>
      <c r="AG32" s="115" t="s">
        <v>10</v>
      </c>
      <c r="AH32" s="86">
        <f t="shared" si="4"/>
        <v>790.11400000000003</v>
      </c>
      <c r="AI32" s="86">
        <f t="shared" si="5"/>
        <v>790.11400000000003</v>
      </c>
      <c r="AJ32" s="86" t="str">
        <f t="shared" si="6"/>
        <v>NAOD</v>
      </c>
      <c r="AK32" s="93">
        <f t="shared" si="7"/>
        <v>786.72500000000002</v>
      </c>
      <c r="AL32" s="86" t="str">
        <f t="shared" si="8"/>
        <v/>
      </c>
      <c r="AM32" s="93" t="str">
        <f t="shared" si="9"/>
        <v/>
      </c>
      <c r="AN32" s="86">
        <f t="shared" si="10"/>
        <v>786.72500000000002</v>
      </c>
      <c r="AO32" s="86">
        <f t="shared" si="11"/>
        <v>27</v>
      </c>
      <c r="AP32" s="86">
        <f t="shared" si="14"/>
        <v>0</v>
      </c>
    </row>
    <row r="33" spans="1:42" ht="15.75" x14ac:dyDescent="0.25">
      <c r="A33" s="94">
        <f t="shared" si="0"/>
        <v>27</v>
      </c>
      <c r="B33" s="95">
        <f t="shared" si="1"/>
        <v>788.20699999999999</v>
      </c>
      <c r="C33" s="96" t="str">
        <f t="shared" si="2"/>
        <v/>
      </c>
      <c r="D33" s="184"/>
      <c r="X33" s="107"/>
      <c r="Y33" s="108"/>
      <c r="Z33" s="109"/>
      <c r="AA33" s="110">
        <v>1.907</v>
      </c>
      <c r="AB33" s="111"/>
      <c r="AC33" s="112" t="s">
        <v>87</v>
      </c>
      <c r="AD33" s="113">
        <v>788.20699999999999</v>
      </c>
      <c r="AE33" s="114">
        <v>0</v>
      </c>
      <c r="AF33" s="113">
        <f t="shared" si="12"/>
        <v>27</v>
      </c>
      <c r="AG33" s="115"/>
      <c r="AH33" s="86">
        <f t="shared" si="4"/>
        <v>790.11400000000003</v>
      </c>
      <c r="AI33" s="86">
        <f t="shared" si="5"/>
        <v>790.11400000000003</v>
      </c>
      <c r="AJ33" s="86" t="str">
        <f t="shared" si="6"/>
        <v>NAOD</v>
      </c>
      <c r="AK33" s="93">
        <f t="shared" si="7"/>
        <v>788.20699999999999</v>
      </c>
      <c r="AL33" s="86" t="str">
        <f t="shared" si="8"/>
        <v/>
      </c>
      <c r="AM33" s="93" t="str">
        <f t="shared" si="9"/>
        <v/>
      </c>
      <c r="AN33" s="86" t="str">
        <f t="shared" si="10"/>
        <v/>
      </c>
      <c r="AO33" s="86" t="str">
        <f t="shared" si="11"/>
        <v/>
      </c>
      <c r="AP33" s="86">
        <f t="shared" si="14"/>
        <v>0</v>
      </c>
    </row>
    <row r="34" spans="1:42" ht="15.75" x14ac:dyDescent="0.25">
      <c r="A34" s="94">
        <f t="shared" si="0"/>
        <v>27</v>
      </c>
      <c r="B34" s="95">
        <f t="shared" si="1"/>
        <v>789.17600000000004</v>
      </c>
      <c r="C34" s="96" t="str">
        <f t="shared" si="2"/>
        <v/>
      </c>
      <c r="D34" s="184"/>
      <c r="X34" s="107" t="s">
        <v>48</v>
      </c>
      <c r="Y34" s="108"/>
      <c r="Z34" s="109">
        <v>3.9209999999999998</v>
      </c>
      <c r="AA34" s="110"/>
      <c r="AB34" s="111">
        <v>0.93799999999999994</v>
      </c>
      <c r="AC34" s="112">
        <v>793.09700000000009</v>
      </c>
      <c r="AD34" s="113">
        <v>789.17600000000004</v>
      </c>
      <c r="AE34" s="114">
        <v>0</v>
      </c>
      <c r="AF34" s="113">
        <f t="shared" si="12"/>
        <v>27</v>
      </c>
      <c r="AG34" s="115"/>
      <c r="AH34" s="86">
        <f t="shared" si="4"/>
        <v>793.09700000000009</v>
      </c>
      <c r="AI34" s="86">
        <f t="shared" si="5"/>
        <v>793.09700000000009</v>
      </c>
      <c r="AJ34" s="86" t="str">
        <f t="shared" si="6"/>
        <v>NAOD</v>
      </c>
      <c r="AK34" s="93">
        <f t="shared" si="7"/>
        <v>789.17600000000004</v>
      </c>
      <c r="AL34" s="86" t="str">
        <f t="shared" si="8"/>
        <v/>
      </c>
      <c r="AM34" s="93" t="str">
        <f t="shared" si="9"/>
        <v/>
      </c>
      <c r="AN34" s="86" t="str">
        <f t="shared" si="10"/>
        <v/>
      </c>
      <c r="AO34" s="86" t="str">
        <f t="shared" si="11"/>
        <v/>
      </c>
      <c r="AP34" s="86">
        <f t="shared" si="14"/>
        <v>0</v>
      </c>
    </row>
    <row r="35" spans="1:42" ht="15.75" x14ac:dyDescent="0.25">
      <c r="A35" s="94">
        <f t="shared" si="0"/>
        <v>28</v>
      </c>
      <c r="B35" s="95">
        <f t="shared" si="1"/>
        <v>790.88000000000011</v>
      </c>
      <c r="C35" s="96" t="str">
        <f t="shared" si="2"/>
        <v/>
      </c>
      <c r="D35" s="184"/>
      <c r="X35" s="107"/>
      <c r="Y35" s="108"/>
      <c r="Z35" s="109"/>
      <c r="AA35" s="110">
        <v>2.2170000000000001</v>
      </c>
      <c r="AB35" s="111"/>
      <c r="AC35" s="112"/>
      <c r="AD35" s="113">
        <v>790.88000000000011</v>
      </c>
      <c r="AE35" s="114">
        <v>1</v>
      </c>
      <c r="AF35" s="113">
        <f t="shared" si="12"/>
        <v>28</v>
      </c>
      <c r="AG35" s="115"/>
      <c r="AH35" s="86">
        <f t="shared" si="4"/>
        <v>793.09700000000009</v>
      </c>
      <c r="AI35" s="86">
        <f t="shared" si="5"/>
        <v>793.09700000000009</v>
      </c>
      <c r="AJ35" s="86" t="str">
        <f t="shared" si="6"/>
        <v>NAOD</v>
      </c>
      <c r="AK35" s="93">
        <f t="shared" si="7"/>
        <v>790.88000000000011</v>
      </c>
      <c r="AL35" s="86" t="str">
        <f t="shared" si="8"/>
        <v/>
      </c>
      <c r="AM35" s="93" t="str">
        <f t="shared" si="9"/>
        <v/>
      </c>
      <c r="AN35" s="86" t="str">
        <f t="shared" si="10"/>
        <v/>
      </c>
      <c r="AO35" s="86" t="str">
        <f t="shared" si="11"/>
        <v/>
      </c>
      <c r="AP35" s="86">
        <f t="shared" si="14"/>
        <v>0</v>
      </c>
    </row>
    <row r="36" spans="1:42" ht="15.75" x14ac:dyDescent="0.25">
      <c r="A36" s="94">
        <f t="shared" si="0"/>
        <v>30</v>
      </c>
      <c r="B36" s="95">
        <f t="shared" si="1"/>
        <v>791.99300000000005</v>
      </c>
      <c r="C36" s="96" t="str">
        <f t="shared" si="2"/>
        <v/>
      </c>
      <c r="D36" s="184"/>
      <c r="X36" s="107"/>
      <c r="Y36" s="108"/>
      <c r="Z36" s="109"/>
      <c r="AA36" s="110">
        <v>1.1040000000000001</v>
      </c>
      <c r="AB36" s="111"/>
      <c r="AC36" s="112"/>
      <c r="AD36" s="113">
        <v>791.99300000000005</v>
      </c>
      <c r="AE36" s="114">
        <v>2</v>
      </c>
      <c r="AF36" s="113">
        <f t="shared" si="12"/>
        <v>30</v>
      </c>
      <c r="AG36" s="115"/>
      <c r="AH36" s="86">
        <f t="shared" si="4"/>
        <v>793.09700000000009</v>
      </c>
      <c r="AI36" s="86">
        <f t="shared" si="5"/>
        <v>793.09700000000009</v>
      </c>
      <c r="AJ36" s="86" t="str">
        <f t="shared" si="6"/>
        <v>NAOD</v>
      </c>
      <c r="AK36" s="93">
        <f t="shared" si="7"/>
        <v>791.99300000000005</v>
      </c>
      <c r="AL36" s="86" t="str">
        <f t="shared" si="8"/>
        <v/>
      </c>
      <c r="AM36" s="93" t="str">
        <f t="shared" si="9"/>
        <v/>
      </c>
      <c r="AN36" s="86" t="str">
        <f t="shared" si="10"/>
        <v/>
      </c>
      <c r="AO36" s="86" t="str">
        <f t="shared" si="11"/>
        <v/>
      </c>
      <c r="AP36" s="86">
        <f t="shared" si="14"/>
        <v>0</v>
      </c>
    </row>
    <row r="37" spans="1:42" ht="15.75" x14ac:dyDescent="0.25">
      <c r="A37" s="94">
        <f t="shared" si="0"/>
        <v>31</v>
      </c>
      <c r="B37" s="95">
        <f t="shared" si="1"/>
        <v>792.53000000000009</v>
      </c>
      <c r="C37" s="96" t="str">
        <f t="shared" si="2"/>
        <v>PRD</v>
      </c>
      <c r="D37" s="184"/>
      <c r="X37" s="107"/>
      <c r="Y37" s="108"/>
      <c r="Z37" s="109"/>
      <c r="AA37" s="110">
        <v>0.56699999999999995</v>
      </c>
      <c r="AB37" s="111"/>
      <c r="AC37" s="112"/>
      <c r="AD37" s="113">
        <v>792.53000000000009</v>
      </c>
      <c r="AE37" s="114">
        <v>1</v>
      </c>
      <c r="AF37" s="113">
        <f t="shared" si="12"/>
        <v>31</v>
      </c>
      <c r="AG37" s="115" t="s">
        <v>5</v>
      </c>
      <c r="AH37" s="86">
        <f t="shared" si="4"/>
        <v>793.09700000000009</v>
      </c>
      <c r="AI37" s="86">
        <f t="shared" si="5"/>
        <v>793.09700000000009</v>
      </c>
      <c r="AJ37" s="86" t="str">
        <f t="shared" si="6"/>
        <v>PRD</v>
      </c>
      <c r="AK37" s="93">
        <f t="shared" si="7"/>
        <v>792.53000000000009</v>
      </c>
      <c r="AL37" s="86" t="str">
        <f t="shared" si="8"/>
        <v/>
      </c>
      <c r="AM37" s="93" t="str">
        <f t="shared" si="9"/>
        <v/>
      </c>
      <c r="AN37" s="86" t="str">
        <f t="shared" si="10"/>
        <v/>
      </c>
      <c r="AO37" s="86" t="str">
        <f t="shared" si="11"/>
        <v/>
      </c>
      <c r="AP37" s="86">
        <f t="shared" si="14"/>
        <v>0</v>
      </c>
    </row>
    <row r="38" spans="1:42" ht="15.75" x14ac:dyDescent="0.25">
      <c r="A38" s="94">
        <f t="shared" si="0"/>
        <v>31</v>
      </c>
      <c r="B38" s="95">
        <f t="shared" si="1"/>
        <v>791.86700000000008</v>
      </c>
      <c r="C38" s="96" t="str">
        <f t="shared" si="2"/>
        <v xml:space="preserve">S/BM </v>
      </c>
      <c r="D38" s="184"/>
      <c r="X38" s="107"/>
      <c r="Y38" s="108"/>
      <c r="Z38" s="109"/>
      <c r="AA38" s="110">
        <v>1.23</v>
      </c>
      <c r="AB38" s="111"/>
      <c r="AC38" s="112"/>
      <c r="AD38" s="113">
        <v>791.86700000000008</v>
      </c>
      <c r="AE38" s="114">
        <v>0</v>
      </c>
      <c r="AF38" s="113">
        <f t="shared" si="12"/>
        <v>31</v>
      </c>
      <c r="AG38" s="115" t="s">
        <v>46</v>
      </c>
      <c r="AH38" s="86">
        <f t="shared" si="4"/>
        <v>793.09700000000009</v>
      </c>
      <c r="AI38" s="86">
        <f t="shared" si="5"/>
        <v>793.09700000000009</v>
      </c>
      <c r="AJ38" s="86" t="str">
        <f t="shared" si="6"/>
        <v xml:space="preserve">S/BM </v>
      </c>
      <c r="AK38" s="93">
        <f t="shared" si="7"/>
        <v>791.86700000000008</v>
      </c>
      <c r="AL38" s="86" t="str">
        <f t="shared" si="8"/>
        <v/>
      </c>
      <c r="AM38" s="93" t="str">
        <f t="shared" si="9"/>
        <v/>
      </c>
      <c r="AN38" s="86" t="str">
        <f t="shared" si="10"/>
        <v/>
      </c>
      <c r="AO38" s="86" t="str">
        <f t="shared" si="11"/>
        <v/>
      </c>
      <c r="AP38" s="86">
        <f t="shared" si="14"/>
        <v>0</v>
      </c>
    </row>
    <row r="39" spans="1:42" ht="15.75" x14ac:dyDescent="0.25">
      <c r="A39" s="94"/>
      <c r="B39" s="95"/>
      <c r="C39" s="96" t="str">
        <f t="shared" si="2"/>
        <v/>
      </c>
      <c r="D39" s="184"/>
      <c r="X39" s="107"/>
      <c r="Y39" s="108"/>
      <c r="Z39" s="109"/>
      <c r="AA39" s="110"/>
      <c r="AB39" s="111"/>
      <c r="AC39" s="112"/>
      <c r="AD39" s="113"/>
      <c r="AE39" s="114"/>
      <c r="AF39" s="113"/>
      <c r="AG39" s="115"/>
      <c r="AH39" s="86">
        <f t="shared" si="4"/>
        <v>0</v>
      </c>
      <c r="AI39" s="86">
        <f t="shared" si="5"/>
        <v>0</v>
      </c>
      <c r="AJ39" s="86" t="str">
        <f t="shared" si="6"/>
        <v xml:space="preserve">S/BM </v>
      </c>
      <c r="AK39" s="93">
        <f t="shared" si="7"/>
        <v>0</v>
      </c>
      <c r="AL39" s="86" t="str">
        <f t="shared" si="8"/>
        <v/>
      </c>
      <c r="AM39" s="93" t="str">
        <f t="shared" si="9"/>
        <v/>
      </c>
      <c r="AN39" s="86" t="str">
        <f t="shared" si="10"/>
        <v/>
      </c>
      <c r="AO39" s="86" t="str">
        <f t="shared" si="11"/>
        <v/>
      </c>
      <c r="AP39" s="86">
        <f t="shared" si="14"/>
        <v>0</v>
      </c>
    </row>
    <row r="40" spans="1:42" ht="15.75" x14ac:dyDescent="0.25">
      <c r="A40" s="94"/>
      <c r="B40" s="95"/>
      <c r="C40" s="96" t="str">
        <f t="shared" si="2"/>
        <v/>
      </c>
      <c r="D40" s="184"/>
      <c r="X40" s="107"/>
      <c r="Y40" s="108"/>
      <c r="Z40" s="109"/>
      <c r="AA40" s="110"/>
      <c r="AB40" s="111"/>
      <c r="AC40" s="112"/>
      <c r="AD40" s="113"/>
      <c r="AE40" s="114"/>
      <c r="AF40" s="113"/>
      <c r="AG40" s="115"/>
      <c r="AH40" s="86">
        <f t="shared" si="4"/>
        <v>0</v>
      </c>
      <c r="AI40" s="86">
        <f t="shared" si="5"/>
        <v>0</v>
      </c>
      <c r="AJ40" s="86" t="str">
        <f t="shared" si="6"/>
        <v xml:space="preserve">S/BM </v>
      </c>
      <c r="AK40" s="93">
        <f t="shared" si="7"/>
        <v>0</v>
      </c>
      <c r="AL40" s="86" t="str">
        <f t="shared" si="8"/>
        <v/>
      </c>
      <c r="AM40" s="93" t="str">
        <f t="shared" si="9"/>
        <v/>
      </c>
      <c r="AN40" s="86" t="str">
        <f t="shared" si="10"/>
        <v/>
      </c>
      <c r="AO40" s="86" t="str">
        <f t="shared" si="11"/>
        <v/>
      </c>
      <c r="AP40" s="86">
        <f t="shared" si="14"/>
        <v>0</v>
      </c>
    </row>
    <row r="41" spans="1:42" ht="15.75" x14ac:dyDescent="0.25">
      <c r="A41" s="94"/>
      <c r="B41" s="95"/>
      <c r="C41" s="96"/>
      <c r="D41" s="184"/>
      <c r="X41" s="107"/>
      <c r="Y41" s="108"/>
      <c r="Z41" s="109"/>
      <c r="AA41" s="110"/>
      <c r="AB41" s="111"/>
      <c r="AC41" s="112"/>
      <c r="AD41" s="113"/>
      <c r="AE41" s="114"/>
      <c r="AF41" s="113"/>
      <c r="AG41" s="115"/>
      <c r="AH41" s="86">
        <f t="shared" si="4"/>
        <v>0</v>
      </c>
      <c r="AI41" s="86">
        <f t="shared" si="5"/>
        <v>0</v>
      </c>
      <c r="AJ41" s="86" t="str">
        <f t="shared" si="6"/>
        <v xml:space="preserve">S/BM </v>
      </c>
      <c r="AK41" s="93">
        <f t="shared" si="7"/>
        <v>0</v>
      </c>
      <c r="AL41" s="86" t="str">
        <f t="shared" si="8"/>
        <v/>
      </c>
      <c r="AM41" s="93" t="str">
        <f t="shared" si="9"/>
        <v/>
      </c>
      <c r="AN41" s="86" t="str">
        <f t="shared" si="10"/>
        <v/>
      </c>
      <c r="AO41" s="86" t="str">
        <f t="shared" si="11"/>
        <v/>
      </c>
      <c r="AP41" s="86">
        <f t="shared" si="14"/>
        <v>0</v>
      </c>
    </row>
    <row r="42" spans="1:42" ht="15.75" x14ac:dyDescent="0.25">
      <c r="A42" s="94"/>
      <c r="B42" s="95"/>
      <c r="C42" s="96" t="str">
        <f t="shared" ref="C42:C51" si="15"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5"/>
      <c r="AH42" s="86">
        <f t="shared" si="4"/>
        <v>0</v>
      </c>
      <c r="AI42" s="86">
        <f t="shared" si="5"/>
        <v>0</v>
      </c>
      <c r="AJ42" s="86" t="str">
        <f t="shared" si="6"/>
        <v xml:space="preserve">S/BM </v>
      </c>
      <c r="AK42" s="93">
        <f t="shared" si="7"/>
        <v>0</v>
      </c>
      <c r="AL42" s="86" t="str">
        <f t="shared" si="8"/>
        <v/>
      </c>
      <c r="AM42" s="93" t="str">
        <f t="shared" si="9"/>
        <v/>
      </c>
      <c r="AN42" s="86" t="str">
        <f t="shared" si="10"/>
        <v/>
      </c>
      <c r="AO42" s="86" t="str">
        <f t="shared" si="11"/>
        <v/>
      </c>
      <c r="AP42" s="86">
        <f t="shared" si="14"/>
        <v>0</v>
      </c>
    </row>
    <row r="43" spans="1:42" ht="15.75" x14ac:dyDescent="0.25">
      <c r="A43" s="94"/>
      <c r="B43" s="95"/>
      <c r="C43" s="96" t="str">
        <f t="shared" si="1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5"/>
      <c r="AH43" s="86">
        <f t="shared" si="4"/>
        <v>0</v>
      </c>
      <c r="AI43" s="86">
        <f t="shared" si="5"/>
        <v>0</v>
      </c>
      <c r="AJ43" s="86" t="str">
        <f t="shared" si="6"/>
        <v xml:space="preserve">S/BM </v>
      </c>
      <c r="AK43" s="93">
        <f t="shared" si="7"/>
        <v>0</v>
      </c>
      <c r="AL43" s="86" t="str">
        <f t="shared" si="8"/>
        <v/>
      </c>
      <c r="AM43" s="93" t="str">
        <f t="shared" si="9"/>
        <v/>
      </c>
      <c r="AN43" s="86" t="str">
        <f t="shared" si="10"/>
        <v/>
      </c>
      <c r="AO43" s="86" t="str">
        <f t="shared" si="11"/>
        <v/>
      </c>
      <c r="AP43" s="86">
        <f t="shared" si="14"/>
        <v>0</v>
      </c>
    </row>
    <row r="44" spans="1:42" ht="15.75" x14ac:dyDescent="0.25">
      <c r="A44" s="94"/>
      <c r="B44" s="95"/>
      <c r="C44" s="96" t="str">
        <f t="shared" si="1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4"/>
        <v>0</v>
      </c>
      <c r="AI44" s="86">
        <f t="shared" si="5"/>
        <v>0</v>
      </c>
      <c r="AJ44" s="86" t="str">
        <f t="shared" si="6"/>
        <v xml:space="preserve">S/BM </v>
      </c>
      <c r="AK44" s="93">
        <f t="shared" si="7"/>
        <v>0</v>
      </c>
      <c r="AL44" s="86" t="str">
        <f t="shared" si="8"/>
        <v/>
      </c>
      <c r="AM44" s="93" t="str">
        <f t="shared" si="9"/>
        <v/>
      </c>
      <c r="AN44" s="86" t="str">
        <f t="shared" si="10"/>
        <v/>
      </c>
      <c r="AO44" s="86" t="str">
        <f t="shared" si="11"/>
        <v/>
      </c>
      <c r="AP44" s="86">
        <f t="shared" si="14"/>
        <v>0</v>
      </c>
    </row>
    <row r="45" spans="1:42" ht="15.75" x14ac:dyDescent="0.25">
      <c r="A45" s="94"/>
      <c r="B45" s="95"/>
      <c r="C45" s="96" t="str">
        <f t="shared" si="15"/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4"/>
        <v>0</v>
      </c>
      <c r="AI45" s="86">
        <f t="shared" si="5"/>
        <v>0</v>
      </c>
      <c r="AJ45" s="86" t="str">
        <f t="shared" si="6"/>
        <v xml:space="preserve">S/BM </v>
      </c>
      <c r="AK45" s="93">
        <f t="shared" si="7"/>
        <v>0</v>
      </c>
      <c r="AL45" s="86" t="str">
        <f t="shared" si="8"/>
        <v/>
      </c>
      <c r="AM45" s="93" t="str">
        <f t="shared" si="9"/>
        <v/>
      </c>
      <c r="AN45" s="86" t="str">
        <f t="shared" si="10"/>
        <v/>
      </c>
      <c r="AO45" s="86" t="str">
        <f t="shared" si="11"/>
        <v/>
      </c>
      <c r="AP45" s="86">
        <f t="shared" si="14"/>
        <v>0</v>
      </c>
    </row>
    <row r="46" spans="1:42" ht="15.75" x14ac:dyDescent="0.25">
      <c r="A46" s="94"/>
      <c r="B46" s="95"/>
      <c r="C46" s="96" t="str">
        <f t="shared" si="15"/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4"/>
        <v>0</v>
      </c>
      <c r="AI46" s="86">
        <f t="shared" si="5"/>
        <v>0</v>
      </c>
      <c r="AJ46" s="86" t="str">
        <f t="shared" si="6"/>
        <v xml:space="preserve">S/BM </v>
      </c>
      <c r="AK46" s="93">
        <f t="shared" si="7"/>
        <v>0</v>
      </c>
      <c r="AL46" s="86" t="str">
        <f t="shared" si="8"/>
        <v/>
      </c>
      <c r="AM46" s="93" t="str">
        <f t="shared" si="9"/>
        <v/>
      </c>
      <c r="AN46" s="86" t="str">
        <f t="shared" si="10"/>
        <v/>
      </c>
      <c r="AO46" s="86" t="str">
        <f t="shared" si="11"/>
        <v/>
      </c>
      <c r="AP46" s="86">
        <f t="shared" si="14"/>
        <v>0</v>
      </c>
    </row>
    <row r="47" spans="1:42" ht="15.75" x14ac:dyDescent="0.25">
      <c r="A47" s="94"/>
      <c r="B47" s="95"/>
      <c r="C47" s="96" t="str">
        <f t="shared" si="15"/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 t="shared" si="4"/>
        <v>0</v>
      </c>
      <c r="AI47" s="86">
        <f t="shared" si="5"/>
        <v>0</v>
      </c>
      <c r="AJ47" s="86" t="str">
        <f t="shared" si="6"/>
        <v xml:space="preserve">S/BM </v>
      </c>
      <c r="AK47" s="93">
        <f t="shared" si="7"/>
        <v>0</v>
      </c>
      <c r="AL47" s="86" t="str">
        <f t="shared" si="8"/>
        <v/>
      </c>
      <c r="AM47" s="93" t="str">
        <f t="shared" si="9"/>
        <v/>
      </c>
      <c r="AN47" s="86" t="str">
        <f t="shared" si="10"/>
        <v/>
      </c>
      <c r="AO47" s="86" t="str">
        <f t="shared" si="11"/>
        <v/>
      </c>
      <c r="AP47" s="86">
        <f t="shared" si="14"/>
        <v>0</v>
      </c>
    </row>
    <row r="48" spans="1:42" ht="15.75" x14ac:dyDescent="0.25">
      <c r="A48" s="94"/>
      <c r="B48" s="95"/>
      <c r="C48" s="96" t="str">
        <f t="shared" si="15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 t="shared" si="4"/>
        <v>0</v>
      </c>
      <c r="AI48" s="86">
        <f t="shared" si="5"/>
        <v>0</v>
      </c>
      <c r="AJ48" s="86" t="str">
        <f t="shared" si="6"/>
        <v xml:space="preserve">S/BM </v>
      </c>
      <c r="AK48" s="93">
        <f t="shared" si="7"/>
        <v>0</v>
      </c>
      <c r="AL48" s="86" t="str">
        <f t="shared" si="8"/>
        <v/>
      </c>
      <c r="AM48" s="93" t="str">
        <f t="shared" si="9"/>
        <v/>
      </c>
      <c r="AN48" s="86" t="str">
        <f t="shared" si="10"/>
        <v/>
      </c>
      <c r="AO48" s="86" t="str">
        <f t="shared" si="11"/>
        <v/>
      </c>
      <c r="AP48" s="86">
        <f t="shared" si="14"/>
        <v>0</v>
      </c>
    </row>
    <row r="49" spans="1:42" ht="15.75" x14ac:dyDescent="0.25">
      <c r="A49" s="94"/>
      <c r="B49" s="95"/>
      <c r="C49" s="96" t="str">
        <f t="shared" si="15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 t="shared" si="4"/>
        <v>0</v>
      </c>
      <c r="AI49" s="86">
        <f t="shared" si="5"/>
        <v>0</v>
      </c>
      <c r="AJ49" s="86" t="str">
        <f t="shared" si="6"/>
        <v xml:space="preserve">S/BM </v>
      </c>
      <c r="AK49" s="93">
        <f t="shared" si="7"/>
        <v>0</v>
      </c>
      <c r="AL49" s="86" t="str">
        <f t="shared" si="8"/>
        <v/>
      </c>
      <c r="AM49" s="93" t="str">
        <f t="shared" si="9"/>
        <v/>
      </c>
      <c r="AN49" s="86" t="str">
        <f t="shared" si="10"/>
        <v/>
      </c>
      <c r="AO49" s="86" t="str">
        <f t="shared" si="11"/>
        <v/>
      </c>
      <c r="AP49" s="86">
        <f t="shared" si="14"/>
        <v>0</v>
      </c>
    </row>
    <row r="50" spans="1:42" ht="15.75" x14ac:dyDescent="0.25">
      <c r="A50" s="94"/>
      <c r="B50" s="95"/>
      <c r="C50" s="96" t="str">
        <f t="shared" si="15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 t="shared" si="4"/>
        <v>0</v>
      </c>
      <c r="AI50" s="86">
        <f t="shared" si="5"/>
        <v>0</v>
      </c>
      <c r="AJ50" s="86" t="str">
        <f t="shared" si="6"/>
        <v xml:space="preserve">S/BM </v>
      </c>
      <c r="AK50" s="93">
        <f t="shared" si="7"/>
        <v>0</v>
      </c>
      <c r="AL50" s="86" t="str">
        <f t="shared" si="8"/>
        <v/>
      </c>
      <c r="AM50" s="93" t="str">
        <f t="shared" si="9"/>
        <v/>
      </c>
      <c r="AN50" s="86" t="str">
        <f t="shared" si="10"/>
        <v/>
      </c>
      <c r="AO50" s="86" t="str">
        <f t="shared" si="11"/>
        <v/>
      </c>
      <c r="AP50" s="86">
        <f t="shared" si="14"/>
        <v>0</v>
      </c>
    </row>
    <row r="51" spans="1:42" ht="16.5" thickBot="1" x14ac:dyDescent="0.3">
      <c r="A51" s="122"/>
      <c r="B51" s="123"/>
      <c r="C51" s="96" t="str">
        <f t="shared" si="15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 t="shared" si="4"/>
        <v>0</v>
      </c>
      <c r="AI51" s="86">
        <f t="shared" si="5"/>
        <v>0</v>
      </c>
      <c r="AJ51" s="86" t="str">
        <f t="shared" si="6"/>
        <v xml:space="preserve">S/BM </v>
      </c>
      <c r="AK51" s="93">
        <f t="shared" si="7"/>
        <v>0</v>
      </c>
      <c r="AL51" s="86" t="str">
        <f t="shared" si="8"/>
        <v/>
      </c>
      <c r="AM51" s="93" t="str">
        <f t="shared" si="9"/>
        <v/>
      </c>
      <c r="AN51" s="86" t="str">
        <f t="shared" si="10"/>
        <v/>
      </c>
      <c r="AO51" s="86" t="str">
        <f t="shared" si="11"/>
        <v/>
      </c>
      <c r="AP51" s="86">
        <f t="shared" si="14"/>
        <v>0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f>AM4</f>
        <v>12</v>
      </c>
      <c r="B53" s="136">
        <f>AL4</f>
        <v>786.72500000000002</v>
      </c>
      <c r="C53" s="137" t="s">
        <v>9</v>
      </c>
      <c r="D53" s="192" t="s">
        <v>6</v>
      </c>
    </row>
    <row r="54" spans="1:42" ht="20.100000000000001" customHeight="1" x14ac:dyDescent="0.2">
      <c r="A54" s="138">
        <f>AO4</f>
        <v>27</v>
      </c>
      <c r="B54" s="136">
        <f>AN4</f>
        <v>786.72500000000002</v>
      </c>
      <c r="C54" s="139" t="s">
        <v>10</v>
      </c>
      <c r="D54" s="192"/>
    </row>
    <row r="55" spans="1:42" ht="20.100000000000001" customHeight="1" x14ac:dyDescent="0.2">
      <c r="A55" s="140">
        <v>26.5</v>
      </c>
      <c r="B55" s="141">
        <v>786.47299999999996</v>
      </c>
      <c r="C55" s="142" t="s">
        <v>8</v>
      </c>
      <c r="D55" s="192"/>
    </row>
    <row r="56" spans="1:42" ht="20.100000000000001" customHeight="1" x14ac:dyDescent="0.2">
      <c r="A56" s="140">
        <v>26.5</v>
      </c>
      <c r="B56" s="143">
        <f>B55+3</f>
        <v>789.47299999999996</v>
      </c>
      <c r="C56" s="142" t="s">
        <v>8</v>
      </c>
      <c r="D56" s="192"/>
    </row>
    <row r="57" spans="1:42" ht="20.100000000000001" customHeight="1" x14ac:dyDescent="0.2">
      <c r="A57" s="63">
        <v>27</v>
      </c>
      <c r="B57" s="143">
        <v>788.85400000000004</v>
      </c>
      <c r="C57" s="144" t="s">
        <v>2</v>
      </c>
      <c r="D57" s="192"/>
    </row>
    <row r="58" spans="1:42" ht="20.100000000000001" customHeight="1" thickBot="1" x14ac:dyDescent="0.25">
      <c r="A58" s="140">
        <v>27</v>
      </c>
      <c r="B58" s="143">
        <f>B57+1.5</f>
        <v>790.35400000000004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86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786.47299999999996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69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83</v>
      </c>
      <c r="C69" s="193"/>
    </row>
    <row r="70" spans="1:4" ht="14.25" x14ac:dyDescent="0.2">
      <c r="A70" s="157" t="s">
        <v>57</v>
      </c>
      <c r="B70" s="193" t="s">
        <v>84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43893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A1:V1"/>
    <mergeCell ref="X1:AG1"/>
    <mergeCell ref="A2:A4"/>
    <mergeCell ref="B2:B4"/>
    <mergeCell ref="C2:C4"/>
    <mergeCell ref="D2:D52"/>
    <mergeCell ref="X2:AG2"/>
    <mergeCell ref="X3:AG3"/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</mergeCells>
  <conditionalFormatting sqref="AC47:AF47">
    <cfRule type="expression" dxfId="129" priority="65" stopIfTrue="1">
      <formula>$AP$47=1</formula>
    </cfRule>
  </conditionalFormatting>
  <conditionalFormatting sqref="AC46:AF46">
    <cfRule type="expression" dxfId="128" priority="64" stopIfTrue="1">
      <formula>$AP$46</formula>
    </cfRule>
  </conditionalFormatting>
  <conditionalFormatting sqref="AC50:AF50">
    <cfRule type="expression" dxfId="127" priority="63" stopIfTrue="1">
      <formula>$AP$50=1</formula>
    </cfRule>
  </conditionalFormatting>
  <conditionalFormatting sqref="AC51:AF51">
    <cfRule type="expression" dxfId="126" priority="62" stopIfTrue="1">
      <formula>$AP$51=1</formula>
    </cfRule>
  </conditionalFormatting>
  <conditionalFormatting sqref="AC49:AF49">
    <cfRule type="expression" dxfId="125" priority="61" stopIfTrue="1">
      <formula>$AP$49=1</formula>
    </cfRule>
  </conditionalFormatting>
  <conditionalFormatting sqref="AC48:AF48">
    <cfRule type="expression" dxfId="124" priority="60" stopIfTrue="1">
      <formula>$AP$48=1</formula>
    </cfRule>
  </conditionalFormatting>
  <conditionalFormatting sqref="AC45:AF45">
    <cfRule type="expression" dxfId="123" priority="59" stopIfTrue="1">
      <formula>$AP$45=1</formula>
    </cfRule>
  </conditionalFormatting>
  <conditionalFormatting sqref="AC44 AE44">
    <cfRule type="expression" dxfId="122" priority="58" stopIfTrue="1">
      <formula>$AP$44=1</formula>
    </cfRule>
  </conditionalFormatting>
  <conditionalFormatting sqref="AC43 AE43">
    <cfRule type="expression" dxfId="121" priority="57" stopIfTrue="1">
      <formula>$AP$43=1</formula>
    </cfRule>
  </conditionalFormatting>
  <conditionalFormatting sqref="AC42 AE42">
    <cfRule type="expression" dxfId="120" priority="56" stopIfTrue="1">
      <formula>$AP$42=1</formula>
    </cfRule>
  </conditionalFormatting>
  <conditionalFormatting sqref="AC41 AE41">
    <cfRule type="expression" dxfId="119" priority="55" stopIfTrue="1">
      <formula>$AP$41=1</formula>
    </cfRule>
  </conditionalFormatting>
  <conditionalFormatting sqref="AE40">
    <cfRule type="expression" dxfId="118" priority="54" stopIfTrue="1">
      <formula>$AP$40=1</formula>
    </cfRule>
  </conditionalFormatting>
  <conditionalFormatting sqref="AE39">
    <cfRule type="expression" dxfId="117" priority="53" stopIfTrue="1">
      <formula>$AP$39=1</formula>
    </cfRule>
  </conditionalFormatting>
  <conditionalFormatting sqref="AE38">
    <cfRule type="expression" dxfId="116" priority="52" stopIfTrue="1">
      <formula>$AP$38=1</formula>
    </cfRule>
  </conditionalFormatting>
  <conditionalFormatting sqref="AC30:AD30">
    <cfRule type="expression" dxfId="115" priority="51" stopIfTrue="1">
      <formula>$AP$30</formula>
    </cfRule>
  </conditionalFormatting>
  <conditionalFormatting sqref="AC29:AD29 AF29 AF33 AF37">
    <cfRule type="expression" dxfId="114" priority="50" stopIfTrue="1">
      <formula>$AP$29=1</formula>
    </cfRule>
  </conditionalFormatting>
  <conditionalFormatting sqref="AC28:AD28 AF28 AF32 AF36">
    <cfRule type="expression" dxfId="113" priority="49" stopIfTrue="1">
      <formula>$AP$28=1</formula>
    </cfRule>
  </conditionalFormatting>
  <conditionalFormatting sqref="AC27:AD27 AF27 AF31 AF35">
    <cfRule type="expression" dxfId="112" priority="48" stopIfTrue="1">
      <formula>$AP$27=1</formula>
    </cfRule>
  </conditionalFormatting>
  <conditionalFormatting sqref="AC26:AD26 AF26 AF30 AF34 AF38">
    <cfRule type="expression" dxfId="111" priority="47" stopIfTrue="1">
      <formula>$AP$26=1</formula>
    </cfRule>
  </conditionalFormatting>
  <conditionalFormatting sqref="AC25:AD25 AF25">
    <cfRule type="expression" dxfId="110" priority="46" stopIfTrue="1">
      <formula>$AP$25=1</formula>
    </cfRule>
  </conditionalFormatting>
  <conditionalFormatting sqref="AC24:AD24 AF24">
    <cfRule type="expression" dxfId="109" priority="45" stopIfTrue="1">
      <formula>$AP$24=1</formula>
    </cfRule>
  </conditionalFormatting>
  <conditionalFormatting sqref="AC23:AD23 AF23">
    <cfRule type="expression" dxfId="108" priority="44" stopIfTrue="1">
      <formula>$AP$23=1</formula>
    </cfRule>
  </conditionalFormatting>
  <conditionalFormatting sqref="AC22:AD22 AF22">
    <cfRule type="expression" dxfId="107" priority="43" stopIfTrue="1">
      <formula>$AP$22=1</formula>
    </cfRule>
  </conditionalFormatting>
  <conditionalFormatting sqref="AC21:AD21 AF21">
    <cfRule type="expression" dxfId="106" priority="42" stopIfTrue="1">
      <formula>$AP$21=1</formula>
    </cfRule>
  </conditionalFormatting>
  <conditionalFormatting sqref="AC20:AD20 AF20">
    <cfRule type="expression" dxfId="105" priority="41" stopIfTrue="1">
      <formula>$AP$20=1</formula>
    </cfRule>
  </conditionalFormatting>
  <conditionalFormatting sqref="AC19:AD19 AF19">
    <cfRule type="expression" dxfId="104" priority="40" stopIfTrue="1">
      <formula>$AP$19=1</formula>
    </cfRule>
  </conditionalFormatting>
  <conditionalFormatting sqref="AC18:AD18 AF18">
    <cfRule type="expression" dxfId="103" priority="39" stopIfTrue="1">
      <formula>$AP$18=1</formula>
    </cfRule>
  </conditionalFormatting>
  <conditionalFormatting sqref="AC17:AD17 AF17">
    <cfRule type="expression" dxfId="102" priority="38" stopIfTrue="1">
      <formula>$AP$17=1</formula>
    </cfRule>
  </conditionalFormatting>
  <conditionalFormatting sqref="AC16:AD16 AF16">
    <cfRule type="expression" dxfId="101" priority="37" stopIfTrue="1">
      <formula>$AP$16=1</formula>
    </cfRule>
  </conditionalFormatting>
  <conditionalFormatting sqref="AC15:AD15 AF15">
    <cfRule type="expression" dxfId="100" priority="36" stopIfTrue="1">
      <formula>$AP$15=1</formula>
    </cfRule>
  </conditionalFormatting>
  <conditionalFormatting sqref="AC14:AD14 AF14">
    <cfRule type="expression" dxfId="99" priority="35" stopIfTrue="1">
      <formula>$AP$14=1</formula>
    </cfRule>
  </conditionalFormatting>
  <conditionalFormatting sqref="AC13:AD13 AF13">
    <cfRule type="expression" dxfId="98" priority="34" stopIfTrue="1">
      <formula>$AP$13=1</formula>
    </cfRule>
  </conditionalFormatting>
  <conditionalFormatting sqref="AC12:AF12 AE13:AE37">
    <cfRule type="expression" dxfId="97" priority="33" stopIfTrue="1">
      <formula>$AP$12=1</formula>
    </cfRule>
  </conditionalFormatting>
  <conditionalFormatting sqref="AC11:AF11">
    <cfRule type="expression" dxfId="96" priority="32" stopIfTrue="1">
      <formula>$AP$11=1</formula>
    </cfRule>
  </conditionalFormatting>
  <conditionalFormatting sqref="A51:B51">
    <cfRule type="expression" dxfId="95" priority="31" stopIfTrue="1">
      <formula>$AP$51=1</formula>
    </cfRule>
  </conditionalFormatting>
  <conditionalFormatting sqref="A50:B50">
    <cfRule type="expression" dxfId="94" priority="30" stopIfTrue="1">
      <formula>$AP$50=1</formula>
    </cfRule>
  </conditionalFormatting>
  <conditionalFormatting sqref="A49:B49">
    <cfRule type="expression" dxfId="93" priority="29" stopIfTrue="1">
      <formula>$AP$49=1</formula>
    </cfRule>
  </conditionalFormatting>
  <conditionalFormatting sqref="A48:B48">
    <cfRule type="expression" dxfId="92" priority="28" stopIfTrue="1">
      <formula>$AP$48=1</formula>
    </cfRule>
  </conditionalFormatting>
  <conditionalFormatting sqref="A47:B47">
    <cfRule type="expression" dxfId="91" priority="27" stopIfTrue="1">
      <formula>$AP$47=1</formula>
    </cfRule>
  </conditionalFormatting>
  <conditionalFormatting sqref="A46:B46">
    <cfRule type="expression" dxfId="90" priority="26" stopIfTrue="1">
      <formula>$AP$46=1</formula>
    </cfRule>
  </conditionalFormatting>
  <conditionalFormatting sqref="A45:B45">
    <cfRule type="expression" dxfId="89" priority="25" stopIfTrue="1">
      <formula>$AP$45=1</formula>
    </cfRule>
  </conditionalFormatting>
  <conditionalFormatting sqref="A30:B44">
    <cfRule type="expression" dxfId="88" priority="24" stopIfTrue="1">
      <formula>$AP$30=1</formula>
    </cfRule>
  </conditionalFormatting>
  <conditionalFormatting sqref="A29:B29">
    <cfRule type="expression" dxfId="87" priority="23" stopIfTrue="1">
      <formula>$AP$29=1</formula>
    </cfRule>
  </conditionalFormatting>
  <conditionalFormatting sqref="A28:B28">
    <cfRule type="expression" dxfId="86" priority="22" stopIfTrue="1">
      <formula>$AP$28=1</formula>
    </cfRule>
  </conditionalFormatting>
  <conditionalFormatting sqref="A27:B27">
    <cfRule type="expression" dxfId="85" priority="21" stopIfTrue="1">
      <formula>$AP$27=1</formula>
    </cfRule>
  </conditionalFormatting>
  <conditionalFormatting sqref="A26:B26">
    <cfRule type="expression" dxfId="84" priority="20" stopIfTrue="1">
      <formula>$AP$26=1</formula>
    </cfRule>
  </conditionalFormatting>
  <conditionalFormatting sqref="A25:B25">
    <cfRule type="expression" dxfId="83" priority="19" stopIfTrue="1">
      <formula>$AP$25=1</formula>
    </cfRule>
  </conditionalFormatting>
  <conditionalFormatting sqref="A24:B24">
    <cfRule type="expression" dxfId="82" priority="18" stopIfTrue="1">
      <formula>$AP$24=1</formula>
    </cfRule>
  </conditionalFormatting>
  <conditionalFormatting sqref="A23:B23">
    <cfRule type="expression" dxfId="81" priority="17" stopIfTrue="1">
      <formula>$AP$23=1</formula>
    </cfRule>
  </conditionalFormatting>
  <conditionalFormatting sqref="A22:B22">
    <cfRule type="expression" dxfId="80" priority="16" stopIfTrue="1">
      <formula>$AP$22=1</formula>
    </cfRule>
  </conditionalFormatting>
  <conditionalFormatting sqref="A21:B21">
    <cfRule type="expression" dxfId="79" priority="15" stopIfTrue="1">
      <formula>$AP$21=1</formula>
    </cfRule>
  </conditionalFormatting>
  <conditionalFormatting sqref="A20:B20">
    <cfRule type="expression" dxfId="78" priority="14" stopIfTrue="1">
      <formula>$AP$20=1</formula>
    </cfRule>
  </conditionalFormatting>
  <conditionalFormatting sqref="A19:B19">
    <cfRule type="expression" dxfId="77" priority="13" stopIfTrue="1">
      <formula>$AP$19=1</formula>
    </cfRule>
  </conditionalFormatting>
  <conditionalFormatting sqref="A18:B18">
    <cfRule type="expression" dxfId="76" priority="12" stopIfTrue="1">
      <formula>$AP$18=1</formula>
    </cfRule>
  </conditionalFormatting>
  <conditionalFormatting sqref="A17:B17">
    <cfRule type="expression" dxfId="75" priority="11" stopIfTrue="1">
      <formula>$AP$17=1</formula>
    </cfRule>
  </conditionalFormatting>
  <conditionalFormatting sqref="A16:B16">
    <cfRule type="expression" dxfId="74" priority="10" stopIfTrue="1">
      <formula>$AP$16=1</formula>
    </cfRule>
  </conditionalFormatting>
  <conditionalFormatting sqref="A15:B15">
    <cfRule type="expression" dxfId="73" priority="9" stopIfTrue="1">
      <formula>$AP$15=1</formula>
    </cfRule>
  </conditionalFormatting>
  <conditionalFormatting sqref="A14:B14">
    <cfRule type="expression" dxfId="72" priority="8" stopIfTrue="1">
      <formula>$AP$14=1</formula>
    </cfRule>
  </conditionalFormatting>
  <conditionalFormatting sqref="A13:B13">
    <cfRule type="expression" dxfId="71" priority="7" stopIfTrue="1">
      <formula>$AP$13=1</formula>
    </cfRule>
  </conditionalFormatting>
  <conditionalFormatting sqref="A12:B12">
    <cfRule type="expression" dxfId="70" priority="6" stopIfTrue="1">
      <formula>$AP$12=1</formula>
    </cfRule>
  </conditionalFormatting>
  <conditionalFormatting sqref="A11:B11">
    <cfRule type="expression" dxfId="69" priority="5" stopIfTrue="1">
      <formula>$AP$11=1</formula>
    </cfRule>
  </conditionalFormatting>
  <conditionalFormatting sqref="A10:B10">
    <cfRule type="expression" dxfId="68" priority="4" stopIfTrue="1">
      <formula>$AP$10=1</formula>
    </cfRule>
  </conditionalFormatting>
  <conditionalFormatting sqref="AD31:AD44">
    <cfRule type="expression" dxfId="67" priority="3" stopIfTrue="1">
      <formula>$AP$30</formula>
    </cfRule>
  </conditionalFormatting>
  <conditionalFormatting sqref="AF39:AF44">
    <cfRule type="expression" dxfId="66" priority="2" stopIfTrue="1">
      <formula>$AP$30</formula>
    </cfRule>
  </conditionalFormatting>
  <conditionalFormatting sqref="AC31:AC40">
    <cfRule type="expression" dxfId="65" priority="1" stopIfTrue="1">
      <formula>$AP$30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AP75"/>
  <sheetViews>
    <sheetView tabSelected="1" topLeftCell="A28" zoomScale="70" zoomScaleNormal="70" workbookViewId="0">
      <selection activeCell="AE5" sqref="AE5"/>
    </sheetView>
  </sheetViews>
  <sheetFormatPr baseColWidth="10" defaultColWidth="11.42578125" defaultRowHeight="12.75" x14ac:dyDescent="0.2"/>
  <cols>
    <col min="1" max="1" width="9.7109375" style="84" customWidth="1"/>
    <col min="2" max="2" width="10.85546875" style="84" customWidth="1"/>
    <col min="3" max="3" width="17.5703125" style="84" customWidth="1"/>
    <col min="4" max="4" width="5.7109375" style="84" customWidth="1"/>
    <col min="5" max="32" width="11.42578125" style="84"/>
    <col min="33" max="33" width="18" style="84" bestFit="1" customWidth="1"/>
    <col min="34" max="35" width="10" style="84" hidden="1" customWidth="1"/>
    <col min="36" max="36" width="6.85546875" style="84" hidden="1" customWidth="1"/>
    <col min="37" max="37" width="9.28515625" style="84" hidden="1" customWidth="1"/>
    <col min="38" max="38" width="8.140625" style="84" hidden="1" customWidth="1"/>
    <col min="39" max="39" width="4.7109375" style="84" hidden="1" customWidth="1"/>
    <col min="40" max="40" width="8.140625" style="84" hidden="1" customWidth="1"/>
    <col min="41" max="41" width="5.85546875" style="84" hidden="1" customWidth="1"/>
    <col min="42" max="42" width="9.140625" style="84" hidden="1" customWidth="1"/>
    <col min="43" max="16384" width="11.42578125" style="84"/>
  </cols>
  <sheetData>
    <row r="1" spans="1:42" ht="27.75" customHeight="1" thickBot="1" x14ac:dyDescent="0.45">
      <c r="A1" s="174" t="s">
        <v>64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4"/>
      <c r="S1" s="174"/>
      <c r="T1" s="174"/>
      <c r="U1" s="174"/>
      <c r="V1" s="174"/>
      <c r="X1" s="175" t="s">
        <v>33</v>
      </c>
      <c r="Y1" s="176"/>
      <c r="Z1" s="176"/>
      <c r="AA1" s="176"/>
      <c r="AB1" s="176"/>
      <c r="AC1" s="176"/>
      <c r="AD1" s="176"/>
      <c r="AE1" s="176"/>
      <c r="AF1" s="176"/>
      <c r="AG1" s="177"/>
    </row>
    <row r="2" spans="1:42" x14ac:dyDescent="0.2">
      <c r="A2" s="178" t="s">
        <v>0</v>
      </c>
      <c r="B2" s="180" t="s">
        <v>1</v>
      </c>
      <c r="C2" s="182" t="s">
        <v>3</v>
      </c>
      <c r="D2" s="184" t="s">
        <v>34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X2" s="185" t="s">
        <v>85</v>
      </c>
      <c r="Y2" s="186"/>
      <c r="Z2" s="186"/>
      <c r="AA2" s="186"/>
      <c r="AB2" s="186"/>
      <c r="AC2" s="186"/>
      <c r="AD2" s="186"/>
      <c r="AE2" s="186"/>
      <c r="AF2" s="186"/>
      <c r="AG2" s="187"/>
    </row>
    <row r="3" spans="1:42" ht="13.5" thickBot="1" x14ac:dyDescent="0.25">
      <c r="A3" s="179"/>
      <c r="B3" s="181"/>
      <c r="C3" s="183"/>
      <c r="D3" s="184"/>
      <c r="X3" s="188" t="s">
        <v>35</v>
      </c>
      <c r="Y3" s="189"/>
      <c r="Z3" s="189"/>
      <c r="AA3" s="189"/>
      <c r="AB3" s="189"/>
      <c r="AC3" s="189"/>
      <c r="AD3" s="189"/>
      <c r="AE3" s="189"/>
      <c r="AF3" s="189"/>
      <c r="AG3" s="190"/>
      <c r="AH3" s="86"/>
      <c r="AI3" s="86"/>
      <c r="AJ3" s="86"/>
      <c r="AK3" s="86"/>
      <c r="AL3" s="191" t="s">
        <v>9</v>
      </c>
      <c r="AM3" s="191"/>
      <c r="AN3" s="191" t="s">
        <v>10</v>
      </c>
      <c r="AO3" s="191"/>
      <c r="AP3" s="86" t="s">
        <v>36</v>
      </c>
    </row>
    <row r="4" spans="1:42" ht="39.75" thickTop="1" thickBot="1" x14ac:dyDescent="0.25">
      <c r="A4" s="179"/>
      <c r="B4" s="181"/>
      <c r="C4" s="183"/>
      <c r="D4" s="184"/>
      <c r="X4" s="87"/>
      <c r="Y4" s="88" t="s">
        <v>37</v>
      </c>
      <c r="Z4" s="88" t="s">
        <v>38</v>
      </c>
      <c r="AA4" s="88" t="s">
        <v>39</v>
      </c>
      <c r="AB4" s="88" t="s">
        <v>40</v>
      </c>
      <c r="AC4" s="88" t="s">
        <v>41</v>
      </c>
      <c r="AD4" s="88" t="s">
        <v>42</v>
      </c>
      <c r="AE4" s="89" t="s">
        <v>43</v>
      </c>
      <c r="AF4" s="89" t="s">
        <v>44</v>
      </c>
      <c r="AG4" s="90" t="s">
        <v>45</v>
      </c>
      <c r="AH4" s="91">
        <f>AD5</f>
        <v>791.2</v>
      </c>
      <c r="AI4" s="92">
        <f>AH4</f>
        <v>791.2</v>
      </c>
      <c r="AJ4" s="86"/>
      <c r="AK4" s="86"/>
      <c r="AL4" s="93">
        <f>SUM(AL5:AL46)</f>
        <v>786.13799999999992</v>
      </c>
      <c r="AM4" s="93">
        <f>SUM(AM5:AM46)</f>
        <v>12</v>
      </c>
      <c r="AN4" s="93">
        <f>SUM(AN5:AN46)</f>
        <v>786.13799999999992</v>
      </c>
      <c r="AO4" s="93">
        <f>SUM(AO5:AO46)</f>
        <v>25.999999999999989</v>
      </c>
      <c r="AP4" s="86"/>
    </row>
    <row r="5" spans="1:42" ht="15.75" x14ac:dyDescent="0.25">
      <c r="A5" s="94">
        <f t="shared" ref="A5:A33" si="0">AF5</f>
        <v>0</v>
      </c>
      <c r="B5" s="95">
        <f t="shared" ref="B5:B33" si="1">AD5</f>
        <v>791.2</v>
      </c>
      <c r="C5" s="96" t="str">
        <f t="shared" ref="C5:C40" si="2">IF(AG5="","",AG5)</f>
        <v>S/BM</v>
      </c>
      <c r="D5" s="184"/>
      <c r="X5" s="97" t="s">
        <v>17</v>
      </c>
      <c r="Y5" s="98"/>
      <c r="Z5" s="99">
        <v>1.524</v>
      </c>
      <c r="AA5" s="100"/>
      <c r="AB5" s="101"/>
      <c r="AC5" s="102">
        <f t="shared" ref="AC5:AC33" si="3">IF(AA5="",AD5+Z5,"")</f>
        <v>792.72400000000005</v>
      </c>
      <c r="AD5" s="103">
        <v>791.2</v>
      </c>
      <c r="AE5" s="104">
        <v>0</v>
      </c>
      <c r="AF5" s="105"/>
      <c r="AG5" s="106" t="s">
        <v>24</v>
      </c>
      <c r="AH5" s="86">
        <f t="shared" ref="AH5:AH51" si="4">IF(AND(AJ5="NAOI",AJ5=AJ6),AK5,AI5)</f>
        <v>792.72400000000005</v>
      </c>
      <c r="AI5" s="86">
        <f t="shared" ref="AI5:AI51" si="5">IF(AA5="",AC5,AI4)</f>
        <v>792.72400000000005</v>
      </c>
      <c r="AJ5" s="86" t="str">
        <f t="shared" ref="AJ5:AJ51" si="6">IF(AG5="",AJ4,AG5)</f>
        <v>S/BM</v>
      </c>
      <c r="AK5" s="93">
        <f t="shared" ref="AK5:AK51" si="7">IF(AND(AJ5="NAOI",AJ4="NAOI"),AK4,AD5)</f>
        <v>791.2</v>
      </c>
      <c r="AL5" s="86" t="str">
        <f t="shared" ref="AL5:AL51" si="8">IF(AG5="NAOI",AD5,"")</f>
        <v/>
      </c>
      <c r="AM5" s="93" t="str">
        <f t="shared" ref="AM5:AM51" si="9">IF(AG5="NAOI",AF5,"")</f>
        <v/>
      </c>
      <c r="AN5" s="86" t="str">
        <f t="shared" ref="AN5:AN51" si="10">IF(AG5="NAOD",AD5,"")</f>
        <v/>
      </c>
      <c r="AO5" s="86" t="str">
        <f t="shared" ref="AO5:AO51" si="11">IF(AG5="NAOD",AF5,"")</f>
        <v/>
      </c>
      <c r="AP5" s="86"/>
    </row>
    <row r="6" spans="1:42" ht="15.75" x14ac:dyDescent="0.25">
      <c r="A6" s="94">
        <f t="shared" si="0"/>
        <v>0</v>
      </c>
      <c r="B6" s="95">
        <f t="shared" si="1"/>
        <v>792.21600000000001</v>
      </c>
      <c r="C6" s="96" t="str">
        <f t="shared" si="2"/>
        <v>PRI</v>
      </c>
      <c r="D6" s="184"/>
      <c r="X6" s="107" t="s">
        <v>4</v>
      </c>
      <c r="Y6" s="108"/>
      <c r="Z6" s="109"/>
      <c r="AA6" s="110">
        <v>0.50800000000000001</v>
      </c>
      <c r="AB6" s="111"/>
      <c r="AC6" s="112" t="str">
        <f t="shared" si="3"/>
        <v/>
      </c>
      <c r="AD6" s="113">
        <f>IF(AA6="",AH5-AB6,AH5-AA6)</f>
        <v>792.21600000000001</v>
      </c>
      <c r="AE6" s="114">
        <v>0</v>
      </c>
      <c r="AF6" s="113">
        <f>AE6</f>
        <v>0</v>
      </c>
      <c r="AG6" s="115" t="s">
        <v>4</v>
      </c>
      <c r="AH6" s="86">
        <f t="shared" si="4"/>
        <v>792.72400000000005</v>
      </c>
      <c r="AI6" s="86">
        <f t="shared" si="5"/>
        <v>792.72400000000005</v>
      </c>
      <c r="AJ6" s="86" t="str">
        <f t="shared" si="6"/>
        <v>PRI</v>
      </c>
      <c r="AK6" s="93">
        <f t="shared" si="7"/>
        <v>792.21600000000001</v>
      </c>
      <c r="AL6" s="86" t="str">
        <f t="shared" si="8"/>
        <v/>
      </c>
      <c r="AM6" s="93" t="str">
        <f t="shared" si="9"/>
        <v/>
      </c>
      <c r="AN6" s="86" t="str">
        <f t="shared" si="10"/>
        <v/>
      </c>
      <c r="AO6" s="86" t="str">
        <f t="shared" si="11"/>
        <v/>
      </c>
      <c r="AP6" s="86"/>
    </row>
    <row r="7" spans="1:42" ht="15.75" x14ac:dyDescent="0.25">
      <c r="A7" s="94">
        <f t="shared" si="0"/>
        <v>2</v>
      </c>
      <c r="B7" s="95">
        <f t="shared" si="1"/>
        <v>790.67200000000003</v>
      </c>
      <c r="C7" s="96" t="str">
        <f t="shared" si="2"/>
        <v/>
      </c>
      <c r="D7" s="184"/>
      <c r="X7" s="107"/>
      <c r="Y7" s="108"/>
      <c r="Z7" s="109"/>
      <c r="AA7" s="110">
        <v>2.052</v>
      </c>
      <c r="AB7" s="111"/>
      <c r="AC7" s="112" t="str">
        <f t="shared" si="3"/>
        <v/>
      </c>
      <c r="AD7" s="113">
        <f>IF(AA7="",AH6-AB7,AH6-AA7)</f>
        <v>790.67200000000003</v>
      </c>
      <c r="AE7" s="114">
        <v>2</v>
      </c>
      <c r="AF7" s="113">
        <f t="shared" ref="AF7:AF33" si="12">+AF6+AE7</f>
        <v>2</v>
      </c>
      <c r="AG7" s="116"/>
      <c r="AH7" s="86">
        <f t="shared" si="4"/>
        <v>792.72400000000005</v>
      </c>
      <c r="AI7" s="86">
        <f t="shared" si="5"/>
        <v>792.72400000000005</v>
      </c>
      <c r="AJ7" s="86" t="str">
        <f t="shared" si="6"/>
        <v>PRI</v>
      </c>
      <c r="AK7" s="93">
        <f t="shared" si="7"/>
        <v>790.67200000000003</v>
      </c>
      <c r="AL7" s="86" t="str">
        <f t="shared" si="8"/>
        <v/>
      </c>
      <c r="AM7" s="93" t="str">
        <f t="shared" si="9"/>
        <v/>
      </c>
      <c r="AN7" s="86" t="str">
        <f t="shared" si="10"/>
        <v/>
      </c>
      <c r="AO7" s="86" t="str">
        <f t="shared" si="11"/>
        <v/>
      </c>
      <c r="AP7" s="86"/>
    </row>
    <row r="8" spans="1:42" ht="15.75" x14ac:dyDescent="0.25">
      <c r="A8" s="94">
        <f t="shared" si="0"/>
        <v>4</v>
      </c>
      <c r="B8" s="95">
        <f t="shared" si="1"/>
        <v>787.84500000000003</v>
      </c>
      <c r="C8" s="96" t="str">
        <f t="shared" si="2"/>
        <v/>
      </c>
      <c r="D8" s="184"/>
      <c r="X8" s="107"/>
      <c r="Y8" s="108"/>
      <c r="Z8" s="109"/>
      <c r="AA8" s="110">
        <v>4.8789999999999996</v>
      </c>
      <c r="AB8" s="111"/>
      <c r="AC8" s="112" t="str">
        <f t="shared" si="3"/>
        <v/>
      </c>
      <c r="AD8" s="113">
        <f>IF(AA8="",AH7-AB8,AH7-AA8)</f>
        <v>787.84500000000003</v>
      </c>
      <c r="AE8" s="114">
        <v>2</v>
      </c>
      <c r="AF8" s="113">
        <f t="shared" si="12"/>
        <v>4</v>
      </c>
      <c r="AG8" s="116"/>
      <c r="AH8" s="86">
        <f t="shared" si="4"/>
        <v>792.72400000000005</v>
      </c>
      <c r="AI8" s="86">
        <f t="shared" si="5"/>
        <v>792.72400000000005</v>
      </c>
      <c r="AJ8" s="86" t="str">
        <f t="shared" si="6"/>
        <v>PRI</v>
      </c>
      <c r="AK8" s="93">
        <f t="shared" si="7"/>
        <v>787.84500000000003</v>
      </c>
      <c r="AL8" s="86" t="str">
        <f t="shared" si="8"/>
        <v/>
      </c>
      <c r="AM8" s="93" t="str">
        <f t="shared" si="9"/>
        <v/>
      </c>
      <c r="AN8" s="86" t="str">
        <f t="shared" si="10"/>
        <v/>
      </c>
      <c r="AO8" s="86" t="str">
        <f t="shared" si="11"/>
        <v/>
      </c>
      <c r="AP8" s="86"/>
    </row>
    <row r="9" spans="1:42" ht="15.75" x14ac:dyDescent="0.25">
      <c r="A9" s="94">
        <f t="shared" si="0"/>
        <v>4</v>
      </c>
      <c r="B9" s="95">
        <f t="shared" si="1"/>
        <v>788.101</v>
      </c>
      <c r="C9" s="96" t="str">
        <f t="shared" si="2"/>
        <v/>
      </c>
      <c r="D9" s="184"/>
      <c r="X9" s="107" t="s">
        <v>47</v>
      </c>
      <c r="Y9" s="108"/>
      <c r="Z9" s="109">
        <v>0.76200000000000001</v>
      </c>
      <c r="AA9" s="110"/>
      <c r="AB9" s="111">
        <v>4.6230000000000002</v>
      </c>
      <c r="AC9" s="112">
        <f t="shared" si="3"/>
        <v>788.86299999999994</v>
      </c>
      <c r="AD9" s="113">
        <f>IF(AA9="",AH8-AB9,AH8-AA9)</f>
        <v>788.101</v>
      </c>
      <c r="AE9" s="114">
        <v>0</v>
      </c>
      <c r="AF9" s="113">
        <f t="shared" si="12"/>
        <v>4</v>
      </c>
      <c r="AG9" s="115"/>
      <c r="AH9" s="86">
        <f t="shared" si="4"/>
        <v>788.86299999999994</v>
      </c>
      <c r="AI9" s="86">
        <f t="shared" si="5"/>
        <v>788.86299999999994</v>
      </c>
      <c r="AJ9" s="86" t="str">
        <f t="shared" si="6"/>
        <v>PRI</v>
      </c>
      <c r="AK9" s="93">
        <f t="shared" si="7"/>
        <v>788.101</v>
      </c>
      <c r="AL9" s="86" t="str">
        <f t="shared" si="8"/>
        <v/>
      </c>
      <c r="AM9" s="93" t="str">
        <f t="shared" si="9"/>
        <v/>
      </c>
      <c r="AN9" s="86" t="str">
        <f t="shared" si="10"/>
        <v/>
      </c>
      <c r="AO9" s="86" t="str">
        <f t="shared" si="11"/>
        <v/>
      </c>
      <c r="AP9" s="86"/>
    </row>
    <row r="10" spans="1:42" ht="15.75" x14ac:dyDescent="0.25">
      <c r="A10" s="94">
        <f t="shared" si="0"/>
        <v>7</v>
      </c>
      <c r="B10" s="95">
        <f t="shared" si="1"/>
        <v>787.51299999999992</v>
      </c>
      <c r="C10" s="96" t="str">
        <f t="shared" si="2"/>
        <v/>
      </c>
      <c r="D10" s="184"/>
      <c r="E10" s="84">
        <f>(B12+B35)/2</f>
        <v>392.88899999999995</v>
      </c>
      <c r="X10" s="107"/>
      <c r="Y10" s="108"/>
      <c r="Z10" s="109"/>
      <c r="AA10" s="110">
        <v>1.35</v>
      </c>
      <c r="AB10" s="111"/>
      <c r="AC10" s="112" t="str">
        <f t="shared" si="3"/>
        <v/>
      </c>
      <c r="AD10" s="113">
        <f t="shared" ref="AD10:AD33" si="13">IF(AJ9="S/BM",AD9,IF(AA10="",AH9-AB10,AH9-AA10))</f>
        <v>787.51299999999992</v>
      </c>
      <c r="AE10" s="114">
        <v>3</v>
      </c>
      <c r="AF10" s="113">
        <f t="shared" si="12"/>
        <v>7</v>
      </c>
      <c r="AG10" s="115"/>
      <c r="AH10" s="86">
        <f t="shared" si="4"/>
        <v>788.86299999999994</v>
      </c>
      <c r="AI10" s="86">
        <f t="shared" si="5"/>
        <v>788.86299999999994</v>
      </c>
      <c r="AJ10" s="86" t="str">
        <f t="shared" si="6"/>
        <v>PRI</v>
      </c>
      <c r="AK10" s="93">
        <f t="shared" si="7"/>
        <v>787.51299999999992</v>
      </c>
      <c r="AL10" s="86" t="str">
        <f t="shared" si="8"/>
        <v/>
      </c>
      <c r="AM10" s="93" t="str">
        <f t="shared" si="9"/>
        <v/>
      </c>
      <c r="AN10" s="86" t="str">
        <f t="shared" si="10"/>
        <v/>
      </c>
      <c r="AO10" s="86" t="str">
        <f t="shared" si="11"/>
        <v/>
      </c>
      <c r="AP10" s="86"/>
    </row>
    <row r="11" spans="1:42" s="117" customFormat="1" ht="15.75" x14ac:dyDescent="0.25">
      <c r="A11" s="94">
        <f t="shared" si="0"/>
        <v>12</v>
      </c>
      <c r="B11" s="95">
        <f t="shared" si="1"/>
        <v>786.13799999999992</v>
      </c>
      <c r="C11" s="96" t="str">
        <f t="shared" si="2"/>
        <v>NAOI</v>
      </c>
      <c r="D11" s="184"/>
      <c r="E11" s="117">
        <v>0.33</v>
      </c>
      <c r="X11" s="107"/>
      <c r="Y11" s="108"/>
      <c r="Z11" s="109"/>
      <c r="AA11" s="110">
        <v>2.7250000000000001</v>
      </c>
      <c r="AB11" s="111"/>
      <c r="AC11" s="112" t="str">
        <f t="shared" si="3"/>
        <v/>
      </c>
      <c r="AD11" s="113">
        <f t="shared" si="13"/>
        <v>786.13799999999992</v>
      </c>
      <c r="AE11" s="114">
        <v>5</v>
      </c>
      <c r="AF11" s="113">
        <f t="shared" si="12"/>
        <v>12</v>
      </c>
      <c r="AG11" s="115" t="s">
        <v>9</v>
      </c>
      <c r="AH11" s="86">
        <f t="shared" si="4"/>
        <v>786.13799999999992</v>
      </c>
      <c r="AI11" s="86">
        <f t="shared" si="5"/>
        <v>788.86299999999994</v>
      </c>
      <c r="AJ11" s="86" t="str">
        <f t="shared" si="6"/>
        <v>NAOI</v>
      </c>
      <c r="AK11" s="93">
        <f t="shared" si="7"/>
        <v>786.13799999999992</v>
      </c>
      <c r="AL11" s="86">
        <f t="shared" si="8"/>
        <v>786.13799999999992</v>
      </c>
      <c r="AM11" s="93">
        <f t="shared" si="9"/>
        <v>12</v>
      </c>
      <c r="AN11" s="86" t="str">
        <f t="shared" si="10"/>
        <v/>
      </c>
      <c r="AO11" s="86" t="str">
        <f t="shared" si="11"/>
        <v/>
      </c>
      <c r="AP11" s="86">
        <f t="shared" ref="AP11:AP51" si="14">IF(AJ10="S/BM",1,0)</f>
        <v>0</v>
      </c>
    </row>
    <row r="12" spans="1:42" s="117" customFormat="1" ht="15.75" x14ac:dyDescent="0.25">
      <c r="A12" s="94">
        <f t="shared" si="0"/>
        <v>14.5</v>
      </c>
      <c r="B12" s="95">
        <f t="shared" si="1"/>
        <v>785.77799999999991</v>
      </c>
      <c r="C12" s="96" t="str">
        <f t="shared" si="2"/>
        <v/>
      </c>
      <c r="D12" s="184"/>
      <c r="E12" s="117">
        <v>0.3</v>
      </c>
      <c r="X12" s="107"/>
      <c r="Y12" s="108"/>
      <c r="Z12" s="109"/>
      <c r="AA12" s="110">
        <v>0.36</v>
      </c>
      <c r="AB12" s="111"/>
      <c r="AC12" s="112" t="str">
        <f t="shared" si="3"/>
        <v/>
      </c>
      <c r="AD12" s="113">
        <f t="shared" si="13"/>
        <v>785.77799999999991</v>
      </c>
      <c r="AE12" s="114">
        <v>2.5</v>
      </c>
      <c r="AF12" s="113">
        <f t="shared" si="12"/>
        <v>14.5</v>
      </c>
      <c r="AG12" s="115"/>
      <c r="AH12" s="86">
        <f t="shared" si="4"/>
        <v>786.13799999999992</v>
      </c>
      <c r="AI12" s="86">
        <f t="shared" si="5"/>
        <v>788.86299999999994</v>
      </c>
      <c r="AJ12" s="86" t="str">
        <f t="shared" si="6"/>
        <v>NAOI</v>
      </c>
      <c r="AK12" s="93">
        <f t="shared" si="7"/>
        <v>786.13799999999992</v>
      </c>
      <c r="AL12" s="86" t="str">
        <f t="shared" si="8"/>
        <v/>
      </c>
      <c r="AM12" s="93" t="str">
        <f t="shared" si="9"/>
        <v/>
      </c>
      <c r="AN12" s="86" t="str">
        <f t="shared" si="10"/>
        <v/>
      </c>
      <c r="AO12" s="86" t="str">
        <f t="shared" si="11"/>
        <v/>
      </c>
      <c r="AP12" s="86">
        <f t="shared" si="14"/>
        <v>0</v>
      </c>
    </row>
    <row r="13" spans="1:42" s="117" customFormat="1" ht="15.75" x14ac:dyDescent="0.25">
      <c r="A13" s="94">
        <f t="shared" si="0"/>
        <v>15.2</v>
      </c>
      <c r="B13" s="95">
        <f t="shared" si="1"/>
        <v>785.80799999999988</v>
      </c>
      <c r="C13" s="96" t="str">
        <f t="shared" si="2"/>
        <v/>
      </c>
      <c r="D13" s="184"/>
      <c r="E13" s="117">
        <v>0.35</v>
      </c>
      <c r="X13" s="107"/>
      <c r="Y13" s="108"/>
      <c r="Z13" s="109"/>
      <c r="AA13" s="110">
        <v>0.33</v>
      </c>
      <c r="AB13" s="111"/>
      <c r="AC13" s="112" t="str">
        <f t="shared" si="3"/>
        <v/>
      </c>
      <c r="AD13" s="113">
        <f t="shared" si="13"/>
        <v>785.80799999999988</v>
      </c>
      <c r="AE13" s="114">
        <v>0.7</v>
      </c>
      <c r="AF13" s="113">
        <f t="shared" si="12"/>
        <v>15.2</v>
      </c>
      <c r="AG13" s="115"/>
      <c r="AH13" s="86">
        <f t="shared" si="4"/>
        <v>786.13799999999992</v>
      </c>
      <c r="AI13" s="86">
        <f t="shared" si="5"/>
        <v>788.86299999999994</v>
      </c>
      <c r="AJ13" s="86" t="str">
        <f t="shared" si="6"/>
        <v>NAOI</v>
      </c>
      <c r="AK13" s="93">
        <f t="shared" si="7"/>
        <v>786.13799999999992</v>
      </c>
      <c r="AL13" s="86" t="str">
        <f t="shared" si="8"/>
        <v/>
      </c>
      <c r="AM13" s="93" t="str">
        <f t="shared" si="9"/>
        <v/>
      </c>
      <c r="AN13" s="86" t="str">
        <f t="shared" si="10"/>
        <v/>
      </c>
      <c r="AO13" s="86" t="str">
        <f t="shared" si="11"/>
        <v/>
      </c>
      <c r="AP13" s="86">
        <f t="shared" si="14"/>
        <v>0</v>
      </c>
    </row>
    <row r="14" spans="1:42" s="117" customFormat="1" ht="15.75" x14ac:dyDescent="0.25">
      <c r="A14" s="94">
        <f t="shared" si="0"/>
        <v>15.899999999999999</v>
      </c>
      <c r="B14" s="95">
        <f t="shared" si="1"/>
        <v>785.81799999999987</v>
      </c>
      <c r="C14" s="96" t="str">
        <f t="shared" si="2"/>
        <v/>
      </c>
      <c r="D14" s="184"/>
      <c r="E14" s="117">
        <v>0.5</v>
      </c>
      <c r="X14" s="107"/>
      <c r="Y14" s="108"/>
      <c r="Z14" s="109"/>
      <c r="AA14" s="110">
        <v>0.32</v>
      </c>
      <c r="AB14" s="111"/>
      <c r="AC14" s="112" t="str">
        <f t="shared" si="3"/>
        <v/>
      </c>
      <c r="AD14" s="113">
        <f t="shared" si="13"/>
        <v>785.81799999999987</v>
      </c>
      <c r="AE14" s="114">
        <v>0.7</v>
      </c>
      <c r="AF14" s="113">
        <f t="shared" si="12"/>
        <v>15.899999999999999</v>
      </c>
      <c r="AG14" s="116"/>
      <c r="AH14" s="86">
        <f t="shared" si="4"/>
        <v>786.13799999999992</v>
      </c>
      <c r="AI14" s="86">
        <f t="shared" si="5"/>
        <v>788.86299999999994</v>
      </c>
      <c r="AJ14" s="86" t="str">
        <f t="shared" si="6"/>
        <v>NAOI</v>
      </c>
      <c r="AK14" s="93">
        <f t="shared" si="7"/>
        <v>786.13799999999992</v>
      </c>
      <c r="AL14" s="86" t="str">
        <f t="shared" si="8"/>
        <v/>
      </c>
      <c r="AM14" s="93" t="str">
        <f t="shared" si="9"/>
        <v/>
      </c>
      <c r="AN14" s="86" t="str">
        <f t="shared" si="10"/>
        <v/>
      </c>
      <c r="AO14" s="86" t="str">
        <f t="shared" si="11"/>
        <v/>
      </c>
      <c r="AP14" s="86">
        <f t="shared" si="14"/>
        <v>0</v>
      </c>
    </row>
    <row r="15" spans="1:42" s="117" customFormat="1" ht="15.75" x14ac:dyDescent="0.25">
      <c r="A15" s="94">
        <f t="shared" si="0"/>
        <v>16.599999999999998</v>
      </c>
      <c r="B15" s="95">
        <f t="shared" si="1"/>
        <v>785.85799999999995</v>
      </c>
      <c r="C15" s="96" t="str">
        <f t="shared" si="2"/>
        <v/>
      </c>
      <c r="D15" s="184"/>
      <c r="E15" s="117">
        <v>0.55000000000000004</v>
      </c>
      <c r="X15" s="107"/>
      <c r="Y15" s="108"/>
      <c r="Z15" s="109"/>
      <c r="AA15" s="110">
        <v>0.28000000000000003</v>
      </c>
      <c r="AB15" s="111"/>
      <c r="AC15" s="112" t="str">
        <f t="shared" si="3"/>
        <v/>
      </c>
      <c r="AD15" s="113">
        <f t="shared" si="13"/>
        <v>785.85799999999995</v>
      </c>
      <c r="AE15" s="114">
        <v>0.7</v>
      </c>
      <c r="AF15" s="113">
        <f t="shared" si="12"/>
        <v>16.599999999999998</v>
      </c>
      <c r="AG15" s="115"/>
      <c r="AH15" s="86">
        <f t="shared" si="4"/>
        <v>786.13799999999992</v>
      </c>
      <c r="AI15" s="86">
        <f t="shared" si="5"/>
        <v>788.86299999999994</v>
      </c>
      <c r="AJ15" s="86" t="str">
        <f t="shared" si="6"/>
        <v>NAOI</v>
      </c>
      <c r="AK15" s="93">
        <f t="shared" si="7"/>
        <v>786.13799999999992</v>
      </c>
      <c r="AL15" s="86" t="str">
        <f t="shared" si="8"/>
        <v/>
      </c>
      <c r="AM15" s="93" t="str">
        <f t="shared" si="9"/>
        <v/>
      </c>
      <c r="AN15" s="86" t="str">
        <f t="shared" si="10"/>
        <v/>
      </c>
      <c r="AO15" s="86" t="str">
        <f t="shared" si="11"/>
        <v/>
      </c>
      <c r="AP15" s="86">
        <f t="shared" si="14"/>
        <v>0</v>
      </c>
    </row>
    <row r="16" spans="1:42" s="117" customFormat="1" ht="15.75" x14ac:dyDescent="0.25">
      <c r="A16" s="94">
        <f t="shared" si="0"/>
        <v>17.299999999999997</v>
      </c>
      <c r="B16" s="95">
        <f t="shared" si="1"/>
        <v>785.89799999999991</v>
      </c>
      <c r="C16" s="96" t="str">
        <f t="shared" si="2"/>
        <v/>
      </c>
      <c r="D16" s="184"/>
      <c r="E16" s="117">
        <v>0.75</v>
      </c>
      <c r="X16" s="107"/>
      <c r="Y16" s="108"/>
      <c r="Z16" s="109"/>
      <c r="AA16" s="110">
        <v>0.24</v>
      </c>
      <c r="AB16" s="111"/>
      <c r="AC16" s="112" t="str">
        <f t="shared" si="3"/>
        <v/>
      </c>
      <c r="AD16" s="113">
        <f t="shared" si="13"/>
        <v>785.89799999999991</v>
      </c>
      <c r="AE16" s="114">
        <v>0.7</v>
      </c>
      <c r="AF16" s="113">
        <f t="shared" si="12"/>
        <v>17.299999999999997</v>
      </c>
      <c r="AG16" s="118"/>
      <c r="AH16" s="86">
        <f t="shared" si="4"/>
        <v>786.13799999999992</v>
      </c>
      <c r="AI16" s="86">
        <f t="shared" si="5"/>
        <v>788.86299999999994</v>
      </c>
      <c r="AJ16" s="86" t="str">
        <f t="shared" si="6"/>
        <v>NAOI</v>
      </c>
      <c r="AK16" s="93">
        <f t="shared" si="7"/>
        <v>786.13799999999992</v>
      </c>
      <c r="AL16" s="86" t="str">
        <f t="shared" si="8"/>
        <v/>
      </c>
      <c r="AM16" s="93" t="str">
        <f t="shared" si="9"/>
        <v/>
      </c>
      <c r="AN16" s="86" t="str">
        <f t="shared" si="10"/>
        <v/>
      </c>
      <c r="AO16" s="86" t="str">
        <f t="shared" si="11"/>
        <v/>
      </c>
      <c r="AP16" s="86">
        <f t="shared" si="14"/>
        <v>0</v>
      </c>
    </row>
    <row r="17" spans="1:42" s="117" customFormat="1" ht="15.75" x14ac:dyDescent="0.25">
      <c r="A17" s="94">
        <f t="shared" si="0"/>
        <v>17.999999999999996</v>
      </c>
      <c r="B17" s="95">
        <f t="shared" si="1"/>
        <v>785.87799999999993</v>
      </c>
      <c r="C17" s="96" t="str">
        <f t="shared" si="2"/>
        <v/>
      </c>
      <c r="D17" s="184"/>
      <c r="E17" s="117">
        <v>0.7</v>
      </c>
      <c r="X17" s="107"/>
      <c r="Y17" s="108"/>
      <c r="Z17" s="109"/>
      <c r="AA17" s="110">
        <v>0.26</v>
      </c>
      <c r="AB17" s="111"/>
      <c r="AC17" s="112" t="str">
        <f t="shared" si="3"/>
        <v/>
      </c>
      <c r="AD17" s="113">
        <f t="shared" si="13"/>
        <v>785.87799999999993</v>
      </c>
      <c r="AE17" s="114">
        <v>0.7</v>
      </c>
      <c r="AF17" s="113">
        <f t="shared" si="12"/>
        <v>17.999999999999996</v>
      </c>
      <c r="AG17" s="118"/>
      <c r="AH17" s="86">
        <f t="shared" si="4"/>
        <v>786.13799999999992</v>
      </c>
      <c r="AI17" s="86">
        <f t="shared" si="5"/>
        <v>788.86299999999994</v>
      </c>
      <c r="AJ17" s="86" t="str">
        <f t="shared" si="6"/>
        <v>NAOI</v>
      </c>
      <c r="AK17" s="93">
        <f t="shared" si="7"/>
        <v>786.13799999999992</v>
      </c>
      <c r="AL17" s="86" t="str">
        <f t="shared" si="8"/>
        <v/>
      </c>
      <c r="AM17" s="93" t="str">
        <f t="shared" si="9"/>
        <v/>
      </c>
      <c r="AN17" s="86" t="str">
        <f t="shared" si="10"/>
        <v/>
      </c>
      <c r="AO17" s="86" t="str">
        <f t="shared" si="11"/>
        <v/>
      </c>
      <c r="AP17" s="86">
        <f t="shared" si="14"/>
        <v>0</v>
      </c>
    </row>
    <row r="18" spans="1:42" s="117" customFormat="1" ht="15.75" x14ac:dyDescent="0.25">
      <c r="A18" s="94">
        <f t="shared" si="0"/>
        <v>18.699999999999996</v>
      </c>
      <c r="B18" s="95">
        <f t="shared" si="1"/>
        <v>785.80799999999988</v>
      </c>
      <c r="C18" s="96" t="str">
        <f t="shared" si="2"/>
        <v/>
      </c>
      <c r="D18" s="184"/>
      <c r="E18" s="117">
        <v>0.65</v>
      </c>
      <c r="X18" s="107"/>
      <c r="Y18" s="108"/>
      <c r="Z18" s="109"/>
      <c r="AA18" s="110">
        <v>0.33</v>
      </c>
      <c r="AB18" s="111"/>
      <c r="AC18" s="112" t="str">
        <f t="shared" si="3"/>
        <v/>
      </c>
      <c r="AD18" s="113">
        <f t="shared" si="13"/>
        <v>785.80799999999988</v>
      </c>
      <c r="AE18" s="114">
        <v>0.7</v>
      </c>
      <c r="AF18" s="113">
        <f t="shared" si="12"/>
        <v>18.699999999999996</v>
      </c>
      <c r="AG18" s="118"/>
      <c r="AH18" s="86">
        <f t="shared" si="4"/>
        <v>786.13799999999992</v>
      </c>
      <c r="AI18" s="86">
        <f t="shared" si="5"/>
        <v>788.86299999999994</v>
      </c>
      <c r="AJ18" s="86" t="str">
        <f t="shared" si="6"/>
        <v>NAOI</v>
      </c>
      <c r="AK18" s="93">
        <f t="shared" si="7"/>
        <v>786.13799999999992</v>
      </c>
      <c r="AL18" s="86" t="str">
        <f t="shared" si="8"/>
        <v/>
      </c>
      <c r="AM18" s="93" t="str">
        <f t="shared" si="9"/>
        <v/>
      </c>
      <c r="AN18" s="86" t="str">
        <f t="shared" si="10"/>
        <v/>
      </c>
      <c r="AO18" s="86" t="str">
        <f t="shared" si="11"/>
        <v/>
      </c>
      <c r="AP18" s="86">
        <f t="shared" si="14"/>
        <v>0</v>
      </c>
    </row>
    <row r="19" spans="1:42" s="117" customFormat="1" ht="15.75" x14ac:dyDescent="0.25">
      <c r="A19" s="94">
        <f t="shared" si="0"/>
        <v>19.399999999999995</v>
      </c>
      <c r="B19" s="95">
        <f t="shared" si="1"/>
        <v>785.80799999999988</v>
      </c>
      <c r="C19" s="96" t="str">
        <f t="shared" si="2"/>
        <v/>
      </c>
      <c r="D19" s="184"/>
      <c r="E19" s="117">
        <v>0.85</v>
      </c>
      <c r="X19" s="107"/>
      <c r="Y19" s="108"/>
      <c r="Z19" s="109"/>
      <c r="AA19" s="110">
        <v>0.33</v>
      </c>
      <c r="AB19" s="111"/>
      <c r="AC19" s="112" t="str">
        <f t="shared" si="3"/>
        <v/>
      </c>
      <c r="AD19" s="113">
        <f t="shared" si="13"/>
        <v>785.80799999999988</v>
      </c>
      <c r="AE19" s="114">
        <v>0.7</v>
      </c>
      <c r="AF19" s="113">
        <f t="shared" si="12"/>
        <v>19.399999999999995</v>
      </c>
      <c r="AG19" s="118"/>
      <c r="AH19" s="86">
        <f t="shared" si="4"/>
        <v>786.13799999999992</v>
      </c>
      <c r="AI19" s="86">
        <f t="shared" si="5"/>
        <v>788.86299999999994</v>
      </c>
      <c r="AJ19" s="86" t="str">
        <f t="shared" si="6"/>
        <v>NAOI</v>
      </c>
      <c r="AK19" s="93">
        <f t="shared" si="7"/>
        <v>786.13799999999992</v>
      </c>
      <c r="AL19" s="86" t="str">
        <f t="shared" si="8"/>
        <v/>
      </c>
      <c r="AM19" s="93" t="str">
        <f t="shared" si="9"/>
        <v/>
      </c>
      <c r="AN19" s="86" t="str">
        <f t="shared" si="10"/>
        <v/>
      </c>
      <c r="AO19" s="86" t="str">
        <f t="shared" si="11"/>
        <v/>
      </c>
      <c r="AP19" s="86">
        <f t="shared" si="14"/>
        <v>0</v>
      </c>
    </row>
    <row r="20" spans="1:42" s="117" customFormat="1" ht="15.75" x14ac:dyDescent="0.25">
      <c r="A20" s="94">
        <f t="shared" si="0"/>
        <v>20.099999999999994</v>
      </c>
      <c r="B20" s="95">
        <f t="shared" si="1"/>
        <v>785.64799999999991</v>
      </c>
      <c r="C20" s="96" t="str">
        <f t="shared" si="2"/>
        <v/>
      </c>
      <c r="D20" s="184"/>
      <c r="E20" s="117">
        <v>1.3</v>
      </c>
      <c r="X20" s="107"/>
      <c r="Y20" s="108"/>
      <c r="Z20" s="109"/>
      <c r="AA20" s="110">
        <v>0.49</v>
      </c>
      <c r="AB20" s="111"/>
      <c r="AC20" s="112" t="str">
        <f t="shared" si="3"/>
        <v/>
      </c>
      <c r="AD20" s="113">
        <f t="shared" si="13"/>
        <v>785.64799999999991</v>
      </c>
      <c r="AE20" s="114">
        <v>0.7</v>
      </c>
      <c r="AF20" s="113">
        <f t="shared" si="12"/>
        <v>20.099999999999994</v>
      </c>
      <c r="AG20" s="118"/>
      <c r="AH20" s="86">
        <f t="shared" si="4"/>
        <v>786.13799999999992</v>
      </c>
      <c r="AI20" s="86">
        <f t="shared" si="5"/>
        <v>788.86299999999994</v>
      </c>
      <c r="AJ20" s="86" t="str">
        <f t="shared" si="6"/>
        <v>NAOI</v>
      </c>
      <c r="AK20" s="93">
        <f t="shared" si="7"/>
        <v>786.13799999999992</v>
      </c>
      <c r="AL20" s="86" t="str">
        <f t="shared" si="8"/>
        <v/>
      </c>
      <c r="AM20" s="93" t="str">
        <f t="shared" si="9"/>
        <v/>
      </c>
      <c r="AN20" s="86" t="str">
        <f t="shared" si="10"/>
        <v/>
      </c>
      <c r="AO20" s="86" t="str">
        <f t="shared" si="11"/>
        <v/>
      </c>
      <c r="AP20" s="86">
        <f t="shared" si="14"/>
        <v>0</v>
      </c>
    </row>
    <row r="21" spans="1:42" s="117" customFormat="1" ht="15.75" x14ac:dyDescent="0.25">
      <c r="A21" s="94">
        <f t="shared" si="0"/>
        <v>20.799999999999994</v>
      </c>
      <c r="B21" s="95">
        <f t="shared" si="1"/>
        <v>785.52799999999991</v>
      </c>
      <c r="C21" s="96" t="str">
        <f t="shared" si="2"/>
        <v/>
      </c>
      <c r="D21" s="184"/>
      <c r="E21" s="117">
        <v>1.55</v>
      </c>
      <c r="X21" s="107"/>
      <c r="Y21" s="108"/>
      <c r="Z21" s="109"/>
      <c r="AA21" s="110">
        <v>0.61</v>
      </c>
      <c r="AB21" s="111"/>
      <c r="AC21" s="112" t="str">
        <f t="shared" si="3"/>
        <v/>
      </c>
      <c r="AD21" s="113">
        <f t="shared" si="13"/>
        <v>785.52799999999991</v>
      </c>
      <c r="AE21" s="114">
        <v>0.7</v>
      </c>
      <c r="AF21" s="113">
        <f t="shared" si="12"/>
        <v>20.799999999999994</v>
      </c>
      <c r="AG21" s="118"/>
      <c r="AH21" s="86">
        <f t="shared" si="4"/>
        <v>786.13799999999992</v>
      </c>
      <c r="AI21" s="86">
        <f t="shared" si="5"/>
        <v>788.86299999999994</v>
      </c>
      <c r="AJ21" s="86" t="str">
        <f t="shared" si="6"/>
        <v>NAOI</v>
      </c>
      <c r="AK21" s="93">
        <f t="shared" si="7"/>
        <v>786.13799999999992</v>
      </c>
      <c r="AL21" s="86" t="str">
        <f t="shared" si="8"/>
        <v/>
      </c>
      <c r="AM21" s="93" t="str">
        <f t="shared" si="9"/>
        <v/>
      </c>
      <c r="AN21" s="86" t="str">
        <f t="shared" si="10"/>
        <v/>
      </c>
      <c r="AO21" s="86" t="str">
        <f t="shared" si="11"/>
        <v/>
      </c>
      <c r="AP21" s="86">
        <f t="shared" si="14"/>
        <v>0</v>
      </c>
    </row>
    <row r="22" spans="1:42" s="117" customFormat="1" ht="15.75" x14ac:dyDescent="0.25">
      <c r="A22" s="94">
        <f t="shared" si="0"/>
        <v>21.499999999999993</v>
      </c>
      <c r="B22" s="95">
        <f t="shared" si="1"/>
        <v>785.44799999999987</v>
      </c>
      <c r="C22" s="96" t="str">
        <f t="shared" si="2"/>
        <v/>
      </c>
      <c r="D22" s="184"/>
      <c r="E22" s="117">
        <v>1.8</v>
      </c>
      <c r="X22" s="107"/>
      <c r="Y22" s="108"/>
      <c r="Z22" s="109"/>
      <c r="AA22" s="110">
        <v>0.69</v>
      </c>
      <c r="AB22" s="111"/>
      <c r="AC22" s="112" t="str">
        <f t="shared" si="3"/>
        <v/>
      </c>
      <c r="AD22" s="113">
        <f t="shared" si="13"/>
        <v>785.44799999999987</v>
      </c>
      <c r="AE22" s="114">
        <v>0.7</v>
      </c>
      <c r="AF22" s="113">
        <f t="shared" si="12"/>
        <v>21.499999999999993</v>
      </c>
      <c r="AG22" s="118"/>
      <c r="AH22" s="86">
        <f t="shared" si="4"/>
        <v>786.13799999999992</v>
      </c>
      <c r="AI22" s="86">
        <f t="shared" si="5"/>
        <v>788.86299999999994</v>
      </c>
      <c r="AJ22" s="86" t="str">
        <f t="shared" si="6"/>
        <v>NAOI</v>
      </c>
      <c r="AK22" s="93">
        <f t="shared" si="7"/>
        <v>786.13799999999992</v>
      </c>
      <c r="AL22" s="86" t="str">
        <f t="shared" si="8"/>
        <v/>
      </c>
      <c r="AM22" s="93" t="str">
        <f t="shared" si="9"/>
        <v/>
      </c>
      <c r="AN22" s="86" t="str">
        <f t="shared" si="10"/>
        <v/>
      </c>
      <c r="AO22" s="86" t="str">
        <f t="shared" si="11"/>
        <v/>
      </c>
      <c r="AP22" s="86">
        <f t="shared" si="14"/>
        <v>0</v>
      </c>
    </row>
    <row r="23" spans="1:42" s="117" customFormat="1" ht="15.75" x14ac:dyDescent="0.25">
      <c r="A23" s="94">
        <f t="shared" si="0"/>
        <v>22.199999999999992</v>
      </c>
      <c r="B23" s="95">
        <f t="shared" si="1"/>
        <v>785.44799999999987</v>
      </c>
      <c r="C23" s="96" t="str">
        <f t="shared" si="2"/>
        <v/>
      </c>
      <c r="D23" s="184"/>
      <c r="E23" s="117">
        <v>1.93</v>
      </c>
      <c r="X23" s="107"/>
      <c r="Y23" s="108"/>
      <c r="Z23" s="109"/>
      <c r="AA23" s="110">
        <v>0.69</v>
      </c>
      <c r="AB23" s="111"/>
      <c r="AC23" s="112" t="str">
        <f t="shared" si="3"/>
        <v/>
      </c>
      <c r="AD23" s="113">
        <f t="shared" si="13"/>
        <v>785.44799999999987</v>
      </c>
      <c r="AE23" s="114">
        <v>0.7</v>
      </c>
      <c r="AF23" s="113">
        <f t="shared" si="12"/>
        <v>22.199999999999992</v>
      </c>
      <c r="AG23" s="118"/>
      <c r="AH23" s="86">
        <f t="shared" si="4"/>
        <v>786.13799999999992</v>
      </c>
      <c r="AI23" s="86">
        <f t="shared" si="5"/>
        <v>788.86299999999994</v>
      </c>
      <c r="AJ23" s="86" t="str">
        <f t="shared" si="6"/>
        <v>NAOI</v>
      </c>
      <c r="AK23" s="93">
        <f t="shared" si="7"/>
        <v>786.13799999999992</v>
      </c>
      <c r="AL23" s="86" t="str">
        <f t="shared" si="8"/>
        <v/>
      </c>
      <c r="AM23" s="93" t="str">
        <f t="shared" si="9"/>
        <v/>
      </c>
      <c r="AN23" s="86" t="str">
        <f t="shared" si="10"/>
        <v/>
      </c>
      <c r="AO23" s="86" t="str">
        <f t="shared" si="11"/>
        <v/>
      </c>
      <c r="AP23" s="86">
        <f t="shared" si="14"/>
        <v>0</v>
      </c>
    </row>
    <row r="24" spans="1:42" s="117" customFormat="1" ht="15.75" x14ac:dyDescent="0.25">
      <c r="A24" s="94">
        <f t="shared" si="0"/>
        <v>22.899999999999991</v>
      </c>
      <c r="B24" s="95">
        <f t="shared" si="1"/>
        <v>785.36799999999994</v>
      </c>
      <c r="C24" s="96" t="str">
        <f t="shared" si="2"/>
        <v/>
      </c>
      <c r="D24" s="184"/>
      <c r="E24" s="117">
        <v>1.75</v>
      </c>
      <c r="X24" s="107"/>
      <c r="Y24" s="108"/>
      <c r="Z24" s="109"/>
      <c r="AA24" s="110">
        <v>0.77</v>
      </c>
      <c r="AB24" s="111"/>
      <c r="AC24" s="112" t="str">
        <f t="shared" si="3"/>
        <v/>
      </c>
      <c r="AD24" s="113">
        <f t="shared" si="13"/>
        <v>785.36799999999994</v>
      </c>
      <c r="AE24" s="114">
        <v>0.7</v>
      </c>
      <c r="AF24" s="113">
        <f t="shared" si="12"/>
        <v>22.899999999999991</v>
      </c>
      <c r="AG24" s="118"/>
      <c r="AH24" s="86">
        <f t="shared" si="4"/>
        <v>786.13799999999992</v>
      </c>
      <c r="AI24" s="86">
        <f t="shared" si="5"/>
        <v>788.86299999999994</v>
      </c>
      <c r="AJ24" s="86" t="str">
        <f t="shared" si="6"/>
        <v>NAOI</v>
      </c>
      <c r="AK24" s="93">
        <f t="shared" si="7"/>
        <v>786.13799999999992</v>
      </c>
      <c r="AL24" s="86" t="str">
        <f t="shared" si="8"/>
        <v/>
      </c>
      <c r="AM24" s="93" t="str">
        <f t="shared" si="9"/>
        <v/>
      </c>
      <c r="AN24" s="86" t="str">
        <f t="shared" si="10"/>
        <v/>
      </c>
      <c r="AO24" s="86" t="str">
        <f t="shared" si="11"/>
        <v/>
      </c>
      <c r="AP24" s="86">
        <f t="shared" si="14"/>
        <v>0</v>
      </c>
    </row>
    <row r="25" spans="1:42" s="117" customFormat="1" ht="15.75" x14ac:dyDescent="0.25">
      <c r="A25" s="94">
        <f t="shared" si="0"/>
        <v>23.599999999999991</v>
      </c>
      <c r="B25" s="95">
        <f t="shared" si="1"/>
        <v>785.26799999999992</v>
      </c>
      <c r="C25" s="96" t="str">
        <f t="shared" si="2"/>
        <v/>
      </c>
      <c r="D25" s="184"/>
      <c r="E25" s="117">
        <v>1.77</v>
      </c>
      <c r="X25" s="107"/>
      <c r="Y25" s="108"/>
      <c r="Z25" s="109"/>
      <c r="AA25" s="110">
        <v>0.87</v>
      </c>
      <c r="AB25" s="111"/>
      <c r="AC25" s="112" t="str">
        <f t="shared" si="3"/>
        <v/>
      </c>
      <c r="AD25" s="113">
        <f t="shared" si="13"/>
        <v>785.26799999999992</v>
      </c>
      <c r="AE25" s="114">
        <v>0.7</v>
      </c>
      <c r="AF25" s="113">
        <f t="shared" si="12"/>
        <v>23.599999999999991</v>
      </c>
      <c r="AG25" s="118"/>
      <c r="AH25" s="86">
        <f t="shared" si="4"/>
        <v>786.13799999999992</v>
      </c>
      <c r="AI25" s="86">
        <f t="shared" si="5"/>
        <v>788.86299999999994</v>
      </c>
      <c r="AJ25" s="86" t="str">
        <f t="shared" si="6"/>
        <v>NAOI</v>
      </c>
      <c r="AK25" s="93">
        <f t="shared" si="7"/>
        <v>786.13799999999992</v>
      </c>
      <c r="AL25" s="86" t="str">
        <f t="shared" si="8"/>
        <v/>
      </c>
      <c r="AM25" s="93" t="str">
        <f t="shared" si="9"/>
        <v/>
      </c>
      <c r="AN25" s="86" t="str">
        <f t="shared" si="10"/>
        <v/>
      </c>
      <c r="AO25" s="86" t="str">
        <f t="shared" si="11"/>
        <v/>
      </c>
      <c r="AP25" s="86">
        <f t="shared" si="14"/>
        <v>0</v>
      </c>
    </row>
    <row r="26" spans="1:42" s="117" customFormat="1" ht="15.75" x14ac:dyDescent="0.25">
      <c r="A26" s="94">
        <f t="shared" si="0"/>
        <v>24.29999999999999</v>
      </c>
      <c r="B26" s="95">
        <f t="shared" si="1"/>
        <v>785.23799999999994</v>
      </c>
      <c r="C26" s="96" t="str">
        <f t="shared" si="2"/>
        <v/>
      </c>
      <c r="D26" s="184"/>
      <c r="E26" s="117">
        <v>1.7</v>
      </c>
      <c r="X26" s="107"/>
      <c r="Y26" s="108"/>
      <c r="Z26" s="109"/>
      <c r="AA26" s="110">
        <v>0.9</v>
      </c>
      <c r="AB26" s="111"/>
      <c r="AC26" s="112" t="str">
        <f t="shared" si="3"/>
        <v/>
      </c>
      <c r="AD26" s="113">
        <f t="shared" si="13"/>
        <v>785.23799999999994</v>
      </c>
      <c r="AE26" s="114">
        <v>0.7</v>
      </c>
      <c r="AF26" s="113">
        <f t="shared" si="12"/>
        <v>24.29999999999999</v>
      </c>
      <c r="AG26" s="115"/>
      <c r="AH26" s="86">
        <f t="shared" si="4"/>
        <v>786.13799999999992</v>
      </c>
      <c r="AI26" s="86">
        <f t="shared" si="5"/>
        <v>788.86299999999994</v>
      </c>
      <c r="AJ26" s="86" t="str">
        <f t="shared" si="6"/>
        <v>NAOI</v>
      </c>
      <c r="AK26" s="93">
        <f t="shared" si="7"/>
        <v>786.13799999999992</v>
      </c>
      <c r="AL26" s="86" t="str">
        <f t="shared" si="8"/>
        <v/>
      </c>
      <c r="AM26" s="93" t="str">
        <f t="shared" si="9"/>
        <v/>
      </c>
      <c r="AN26" s="86" t="str">
        <f t="shared" si="10"/>
        <v/>
      </c>
      <c r="AO26" s="86" t="str">
        <f t="shared" si="11"/>
        <v/>
      </c>
      <c r="AP26" s="86">
        <f t="shared" si="14"/>
        <v>0</v>
      </c>
    </row>
    <row r="27" spans="1:42" ht="15.75" x14ac:dyDescent="0.25">
      <c r="A27" s="94">
        <f t="shared" si="0"/>
        <v>24.999999999999989</v>
      </c>
      <c r="B27" s="95">
        <f t="shared" si="1"/>
        <v>785.23799999999994</v>
      </c>
      <c r="C27" s="96" t="str">
        <f t="shared" si="2"/>
        <v/>
      </c>
      <c r="D27" s="184"/>
      <c r="E27" s="117">
        <v>1.7</v>
      </c>
      <c r="X27" s="107"/>
      <c r="Y27" s="108"/>
      <c r="Z27" s="109"/>
      <c r="AA27" s="110">
        <v>0.9</v>
      </c>
      <c r="AB27" s="111"/>
      <c r="AC27" s="112" t="str">
        <f t="shared" si="3"/>
        <v/>
      </c>
      <c r="AD27" s="113">
        <f t="shared" si="13"/>
        <v>785.23799999999994</v>
      </c>
      <c r="AE27" s="114">
        <v>0.7</v>
      </c>
      <c r="AF27" s="113">
        <f t="shared" si="12"/>
        <v>24.999999999999989</v>
      </c>
      <c r="AG27" s="115"/>
      <c r="AH27" s="86">
        <f t="shared" si="4"/>
        <v>786.13799999999992</v>
      </c>
      <c r="AI27" s="86">
        <f t="shared" si="5"/>
        <v>788.86299999999994</v>
      </c>
      <c r="AJ27" s="86" t="str">
        <f t="shared" si="6"/>
        <v>NAOI</v>
      </c>
      <c r="AK27" s="93">
        <f t="shared" si="7"/>
        <v>786.13799999999992</v>
      </c>
      <c r="AL27" s="86" t="str">
        <f t="shared" si="8"/>
        <v/>
      </c>
      <c r="AM27" s="93" t="str">
        <f t="shared" si="9"/>
        <v/>
      </c>
      <c r="AN27" s="86" t="str">
        <f t="shared" si="10"/>
        <v/>
      </c>
      <c r="AO27" s="86" t="str">
        <f t="shared" si="11"/>
        <v/>
      </c>
      <c r="AP27" s="86">
        <f t="shared" si="14"/>
        <v>0</v>
      </c>
    </row>
    <row r="28" spans="1:42" ht="15.75" x14ac:dyDescent="0.25">
      <c r="A28" s="94">
        <f t="shared" si="0"/>
        <v>25.999999999999989</v>
      </c>
      <c r="B28" s="95">
        <f t="shared" si="1"/>
        <v>786.13799999999992</v>
      </c>
      <c r="C28" s="96" t="str">
        <f t="shared" si="2"/>
        <v/>
      </c>
      <c r="D28" s="184"/>
      <c r="E28" s="117">
        <v>1.35</v>
      </c>
      <c r="X28" s="107"/>
      <c r="Y28" s="108"/>
      <c r="Z28" s="109"/>
      <c r="AA28" s="110">
        <v>0</v>
      </c>
      <c r="AB28" s="111"/>
      <c r="AC28" s="112" t="str">
        <f t="shared" si="3"/>
        <v/>
      </c>
      <c r="AD28" s="113">
        <f t="shared" si="13"/>
        <v>786.13799999999992</v>
      </c>
      <c r="AE28" s="114">
        <v>1</v>
      </c>
      <c r="AF28" s="113">
        <f t="shared" si="12"/>
        <v>25.999999999999989</v>
      </c>
      <c r="AG28" s="115"/>
      <c r="AH28" s="86">
        <f t="shared" si="4"/>
        <v>788.86299999999994</v>
      </c>
      <c r="AI28" s="86">
        <f t="shared" si="5"/>
        <v>788.86299999999994</v>
      </c>
      <c r="AJ28" s="86" t="str">
        <f t="shared" si="6"/>
        <v>NAOI</v>
      </c>
      <c r="AK28" s="93">
        <f t="shared" si="7"/>
        <v>786.13799999999992</v>
      </c>
      <c r="AL28" s="86" t="str">
        <f t="shared" si="8"/>
        <v/>
      </c>
      <c r="AM28" s="93" t="str">
        <f t="shared" si="9"/>
        <v/>
      </c>
      <c r="AN28" s="86" t="str">
        <f t="shared" si="10"/>
        <v/>
      </c>
      <c r="AO28" s="86" t="str">
        <f t="shared" si="11"/>
        <v/>
      </c>
      <c r="AP28" s="86">
        <f t="shared" si="14"/>
        <v>0</v>
      </c>
    </row>
    <row r="29" spans="1:42" ht="15.75" x14ac:dyDescent="0.25">
      <c r="A29" s="94">
        <f t="shared" si="0"/>
        <v>25.999999999999989</v>
      </c>
      <c r="B29" s="95">
        <f t="shared" si="1"/>
        <v>786.13799999999992</v>
      </c>
      <c r="C29" s="96" t="str">
        <f t="shared" si="2"/>
        <v>NAOD</v>
      </c>
      <c r="D29" s="184"/>
      <c r="E29" s="117">
        <v>1.2</v>
      </c>
      <c r="X29" s="107"/>
      <c r="Y29" s="108"/>
      <c r="Z29" s="109"/>
      <c r="AA29" s="110">
        <v>2.7250000000000001</v>
      </c>
      <c r="AB29" s="111"/>
      <c r="AC29" s="112" t="str">
        <f t="shared" si="3"/>
        <v/>
      </c>
      <c r="AD29" s="113">
        <f t="shared" si="13"/>
        <v>786.13799999999992</v>
      </c>
      <c r="AE29" s="114">
        <v>0</v>
      </c>
      <c r="AF29" s="113">
        <f t="shared" si="12"/>
        <v>25.999999999999989</v>
      </c>
      <c r="AG29" s="116" t="s">
        <v>10</v>
      </c>
      <c r="AH29" s="86">
        <f t="shared" si="4"/>
        <v>788.86299999999994</v>
      </c>
      <c r="AI29" s="86">
        <f t="shared" si="5"/>
        <v>788.86299999999994</v>
      </c>
      <c r="AJ29" s="86" t="str">
        <f t="shared" si="6"/>
        <v>NAOD</v>
      </c>
      <c r="AK29" s="93">
        <f t="shared" si="7"/>
        <v>786.13799999999992</v>
      </c>
      <c r="AL29" s="86" t="str">
        <f t="shared" si="8"/>
        <v/>
      </c>
      <c r="AM29" s="93" t="str">
        <f t="shared" si="9"/>
        <v/>
      </c>
      <c r="AN29" s="86">
        <f t="shared" si="10"/>
        <v>786.13799999999992</v>
      </c>
      <c r="AO29" s="86">
        <f t="shared" si="11"/>
        <v>25.999999999999989</v>
      </c>
      <c r="AP29" s="86">
        <f t="shared" si="14"/>
        <v>0</v>
      </c>
    </row>
    <row r="30" spans="1:42" ht="15.75" x14ac:dyDescent="0.25">
      <c r="A30" s="94">
        <f t="shared" si="0"/>
        <v>27.099999999999991</v>
      </c>
      <c r="B30" s="95">
        <f t="shared" si="1"/>
        <v>786.82099999999991</v>
      </c>
      <c r="C30" s="96" t="str">
        <f t="shared" si="2"/>
        <v/>
      </c>
      <c r="D30" s="184"/>
      <c r="E30" s="117">
        <v>0.8</v>
      </c>
      <c r="X30" s="107"/>
      <c r="Y30" s="108"/>
      <c r="Z30" s="109"/>
      <c r="AA30" s="110">
        <v>2.0419999999999998</v>
      </c>
      <c r="AB30" s="111"/>
      <c r="AC30" s="112" t="str">
        <f t="shared" si="3"/>
        <v/>
      </c>
      <c r="AD30" s="113">
        <f t="shared" si="13"/>
        <v>786.82099999999991</v>
      </c>
      <c r="AE30" s="114">
        <v>1.1000000000000001</v>
      </c>
      <c r="AF30" s="113">
        <f t="shared" si="12"/>
        <v>27.099999999999991</v>
      </c>
      <c r="AG30" s="115"/>
      <c r="AH30" s="86">
        <f t="shared" si="4"/>
        <v>788.86299999999994</v>
      </c>
      <c r="AI30" s="86">
        <f t="shared" si="5"/>
        <v>788.86299999999994</v>
      </c>
      <c r="AJ30" s="86" t="str">
        <f t="shared" si="6"/>
        <v>NAOD</v>
      </c>
      <c r="AK30" s="93">
        <f t="shared" si="7"/>
        <v>786.82099999999991</v>
      </c>
      <c r="AL30" s="86" t="str">
        <f t="shared" si="8"/>
        <v/>
      </c>
      <c r="AM30" s="93" t="str">
        <f t="shared" si="9"/>
        <v/>
      </c>
      <c r="AN30" s="86" t="str">
        <f t="shared" si="10"/>
        <v/>
      </c>
      <c r="AO30" s="86" t="str">
        <f t="shared" si="11"/>
        <v/>
      </c>
      <c r="AP30" s="86">
        <f t="shared" si="14"/>
        <v>0</v>
      </c>
    </row>
    <row r="31" spans="1:42" ht="15.75" x14ac:dyDescent="0.25">
      <c r="A31" s="94">
        <f t="shared" si="0"/>
        <v>27.099999999999991</v>
      </c>
      <c r="B31" s="95">
        <f t="shared" si="1"/>
        <v>787.76299999999992</v>
      </c>
      <c r="C31" s="96" t="str">
        <f t="shared" si="2"/>
        <v/>
      </c>
      <c r="D31" s="184"/>
      <c r="E31" s="117">
        <v>0.55000000000000004</v>
      </c>
      <c r="X31" s="107" t="s">
        <v>48</v>
      </c>
      <c r="Y31" s="108"/>
      <c r="Z31" s="109">
        <v>4.8810000000000002</v>
      </c>
      <c r="AA31" s="110"/>
      <c r="AB31" s="111">
        <v>1.1000000000000001</v>
      </c>
      <c r="AC31" s="112">
        <f t="shared" si="3"/>
        <v>792.64399999999989</v>
      </c>
      <c r="AD31" s="113">
        <f t="shared" si="13"/>
        <v>787.76299999999992</v>
      </c>
      <c r="AE31" s="114">
        <v>0</v>
      </c>
      <c r="AF31" s="113">
        <f t="shared" si="12"/>
        <v>27.099999999999991</v>
      </c>
      <c r="AG31" s="118"/>
      <c r="AH31" s="86">
        <f t="shared" si="4"/>
        <v>792.64399999999989</v>
      </c>
      <c r="AI31" s="86">
        <f t="shared" si="5"/>
        <v>792.64399999999989</v>
      </c>
      <c r="AJ31" s="86" t="str">
        <f t="shared" si="6"/>
        <v>NAOD</v>
      </c>
      <c r="AK31" s="93">
        <f t="shared" si="7"/>
        <v>787.76299999999992</v>
      </c>
      <c r="AL31" s="86" t="str">
        <f t="shared" si="8"/>
        <v/>
      </c>
      <c r="AM31" s="93" t="str">
        <f t="shared" si="9"/>
        <v/>
      </c>
      <c r="AN31" s="86" t="str">
        <f t="shared" si="10"/>
        <v/>
      </c>
      <c r="AO31" s="86" t="str">
        <f t="shared" si="11"/>
        <v/>
      </c>
      <c r="AP31" s="86">
        <f t="shared" si="14"/>
        <v>0</v>
      </c>
    </row>
    <row r="32" spans="1:42" ht="15.75" x14ac:dyDescent="0.25">
      <c r="A32" s="94">
        <f t="shared" si="0"/>
        <v>27.099999999999991</v>
      </c>
      <c r="B32" s="95">
        <f t="shared" si="1"/>
        <v>791.2109999999999</v>
      </c>
      <c r="C32" s="96" t="str">
        <f t="shared" si="2"/>
        <v>PRD</v>
      </c>
      <c r="D32" s="184"/>
      <c r="E32" s="117">
        <v>0.35</v>
      </c>
      <c r="X32" s="107" t="s">
        <v>5</v>
      </c>
      <c r="Y32" s="108"/>
      <c r="Z32" s="109"/>
      <c r="AA32" s="110">
        <v>1.4330000000000001</v>
      </c>
      <c r="AB32" s="111"/>
      <c r="AC32" s="112" t="str">
        <f t="shared" si="3"/>
        <v/>
      </c>
      <c r="AD32" s="113">
        <f t="shared" si="13"/>
        <v>791.2109999999999</v>
      </c>
      <c r="AE32" s="114">
        <v>0</v>
      </c>
      <c r="AF32" s="113">
        <f t="shared" si="12"/>
        <v>27.099999999999991</v>
      </c>
      <c r="AG32" s="115" t="s">
        <v>5</v>
      </c>
      <c r="AH32" s="86">
        <f t="shared" si="4"/>
        <v>792.64399999999989</v>
      </c>
      <c r="AI32" s="86">
        <f t="shared" si="5"/>
        <v>792.64399999999989</v>
      </c>
      <c r="AJ32" s="86" t="str">
        <f t="shared" si="6"/>
        <v>PRD</v>
      </c>
      <c r="AK32" s="93">
        <f t="shared" si="7"/>
        <v>791.2109999999999</v>
      </c>
      <c r="AL32" s="86" t="str">
        <f t="shared" si="8"/>
        <v/>
      </c>
      <c r="AM32" s="93" t="str">
        <f t="shared" si="9"/>
        <v/>
      </c>
      <c r="AN32" s="86" t="str">
        <f t="shared" si="10"/>
        <v/>
      </c>
      <c r="AO32" s="86" t="str">
        <f t="shared" si="11"/>
        <v/>
      </c>
      <c r="AP32" s="86">
        <f t="shared" si="14"/>
        <v>0</v>
      </c>
    </row>
    <row r="33" spans="1:42" ht="15.75" x14ac:dyDescent="0.25">
      <c r="A33" s="94">
        <f t="shared" si="0"/>
        <v>27.099999999999991</v>
      </c>
      <c r="B33" s="95">
        <f t="shared" si="1"/>
        <v>791.19799999999987</v>
      </c>
      <c r="C33" s="96" t="str">
        <f t="shared" si="2"/>
        <v>S/BM</v>
      </c>
      <c r="D33" s="184"/>
      <c r="X33" s="107" t="s">
        <v>17</v>
      </c>
      <c r="Y33" s="108"/>
      <c r="Z33" s="109"/>
      <c r="AA33" s="110">
        <v>1.446</v>
      </c>
      <c r="AB33" s="111"/>
      <c r="AC33" s="112" t="str">
        <f t="shared" si="3"/>
        <v/>
      </c>
      <c r="AD33" s="113">
        <f t="shared" si="13"/>
        <v>791.19799999999987</v>
      </c>
      <c r="AE33" s="114">
        <v>0</v>
      </c>
      <c r="AF33" s="113">
        <f t="shared" si="12"/>
        <v>27.099999999999991</v>
      </c>
      <c r="AG33" s="115" t="s">
        <v>24</v>
      </c>
      <c r="AH33" s="86">
        <f t="shared" si="4"/>
        <v>792.64399999999989</v>
      </c>
      <c r="AI33" s="86">
        <f t="shared" si="5"/>
        <v>792.64399999999989</v>
      </c>
      <c r="AJ33" s="86" t="str">
        <f t="shared" si="6"/>
        <v>S/BM</v>
      </c>
      <c r="AK33" s="93">
        <f t="shared" si="7"/>
        <v>791.19799999999987</v>
      </c>
      <c r="AL33" s="86" t="str">
        <f t="shared" si="8"/>
        <v/>
      </c>
      <c r="AM33" s="93" t="str">
        <f t="shared" si="9"/>
        <v/>
      </c>
      <c r="AN33" s="86" t="str">
        <f t="shared" si="10"/>
        <v/>
      </c>
      <c r="AO33" s="86" t="str">
        <f t="shared" si="11"/>
        <v/>
      </c>
      <c r="AP33" s="86">
        <f t="shared" si="14"/>
        <v>0</v>
      </c>
    </row>
    <row r="34" spans="1:42" ht="15.75" x14ac:dyDescent="0.25">
      <c r="A34" s="94"/>
      <c r="B34" s="95"/>
      <c r="C34" s="96" t="str">
        <f t="shared" si="2"/>
        <v/>
      </c>
      <c r="D34" s="184"/>
      <c r="X34" s="107"/>
      <c r="Y34" s="108"/>
      <c r="Z34" s="109"/>
      <c r="AA34" s="110"/>
      <c r="AB34" s="111"/>
      <c r="AC34" s="112"/>
      <c r="AD34" s="113"/>
      <c r="AE34" s="114"/>
      <c r="AF34" s="113"/>
      <c r="AG34" s="115"/>
      <c r="AH34" s="86">
        <f t="shared" si="4"/>
        <v>0</v>
      </c>
      <c r="AI34" s="86">
        <f t="shared" si="5"/>
        <v>0</v>
      </c>
      <c r="AJ34" s="86" t="str">
        <f t="shared" si="6"/>
        <v>S/BM</v>
      </c>
      <c r="AK34" s="93">
        <f t="shared" si="7"/>
        <v>0</v>
      </c>
      <c r="AL34" s="86" t="str">
        <f t="shared" si="8"/>
        <v/>
      </c>
      <c r="AM34" s="93" t="str">
        <f t="shared" si="9"/>
        <v/>
      </c>
      <c r="AN34" s="86" t="str">
        <f t="shared" si="10"/>
        <v/>
      </c>
      <c r="AO34" s="86" t="str">
        <f t="shared" si="11"/>
        <v/>
      </c>
      <c r="AP34" s="86">
        <f t="shared" si="14"/>
        <v>1</v>
      </c>
    </row>
    <row r="35" spans="1:42" ht="15.75" x14ac:dyDescent="0.25">
      <c r="A35" s="94"/>
      <c r="B35" s="95"/>
      <c r="C35" s="96" t="str">
        <f t="shared" si="2"/>
        <v/>
      </c>
      <c r="D35" s="184"/>
      <c r="X35" s="107"/>
      <c r="Y35" s="108"/>
      <c r="Z35" s="109"/>
      <c r="AA35" s="110"/>
      <c r="AB35" s="111"/>
      <c r="AC35" s="112"/>
      <c r="AD35" s="113"/>
      <c r="AE35" s="114"/>
      <c r="AF35" s="113"/>
      <c r="AG35" s="115"/>
      <c r="AH35" s="86">
        <f t="shared" si="4"/>
        <v>0</v>
      </c>
      <c r="AI35" s="86">
        <f t="shared" si="5"/>
        <v>0</v>
      </c>
      <c r="AJ35" s="86" t="str">
        <f t="shared" si="6"/>
        <v>S/BM</v>
      </c>
      <c r="AK35" s="93">
        <f t="shared" si="7"/>
        <v>0</v>
      </c>
      <c r="AL35" s="86" t="str">
        <f t="shared" si="8"/>
        <v/>
      </c>
      <c r="AM35" s="93" t="str">
        <f t="shared" si="9"/>
        <v/>
      </c>
      <c r="AN35" s="86" t="str">
        <f t="shared" si="10"/>
        <v/>
      </c>
      <c r="AO35" s="86" t="str">
        <f t="shared" si="11"/>
        <v/>
      </c>
      <c r="AP35" s="86">
        <f t="shared" si="14"/>
        <v>1</v>
      </c>
    </row>
    <row r="36" spans="1:42" ht="15.75" x14ac:dyDescent="0.25">
      <c r="A36" s="94"/>
      <c r="B36" s="95"/>
      <c r="C36" s="96" t="str">
        <f t="shared" si="2"/>
        <v/>
      </c>
      <c r="D36" s="184"/>
      <c r="X36" s="107"/>
      <c r="Y36" s="108"/>
      <c r="Z36" s="109"/>
      <c r="AA36" s="110"/>
      <c r="AB36" s="111"/>
      <c r="AC36" s="112"/>
      <c r="AD36" s="113"/>
      <c r="AE36" s="114"/>
      <c r="AF36" s="113"/>
      <c r="AG36" s="115"/>
      <c r="AH36" s="86">
        <f t="shared" si="4"/>
        <v>0</v>
      </c>
      <c r="AI36" s="86">
        <f t="shared" si="5"/>
        <v>0</v>
      </c>
      <c r="AJ36" s="86" t="str">
        <f t="shared" si="6"/>
        <v>S/BM</v>
      </c>
      <c r="AK36" s="93">
        <f t="shared" si="7"/>
        <v>0</v>
      </c>
      <c r="AL36" s="86" t="str">
        <f t="shared" si="8"/>
        <v/>
      </c>
      <c r="AM36" s="93" t="str">
        <f t="shared" si="9"/>
        <v/>
      </c>
      <c r="AN36" s="86" t="str">
        <f t="shared" si="10"/>
        <v/>
      </c>
      <c r="AO36" s="86" t="str">
        <f t="shared" si="11"/>
        <v/>
      </c>
      <c r="AP36" s="86">
        <f t="shared" si="14"/>
        <v>1</v>
      </c>
    </row>
    <row r="37" spans="1:42" ht="15.75" x14ac:dyDescent="0.25">
      <c r="A37" s="94"/>
      <c r="B37" s="95"/>
      <c r="C37" s="96" t="str">
        <f t="shared" si="2"/>
        <v/>
      </c>
      <c r="D37" s="184"/>
      <c r="X37" s="107"/>
      <c r="Y37" s="108"/>
      <c r="Z37" s="109"/>
      <c r="AA37" s="110"/>
      <c r="AB37" s="111"/>
      <c r="AC37" s="112"/>
      <c r="AD37" s="113"/>
      <c r="AE37" s="114"/>
      <c r="AF37" s="113"/>
      <c r="AG37" s="115"/>
      <c r="AH37" s="86">
        <f t="shared" si="4"/>
        <v>0</v>
      </c>
      <c r="AI37" s="86">
        <f t="shared" si="5"/>
        <v>0</v>
      </c>
      <c r="AJ37" s="86" t="str">
        <f t="shared" si="6"/>
        <v>S/BM</v>
      </c>
      <c r="AK37" s="93">
        <f t="shared" si="7"/>
        <v>0</v>
      </c>
      <c r="AL37" s="86" t="str">
        <f t="shared" si="8"/>
        <v/>
      </c>
      <c r="AM37" s="93" t="str">
        <f t="shared" si="9"/>
        <v/>
      </c>
      <c r="AN37" s="86" t="str">
        <f t="shared" si="10"/>
        <v/>
      </c>
      <c r="AO37" s="86" t="str">
        <f t="shared" si="11"/>
        <v/>
      </c>
      <c r="AP37" s="86">
        <f t="shared" si="14"/>
        <v>1</v>
      </c>
    </row>
    <row r="38" spans="1:42" ht="15.75" x14ac:dyDescent="0.25">
      <c r="A38" s="94"/>
      <c r="B38" s="95"/>
      <c r="C38" s="96" t="str">
        <f t="shared" si="2"/>
        <v/>
      </c>
      <c r="D38" s="184"/>
      <c r="X38" s="107"/>
      <c r="Y38" s="108"/>
      <c r="Z38" s="109"/>
      <c r="AA38" s="110"/>
      <c r="AB38" s="111"/>
      <c r="AC38" s="112"/>
      <c r="AD38" s="113"/>
      <c r="AE38" s="114"/>
      <c r="AF38" s="113"/>
      <c r="AG38" s="115"/>
      <c r="AH38" s="86">
        <f t="shared" si="4"/>
        <v>0</v>
      </c>
      <c r="AI38" s="86">
        <f t="shared" si="5"/>
        <v>0</v>
      </c>
      <c r="AJ38" s="86" t="str">
        <f t="shared" si="6"/>
        <v>S/BM</v>
      </c>
      <c r="AK38" s="93">
        <f t="shared" si="7"/>
        <v>0</v>
      </c>
      <c r="AL38" s="86" t="str">
        <f t="shared" si="8"/>
        <v/>
      </c>
      <c r="AM38" s="93" t="str">
        <f t="shared" si="9"/>
        <v/>
      </c>
      <c r="AN38" s="86" t="str">
        <f t="shared" si="10"/>
        <v/>
      </c>
      <c r="AO38" s="86" t="str">
        <f t="shared" si="11"/>
        <v/>
      </c>
      <c r="AP38" s="86">
        <f t="shared" si="14"/>
        <v>1</v>
      </c>
    </row>
    <row r="39" spans="1:42" ht="15.75" x14ac:dyDescent="0.25">
      <c r="A39" s="94"/>
      <c r="B39" s="95"/>
      <c r="C39" s="96" t="str">
        <f t="shared" si="2"/>
        <v/>
      </c>
      <c r="D39" s="184"/>
      <c r="X39" s="107"/>
      <c r="Y39" s="108"/>
      <c r="Z39" s="109"/>
      <c r="AA39" s="110"/>
      <c r="AB39" s="111"/>
      <c r="AC39" s="112"/>
      <c r="AD39" s="113"/>
      <c r="AE39" s="114"/>
      <c r="AF39" s="113"/>
      <c r="AG39" s="115"/>
      <c r="AH39" s="86">
        <f t="shared" si="4"/>
        <v>0</v>
      </c>
      <c r="AI39" s="86">
        <f t="shared" si="5"/>
        <v>0</v>
      </c>
      <c r="AJ39" s="86" t="str">
        <f t="shared" si="6"/>
        <v>S/BM</v>
      </c>
      <c r="AK39" s="93">
        <f t="shared" si="7"/>
        <v>0</v>
      </c>
      <c r="AL39" s="86" t="str">
        <f t="shared" si="8"/>
        <v/>
      </c>
      <c r="AM39" s="93" t="str">
        <f t="shared" si="9"/>
        <v/>
      </c>
      <c r="AN39" s="86" t="str">
        <f t="shared" si="10"/>
        <v/>
      </c>
      <c r="AO39" s="86" t="str">
        <f t="shared" si="11"/>
        <v/>
      </c>
      <c r="AP39" s="86">
        <f t="shared" si="14"/>
        <v>1</v>
      </c>
    </row>
    <row r="40" spans="1:42" ht="15.75" x14ac:dyDescent="0.25">
      <c r="A40" s="94"/>
      <c r="B40" s="95"/>
      <c r="C40" s="96" t="str">
        <f t="shared" si="2"/>
        <v/>
      </c>
      <c r="D40" s="184"/>
      <c r="X40" s="107"/>
      <c r="Y40" s="108"/>
      <c r="Z40" s="109"/>
      <c r="AA40" s="110"/>
      <c r="AB40" s="111"/>
      <c r="AC40" s="112"/>
      <c r="AD40" s="113"/>
      <c r="AE40" s="114"/>
      <c r="AF40" s="113"/>
      <c r="AG40" s="115"/>
      <c r="AH40" s="86">
        <f t="shared" si="4"/>
        <v>0</v>
      </c>
      <c r="AI40" s="86">
        <f t="shared" si="5"/>
        <v>0</v>
      </c>
      <c r="AJ40" s="86" t="str">
        <f t="shared" si="6"/>
        <v>S/BM</v>
      </c>
      <c r="AK40" s="93">
        <f t="shared" si="7"/>
        <v>0</v>
      </c>
      <c r="AL40" s="86" t="str">
        <f t="shared" si="8"/>
        <v/>
      </c>
      <c r="AM40" s="93" t="str">
        <f t="shared" si="9"/>
        <v/>
      </c>
      <c r="AN40" s="86" t="str">
        <f t="shared" si="10"/>
        <v/>
      </c>
      <c r="AO40" s="86" t="str">
        <f t="shared" si="11"/>
        <v/>
      </c>
      <c r="AP40" s="86">
        <f t="shared" si="14"/>
        <v>1</v>
      </c>
    </row>
    <row r="41" spans="1:42" ht="15.75" x14ac:dyDescent="0.25">
      <c r="A41" s="94"/>
      <c r="B41" s="95"/>
      <c r="C41" s="96"/>
      <c r="D41" s="184"/>
      <c r="X41" s="107"/>
      <c r="Y41" s="108"/>
      <c r="Z41" s="109"/>
      <c r="AA41" s="110"/>
      <c r="AB41" s="111"/>
      <c r="AC41" s="112"/>
      <c r="AD41" s="113"/>
      <c r="AE41" s="114"/>
      <c r="AF41" s="113"/>
      <c r="AG41" s="115"/>
      <c r="AH41" s="86">
        <f t="shared" si="4"/>
        <v>0</v>
      </c>
      <c r="AI41" s="86">
        <f t="shared" si="5"/>
        <v>0</v>
      </c>
      <c r="AJ41" s="86" t="str">
        <f t="shared" si="6"/>
        <v>S/BM</v>
      </c>
      <c r="AK41" s="93">
        <f t="shared" si="7"/>
        <v>0</v>
      </c>
      <c r="AL41" s="86" t="str">
        <f t="shared" si="8"/>
        <v/>
      </c>
      <c r="AM41" s="93" t="str">
        <f t="shared" si="9"/>
        <v/>
      </c>
      <c r="AN41" s="86" t="str">
        <f t="shared" si="10"/>
        <v/>
      </c>
      <c r="AO41" s="86" t="str">
        <f t="shared" si="11"/>
        <v/>
      </c>
      <c r="AP41" s="86">
        <f t="shared" si="14"/>
        <v>1</v>
      </c>
    </row>
    <row r="42" spans="1:42" ht="15.75" x14ac:dyDescent="0.25">
      <c r="A42" s="94"/>
      <c r="B42" s="95"/>
      <c r="C42" s="96" t="str">
        <f t="shared" ref="C42:C51" si="15">IF(AG42="","",AG42)</f>
        <v/>
      </c>
      <c r="D42" s="184"/>
      <c r="X42" s="107"/>
      <c r="Y42" s="108"/>
      <c r="Z42" s="109"/>
      <c r="AA42" s="110"/>
      <c r="AB42" s="111"/>
      <c r="AC42" s="112"/>
      <c r="AD42" s="113"/>
      <c r="AE42" s="114"/>
      <c r="AF42" s="113"/>
      <c r="AG42" s="115"/>
      <c r="AH42" s="86">
        <f t="shared" si="4"/>
        <v>0</v>
      </c>
      <c r="AI42" s="86">
        <f t="shared" si="5"/>
        <v>0</v>
      </c>
      <c r="AJ42" s="86" t="str">
        <f t="shared" si="6"/>
        <v>S/BM</v>
      </c>
      <c r="AK42" s="93">
        <f t="shared" si="7"/>
        <v>0</v>
      </c>
      <c r="AL42" s="86" t="str">
        <f t="shared" si="8"/>
        <v/>
      </c>
      <c r="AM42" s="93" t="str">
        <f t="shared" si="9"/>
        <v/>
      </c>
      <c r="AN42" s="86" t="str">
        <f t="shared" si="10"/>
        <v/>
      </c>
      <c r="AO42" s="86" t="str">
        <f t="shared" si="11"/>
        <v/>
      </c>
      <c r="AP42" s="86">
        <f t="shared" si="14"/>
        <v>1</v>
      </c>
    </row>
    <row r="43" spans="1:42" ht="15.75" x14ac:dyDescent="0.25">
      <c r="A43" s="94"/>
      <c r="B43" s="95"/>
      <c r="C43" s="96" t="str">
        <f t="shared" si="15"/>
        <v/>
      </c>
      <c r="D43" s="184"/>
      <c r="X43" s="107"/>
      <c r="Y43" s="108"/>
      <c r="Z43" s="109"/>
      <c r="AA43" s="110"/>
      <c r="AB43" s="111"/>
      <c r="AC43" s="112"/>
      <c r="AD43" s="113"/>
      <c r="AE43" s="114"/>
      <c r="AF43" s="113"/>
      <c r="AG43" s="115"/>
      <c r="AH43" s="86">
        <f t="shared" si="4"/>
        <v>0</v>
      </c>
      <c r="AI43" s="86">
        <f t="shared" si="5"/>
        <v>0</v>
      </c>
      <c r="AJ43" s="86" t="str">
        <f t="shared" si="6"/>
        <v>S/BM</v>
      </c>
      <c r="AK43" s="93">
        <f t="shared" si="7"/>
        <v>0</v>
      </c>
      <c r="AL43" s="86" t="str">
        <f t="shared" si="8"/>
        <v/>
      </c>
      <c r="AM43" s="93" t="str">
        <f t="shared" si="9"/>
        <v/>
      </c>
      <c r="AN43" s="86" t="str">
        <f t="shared" si="10"/>
        <v/>
      </c>
      <c r="AO43" s="86" t="str">
        <f t="shared" si="11"/>
        <v/>
      </c>
      <c r="AP43" s="86">
        <f t="shared" si="14"/>
        <v>1</v>
      </c>
    </row>
    <row r="44" spans="1:42" ht="15.75" x14ac:dyDescent="0.25">
      <c r="A44" s="94"/>
      <c r="B44" s="95"/>
      <c r="C44" s="96" t="str">
        <f t="shared" si="15"/>
        <v/>
      </c>
      <c r="D44" s="184"/>
      <c r="X44" s="107"/>
      <c r="Y44" s="108"/>
      <c r="Z44" s="109"/>
      <c r="AA44" s="110"/>
      <c r="AB44" s="111"/>
      <c r="AC44" s="112"/>
      <c r="AD44" s="113"/>
      <c r="AE44" s="114"/>
      <c r="AF44" s="113"/>
      <c r="AG44" s="115"/>
      <c r="AH44" s="86">
        <f t="shared" si="4"/>
        <v>0</v>
      </c>
      <c r="AI44" s="86">
        <f t="shared" si="5"/>
        <v>0</v>
      </c>
      <c r="AJ44" s="86" t="str">
        <f t="shared" si="6"/>
        <v>S/BM</v>
      </c>
      <c r="AK44" s="93">
        <f t="shared" si="7"/>
        <v>0</v>
      </c>
      <c r="AL44" s="86" t="str">
        <f t="shared" si="8"/>
        <v/>
      </c>
      <c r="AM44" s="93" t="str">
        <f t="shared" si="9"/>
        <v/>
      </c>
      <c r="AN44" s="86" t="str">
        <f t="shared" si="10"/>
        <v/>
      </c>
      <c r="AO44" s="86" t="str">
        <f t="shared" si="11"/>
        <v/>
      </c>
      <c r="AP44" s="86">
        <f t="shared" si="14"/>
        <v>1</v>
      </c>
    </row>
    <row r="45" spans="1:42" ht="15.75" x14ac:dyDescent="0.25">
      <c r="A45" s="94"/>
      <c r="B45" s="95"/>
      <c r="C45" s="96" t="str">
        <f t="shared" si="15"/>
        <v/>
      </c>
      <c r="D45" s="184"/>
      <c r="X45" s="107"/>
      <c r="Y45" s="108"/>
      <c r="Z45" s="109"/>
      <c r="AA45" s="119"/>
      <c r="AB45" s="120"/>
      <c r="AC45" s="112"/>
      <c r="AD45" s="113"/>
      <c r="AE45" s="121"/>
      <c r="AF45" s="113"/>
      <c r="AG45" s="115"/>
      <c r="AH45" s="86">
        <f t="shared" si="4"/>
        <v>0</v>
      </c>
      <c r="AI45" s="86">
        <f t="shared" si="5"/>
        <v>0</v>
      </c>
      <c r="AJ45" s="86" t="str">
        <f t="shared" si="6"/>
        <v>S/BM</v>
      </c>
      <c r="AK45" s="93">
        <f t="shared" si="7"/>
        <v>0</v>
      </c>
      <c r="AL45" s="86" t="str">
        <f t="shared" si="8"/>
        <v/>
      </c>
      <c r="AM45" s="93" t="str">
        <f t="shared" si="9"/>
        <v/>
      </c>
      <c r="AN45" s="86" t="str">
        <f t="shared" si="10"/>
        <v/>
      </c>
      <c r="AO45" s="86" t="str">
        <f t="shared" si="11"/>
        <v/>
      </c>
      <c r="AP45" s="86">
        <f t="shared" si="14"/>
        <v>1</v>
      </c>
    </row>
    <row r="46" spans="1:42" ht="15.75" x14ac:dyDescent="0.25">
      <c r="A46" s="94"/>
      <c r="B46" s="95"/>
      <c r="C46" s="96" t="str">
        <f t="shared" si="15"/>
        <v/>
      </c>
      <c r="D46" s="184"/>
      <c r="X46" s="107"/>
      <c r="Y46" s="108"/>
      <c r="Z46" s="109"/>
      <c r="AA46" s="119"/>
      <c r="AB46" s="120"/>
      <c r="AC46" s="112"/>
      <c r="AD46" s="113"/>
      <c r="AE46" s="121"/>
      <c r="AF46" s="113"/>
      <c r="AG46" s="116"/>
      <c r="AH46" s="86">
        <f t="shared" si="4"/>
        <v>0</v>
      </c>
      <c r="AI46" s="86">
        <f t="shared" si="5"/>
        <v>0</v>
      </c>
      <c r="AJ46" s="86" t="str">
        <f t="shared" si="6"/>
        <v>S/BM</v>
      </c>
      <c r="AK46" s="93">
        <f t="shared" si="7"/>
        <v>0</v>
      </c>
      <c r="AL46" s="86" t="str">
        <f t="shared" si="8"/>
        <v/>
      </c>
      <c r="AM46" s="93" t="str">
        <f t="shared" si="9"/>
        <v/>
      </c>
      <c r="AN46" s="86" t="str">
        <f t="shared" si="10"/>
        <v/>
      </c>
      <c r="AO46" s="86" t="str">
        <f t="shared" si="11"/>
        <v/>
      </c>
      <c r="AP46" s="86">
        <f t="shared" si="14"/>
        <v>1</v>
      </c>
    </row>
    <row r="47" spans="1:42" ht="15.75" x14ac:dyDescent="0.25">
      <c r="A47" s="94"/>
      <c r="B47" s="95"/>
      <c r="C47" s="96" t="str">
        <f t="shared" si="15"/>
        <v/>
      </c>
      <c r="D47" s="184"/>
      <c r="X47" s="107"/>
      <c r="Y47" s="108"/>
      <c r="Z47" s="109"/>
      <c r="AA47" s="119"/>
      <c r="AB47" s="120"/>
      <c r="AC47" s="112"/>
      <c r="AD47" s="113"/>
      <c r="AE47" s="121"/>
      <c r="AF47" s="113"/>
      <c r="AG47" s="116"/>
      <c r="AH47" s="86">
        <f t="shared" si="4"/>
        <v>0</v>
      </c>
      <c r="AI47" s="86">
        <f t="shared" si="5"/>
        <v>0</v>
      </c>
      <c r="AJ47" s="86" t="str">
        <f t="shared" si="6"/>
        <v>S/BM</v>
      </c>
      <c r="AK47" s="93">
        <f t="shared" si="7"/>
        <v>0</v>
      </c>
      <c r="AL47" s="86" t="str">
        <f t="shared" si="8"/>
        <v/>
      </c>
      <c r="AM47" s="93" t="str">
        <f t="shared" si="9"/>
        <v/>
      </c>
      <c r="AN47" s="86" t="str">
        <f t="shared" si="10"/>
        <v/>
      </c>
      <c r="AO47" s="86" t="str">
        <f t="shared" si="11"/>
        <v/>
      </c>
      <c r="AP47" s="86">
        <f t="shared" si="14"/>
        <v>1</v>
      </c>
    </row>
    <row r="48" spans="1:42" ht="15.75" x14ac:dyDescent="0.25">
      <c r="A48" s="94"/>
      <c r="B48" s="95"/>
      <c r="C48" s="96" t="str">
        <f t="shared" si="15"/>
        <v/>
      </c>
      <c r="D48" s="184"/>
      <c r="X48" s="107"/>
      <c r="Y48" s="108"/>
      <c r="Z48" s="109"/>
      <c r="AA48" s="119"/>
      <c r="AB48" s="120"/>
      <c r="AC48" s="112"/>
      <c r="AD48" s="113"/>
      <c r="AE48" s="121"/>
      <c r="AF48" s="113"/>
      <c r="AG48" s="116"/>
      <c r="AH48" s="86">
        <f t="shared" si="4"/>
        <v>0</v>
      </c>
      <c r="AI48" s="86">
        <f t="shared" si="5"/>
        <v>0</v>
      </c>
      <c r="AJ48" s="86" t="str">
        <f t="shared" si="6"/>
        <v>S/BM</v>
      </c>
      <c r="AK48" s="93">
        <f t="shared" si="7"/>
        <v>0</v>
      </c>
      <c r="AL48" s="86" t="str">
        <f t="shared" si="8"/>
        <v/>
      </c>
      <c r="AM48" s="93" t="str">
        <f t="shared" si="9"/>
        <v/>
      </c>
      <c r="AN48" s="86" t="str">
        <f t="shared" si="10"/>
        <v/>
      </c>
      <c r="AO48" s="86" t="str">
        <f t="shared" si="11"/>
        <v/>
      </c>
      <c r="AP48" s="86">
        <f t="shared" si="14"/>
        <v>1</v>
      </c>
    </row>
    <row r="49" spans="1:42" ht="15.75" x14ac:dyDescent="0.25">
      <c r="A49" s="94"/>
      <c r="B49" s="95"/>
      <c r="C49" s="96" t="str">
        <f t="shared" si="15"/>
        <v/>
      </c>
      <c r="D49" s="184"/>
      <c r="X49" s="107"/>
      <c r="Y49" s="108"/>
      <c r="Z49" s="109"/>
      <c r="AA49" s="119"/>
      <c r="AB49" s="120"/>
      <c r="AC49" s="112"/>
      <c r="AD49" s="113"/>
      <c r="AE49" s="121"/>
      <c r="AF49" s="113"/>
      <c r="AG49" s="116"/>
      <c r="AH49" s="86">
        <f t="shared" si="4"/>
        <v>0</v>
      </c>
      <c r="AI49" s="86">
        <f t="shared" si="5"/>
        <v>0</v>
      </c>
      <c r="AJ49" s="86" t="str">
        <f t="shared" si="6"/>
        <v>S/BM</v>
      </c>
      <c r="AK49" s="93">
        <f t="shared" si="7"/>
        <v>0</v>
      </c>
      <c r="AL49" s="86" t="str">
        <f t="shared" si="8"/>
        <v/>
      </c>
      <c r="AM49" s="93" t="str">
        <f t="shared" si="9"/>
        <v/>
      </c>
      <c r="AN49" s="86" t="str">
        <f t="shared" si="10"/>
        <v/>
      </c>
      <c r="AO49" s="86" t="str">
        <f t="shared" si="11"/>
        <v/>
      </c>
      <c r="AP49" s="86">
        <f t="shared" si="14"/>
        <v>1</v>
      </c>
    </row>
    <row r="50" spans="1:42" ht="15.75" x14ac:dyDescent="0.25">
      <c r="A50" s="94"/>
      <c r="B50" s="95"/>
      <c r="C50" s="96" t="str">
        <f t="shared" si="15"/>
        <v/>
      </c>
      <c r="D50" s="184"/>
      <c r="X50" s="107"/>
      <c r="Y50" s="108"/>
      <c r="Z50" s="109"/>
      <c r="AA50" s="119"/>
      <c r="AB50" s="120"/>
      <c r="AC50" s="112"/>
      <c r="AD50" s="113"/>
      <c r="AE50" s="121"/>
      <c r="AF50" s="113"/>
      <c r="AG50" s="116"/>
      <c r="AH50" s="86">
        <f t="shared" si="4"/>
        <v>0</v>
      </c>
      <c r="AI50" s="86">
        <f t="shared" si="5"/>
        <v>0</v>
      </c>
      <c r="AJ50" s="86" t="str">
        <f t="shared" si="6"/>
        <v>S/BM</v>
      </c>
      <c r="AK50" s="93">
        <f t="shared" si="7"/>
        <v>0</v>
      </c>
      <c r="AL50" s="86" t="str">
        <f t="shared" si="8"/>
        <v/>
      </c>
      <c r="AM50" s="93" t="str">
        <f t="shared" si="9"/>
        <v/>
      </c>
      <c r="AN50" s="86" t="str">
        <f t="shared" si="10"/>
        <v/>
      </c>
      <c r="AO50" s="86" t="str">
        <f t="shared" si="11"/>
        <v/>
      </c>
      <c r="AP50" s="86">
        <f t="shared" si="14"/>
        <v>1</v>
      </c>
    </row>
    <row r="51" spans="1:42" ht="16.5" thickBot="1" x14ac:dyDescent="0.3">
      <c r="A51" s="122"/>
      <c r="B51" s="123"/>
      <c r="C51" s="96" t="str">
        <f t="shared" si="15"/>
        <v/>
      </c>
      <c r="D51" s="184"/>
      <c r="X51" s="124"/>
      <c r="Y51" s="125"/>
      <c r="Z51" s="126"/>
      <c r="AA51" s="127"/>
      <c r="AB51" s="128"/>
      <c r="AC51" s="129"/>
      <c r="AD51" s="130"/>
      <c r="AE51" s="131"/>
      <c r="AF51" s="130"/>
      <c r="AG51" s="132"/>
      <c r="AH51" s="86">
        <f t="shared" si="4"/>
        <v>0</v>
      </c>
      <c r="AI51" s="86">
        <f t="shared" si="5"/>
        <v>0</v>
      </c>
      <c r="AJ51" s="86" t="str">
        <f t="shared" si="6"/>
        <v>S/BM</v>
      </c>
      <c r="AK51" s="93">
        <f t="shared" si="7"/>
        <v>0</v>
      </c>
      <c r="AL51" s="86" t="str">
        <f t="shared" si="8"/>
        <v/>
      </c>
      <c r="AM51" s="93" t="str">
        <f t="shared" si="9"/>
        <v/>
      </c>
      <c r="AN51" s="86" t="str">
        <f t="shared" si="10"/>
        <v/>
      </c>
      <c r="AO51" s="86" t="str">
        <f t="shared" si="11"/>
        <v/>
      </c>
      <c r="AP51" s="86">
        <f t="shared" si="14"/>
        <v>1</v>
      </c>
    </row>
    <row r="52" spans="1:42" ht="5.25" customHeight="1" thickBot="1" x14ac:dyDescent="0.25">
      <c r="A52" s="133"/>
      <c r="B52" s="133"/>
      <c r="C52" s="134"/>
      <c r="D52" s="184"/>
      <c r="AH52" s="86"/>
      <c r="AI52" s="86"/>
      <c r="AJ52" s="86"/>
      <c r="AK52" s="86"/>
      <c r="AL52" s="86"/>
      <c r="AM52" s="86"/>
      <c r="AN52" s="86"/>
      <c r="AO52" s="86"/>
      <c r="AP52" s="86"/>
    </row>
    <row r="53" spans="1:42" ht="20.100000000000001" customHeight="1" x14ac:dyDescent="0.2">
      <c r="A53" s="135">
        <v>26</v>
      </c>
      <c r="B53" s="136">
        <v>786.8</v>
      </c>
      <c r="C53" s="137" t="s">
        <v>9</v>
      </c>
      <c r="D53" s="192" t="s">
        <v>6</v>
      </c>
    </row>
    <row r="54" spans="1:42" ht="20.100000000000001" customHeight="1" x14ac:dyDescent="0.2">
      <c r="A54" s="138">
        <v>12</v>
      </c>
      <c r="B54" s="136">
        <v>786.8</v>
      </c>
      <c r="C54" s="139" t="s">
        <v>10</v>
      </c>
      <c r="D54" s="192"/>
    </row>
    <row r="55" spans="1:42" ht="20.100000000000001" customHeight="1" x14ac:dyDescent="0.2">
      <c r="A55" s="140">
        <v>26.5</v>
      </c>
      <c r="B55" s="141">
        <v>786.46</v>
      </c>
      <c r="C55" s="142" t="s">
        <v>8</v>
      </c>
      <c r="D55" s="192"/>
    </row>
    <row r="56" spans="1:42" ht="20.100000000000001" customHeight="1" x14ac:dyDescent="0.2">
      <c r="A56" s="140">
        <v>26.5</v>
      </c>
      <c r="B56" s="143">
        <f>B55+3</f>
        <v>789.46</v>
      </c>
      <c r="C56" s="142" t="s">
        <v>8</v>
      </c>
      <c r="D56" s="192"/>
    </row>
    <row r="57" spans="1:42" ht="20.100000000000001" customHeight="1" x14ac:dyDescent="0.2">
      <c r="A57" s="63">
        <v>27</v>
      </c>
      <c r="B57" s="143">
        <v>788.85</v>
      </c>
      <c r="C57" s="144" t="s">
        <v>2</v>
      </c>
      <c r="D57" s="192"/>
    </row>
    <row r="58" spans="1:42" ht="20.100000000000001" customHeight="1" thickBot="1" x14ac:dyDescent="0.25">
      <c r="A58" s="140">
        <v>27</v>
      </c>
      <c r="B58" s="143">
        <f>B57+1.5</f>
        <v>790.35</v>
      </c>
      <c r="C58" s="145" t="s">
        <v>2</v>
      </c>
      <c r="D58" s="192"/>
    </row>
    <row r="59" spans="1:42" ht="13.5" thickBot="1" x14ac:dyDescent="0.25">
      <c r="A59" s="146"/>
      <c r="B59" s="147"/>
      <c r="C59" s="148" t="s">
        <v>7</v>
      </c>
      <c r="D59" s="149"/>
    </row>
    <row r="60" spans="1:42" ht="13.5" thickBot="1" x14ac:dyDescent="0.25">
      <c r="A60" s="150"/>
      <c r="B60" s="147"/>
      <c r="C60" s="148" t="s">
        <v>7</v>
      </c>
      <c r="D60" s="149"/>
    </row>
    <row r="61" spans="1:42" ht="18" x14ac:dyDescent="0.25">
      <c r="A61" s="151" t="s">
        <v>88</v>
      </c>
      <c r="B61" s="152"/>
      <c r="C61" s="163"/>
      <c r="D61" s="149"/>
    </row>
    <row r="62" spans="1:42" ht="18" x14ac:dyDescent="0.25">
      <c r="A62" s="151" t="s">
        <v>50</v>
      </c>
      <c r="B62" s="152"/>
      <c r="C62" s="154">
        <f>B55</f>
        <v>786.46</v>
      </c>
      <c r="D62" s="149"/>
    </row>
    <row r="63" spans="1:42" ht="15.75" x14ac:dyDescent="0.25">
      <c r="A63" s="155" t="s">
        <v>51</v>
      </c>
      <c r="B63" s="152"/>
      <c r="C63" s="153"/>
      <c r="D63" s="149"/>
    </row>
    <row r="64" spans="1:42" x14ac:dyDescent="0.2">
      <c r="A64" s="156"/>
      <c r="B64" s="152"/>
      <c r="C64" s="153"/>
      <c r="D64" s="149"/>
    </row>
    <row r="65" spans="1:4" ht="14.25" x14ac:dyDescent="0.2">
      <c r="A65" s="157"/>
      <c r="B65" s="170"/>
      <c r="C65" s="159"/>
      <c r="D65" s="149"/>
    </row>
    <row r="66" spans="1:4" ht="14.25" x14ac:dyDescent="0.2">
      <c r="A66" s="157" t="s">
        <v>52</v>
      </c>
      <c r="B66" s="193" t="s">
        <v>62</v>
      </c>
      <c r="C66" s="193"/>
      <c r="D66" s="149"/>
    </row>
    <row r="67" spans="1:4" ht="14.25" x14ac:dyDescent="0.2">
      <c r="A67" s="157" t="s">
        <v>53</v>
      </c>
      <c r="B67" s="193" t="s">
        <v>63</v>
      </c>
      <c r="C67" s="193"/>
      <c r="D67" s="149"/>
    </row>
    <row r="68" spans="1:4" ht="14.25" x14ac:dyDescent="0.2">
      <c r="A68" s="157" t="s">
        <v>54</v>
      </c>
      <c r="B68" s="194">
        <v>44037040</v>
      </c>
      <c r="C68" s="194"/>
      <c r="D68" s="149"/>
    </row>
    <row r="69" spans="1:4" ht="14.25" x14ac:dyDescent="0.2">
      <c r="A69" s="157" t="s">
        <v>55</v>
      </c>
      <c r="B69" s="193" t="s">
        <v>83</v>
      </c>
      <c r="C69" s="193"/>
    </row>
    <row r="70" spans="1:4" ht="14.25" x14ac:dyDescent="0.2">
      <c r="A70" s="157" t="s">
        <v>57</v>
      </c>
      <c r="B70" s="193" t="s">
        <v>89</v>
      </c>
      <c r="C70" s="193"/>
    </row>
    <row r="71" spans="1:4" ht="14.25" x14ac:dyDescent="0.2">
      <c r="A71" s="157" t="s">
        <v>59</v>
      </c>
      <c r="B71" s="193" t="s">
        <v>60</v>
      </c>
      <c r="C71" s="193"/>
    </row>
    <row r="72" spans="1:4" ht="14.25" x14ac:dyDescent="0.2">
      <c r="A72" s="157" t="s">
        <v>61</v>
      </c>
      <c r="B72" s="195">
        <v>44480</v>
      </c>
      <c r="C72" s="195"/>
    </row>
    <row r="73" spans="1:4" ht="14.25" x14ac:dyDescent="0.2">
      <c r="A73" s="161"/>
      <c r="B73" s="161"/>
      <c r="C73" s="161"/>
    </row>
    <row r="74" spans="1:4" ht="14.25" x14ac:dyDescent="0.2">
      <c r="A74" s="161"/>
      <c r="B74" s="161"/>
      <c r="C74" s="161"/>
    </row>
    <row r="75" spans="1:4" ht="14.25" x14ac:dyDescent="0.2">
      <c r="A75" s="161"/>
      <c r="B75" s="161"/>
      <c r="C75" s="161"/>
    </row>
  </sheetData>
  <mergeCells count="18">
    <mergeCell ref="B69:C69"/>
    <mergeCell ref="B70:C70"/>
    <mergeCell ref="B71:C71"/>
    <mergeCell ref="B72:C72"/>
    <mergeCell ref="AL3:AM3"/>
    <mergeCell ref="AN3:AO3"/>
    <mergeCell ref="D53:D58"/>
    <mergeCell ref="B66:C66"/>
    <mergeCell ref="B67:C67"/>
    <mergeCell ref="B68:C68"/>
    <mergeCell ref="A1:V1"/>
    <mergeCell ref="X1:AG1"/>
    <mergeCell ref="A2:A4"/>
    <mergeCell ref="B2:B4"/>
    <mergeCell ref="C2:C4"/>
    <mergeCell ref="D2:D52"/>
    <mergeCell ref="X2:AG2"/>
    <mergeCell ref="X3:AG3"/>
  </mergeCells>
  <conditionalFormatting sqref="AC47:AF47">
    <cfRule type="expression" dxfId="64" priority="65" stopIfTrue="1">
      <formula>$AP$47=1</formula>
    </cfRule>
  </conditionalFormatting>
  <conditionalFormatting sqref="AC46:AF46">
    <cfRule type="expression" dxfId="63" priority="64" stopIfTrue="1">
      <formula>$AP$46</formula>
    </cfRule>
  </conditionalFormatting>
  <conditionalFormatting sqref="AC50:AF50">
    <cfRule type="expression" dxfId="62" priority="63" stopIfTrue="1">
      <formula>$AP$50=1</formula>
    </cfRule>
  </conditionalFormatting>
  <conditionalFormatting sqref="AC51:AF51">
    <cfRule type="expression" dxfId="61" priority="62" stopIfTrue="1">
      <formula>$AP$51=1</formula>
    </cfRule>
  </conditionalFormatting>
  <conditionalFormatting sqref="AC49:AF49">
    <cfRule type="expression" dxfId="60" priority="61" stopIfTrue="1">
      <formula>$AP$49=1</formula>
    </cfRule>
  </conditionalFormatting>
  <conditionalFormatting sqref="AC48:AF48">
    <cfRule type="expression" dxfId="59" priority="60" stopIfTrue="1">
      <formula>$AP$48=1</formula>
    </cfRule>
  </conditionalFormatting>
  <conditionalFormatting sqref="AC45:AF45">
    <cfRule type="expression" dxfId="58" priority="59" stopIfTrue="1">
      <formula>$AP$45=1</formula>
    </cfRule>
  </conditionalFormatting>
  <conditionalFormatting sqref="AC44 AE44">
    <cfRule type="expression" dxfId="57" priority="58" stopIfTrue="1">
      <formula>$AP$44=1</formula>
    </cfRule>
  </conditionalFormatting>
  <conditionalFormatting sqref="AC43 AE43">
    <cfRule type="expression" dxfId="56" priority="57" stopIfTrue="1">
      <formula>$AP$43=1</formula>
    </cfRule>
  </conditionalFormatting>
  <conditionalFormatting sqref="AC42 AE42">
    <cfRule type="expression" dxfId="55" priority="56" stopIfTrue="1">
      <formula>$AP$42=1</formula>
    </cfRule>
  </conditionalFormatting>
  <conditionalFormatting sqref="AC41 AE41">
    <cfRule type="expression" dxfId="54" priority="55" stopIfTrue="1">
      <formula>$AP$41=1</formula>
    </cfRule>
  </conditionalFormatting>
  <conditionalFormatting sqref="AE40">
    <cfRule type="expression" dxfId="53" priority="54" stopIfTrue="1">
      <formula>$AP$40=1</formula>
    </cfRule>
  </conditionalFormatting>
  <conditionalFormatting sqref="AE39">
    <cfRule type="expression" dxfId="52" priority="53" stopIfTrue="1">
      <formula>$AP$39=1</formula>
    </cfRule>
  </conditionalFormatting>
  <conditionalFormatting sqref="AE38">
    <cfRule type="expression" dxfId="51" priority="52" stopIfTrue="1">
      <formula>$AP$38=1</formula>
    </cfRule>
  </conditionalFormatting>
  <conditionalFormatting sqref="AC30:AD30">
    <cfRule type="expression" dxfId="50" priority="51" stopIfTrue="1">
      <formula>$AP$30</formula>
    </cfRule>
  </conditionalFormatting>
  <conditionalFormatting sqref="AC29:AD29 AF29 AF33 AF37">
    <cfRule type="expression" dxfId="49" priority="50" stopIfTrue="1">
      <formula>$AP$29=1</formula>
    </cfRule>
  </conditionalFormatting>
  <conditionalFormatting sqref="AC28:AD28 AF28 AF32 AF36">
    <cfRule type="expression" dxfId="48" priority="49" stopIfTrue="1">
      <formula>$AP$28=1</formula>
    </cfRule>
  </conditionalFormatting>
  <conditionalFormatting sqref="AC27:AD27 AF27 AF31 AF35">
    <cfRule type="expression" dxfId="47" priority="48" stopIfTrue="1">
      <formula>$AP$27=1</formula>
    </cfRule>
  </conditionalFormatting>
  <conditionalFormatting sqref="AC26:AD26 AF26 AF30 AF34 AF38">
    <cfRule type="expression" dxfId="46" priority="47" stopIfTrue="1">
      <formula>$AP$26=1</formula>
    </cfRule>
  </conditionalFormatting>
  <conditionalFormatting sqref="AC25:AD25 AF25">
    <cfRule type="expression" dxfId="45" priority="46" stopIfTrue="1">
      <formula>$AP$25=1</formula>
    </cfRule>
  </conditionalFormatting>
  <conditionalFormatting sqref="AC24:AD24 AF24">
    <cfRule type="expression" dxfId="44" priority="45" stopIfTrue="1">
      <formula>$AP$24=1</formula>
    </cfRule>
  </conditionalFormatting>
  <conditionalFormatting sqref="AC23:AD23 AF23">
    <cfRule type="expression" dxfId="43" priority="44" stopIfTrue="1">
      <formula>$AP$23=1</formula>
    </cfRule>
  </conditionalFormatting>
  <conditionalFormatting sqref="AC22:AD22 AF22">
    <cfRule type="expression" dxfId="42" priority="43" stopIfTrue="1">
      <formula>$AP$22=1</formula>
    </cfRule>
  </conditionalFormatting>
  <conditionalFormatting sqref="AC21:AD21 AF21">
    <cfRule type="expression" dxfId="41" priority="42" stopIfTrue="1">
      <formula>$AP$21=1</formula>
    </cfRule>
  </conditionalFormatting>
  <conditionalFormatting sqref="AC20:AD20 AF20">
    <cfRule type="expression" dxfId="40" priority="41" stopIfTrue="1">
      <formula>$AP$20=1</formula>
    </cfRule>
  </conditionalFormatting>
  <conditionalFormatting sqref="AC19:AD19 AF19">
    <cfRule type="expression" dxfId="39" priority="40" stopIfTrue="1">
      <formula>$AP$19=1</formula>
    </cfRule>
  </conditionalFormatting>
  <conditionalFormatting sqref="AC18:AD18 AF18">
    <cfRule type="expression" dxfId="38" priority="39" stopIfTrue="1">
      <formula>$AP$18=1</formula>
    </cfRule>
  </conditionalFormatting>
  <conditionalFormatting sqref="AC17:AD17 AF17">
    <cfRule type="expression" dxfId="37" priority="38" stopIfTrue="1">
      <formula>$AP$17=1</formula>
    </cfRule>
  </conditionalFormatting>
  <conditionalFormatting sqref="AC16:AD16 AF16">
    <cfRule type="expression" dxfId="36" priority="37" stopIfTrue="1">
      <formula>$AP$16=1</formula>
    </cfRule>
  </conditionalFormatting>
  <conditionalFormatting sqref="AC15:AD15 AF15">
    <cfRule type="expression" dxfId="35" priority="36" stopIfTrue="1">
      <formula>$AP$15=1</formula>
    </cfRule>
  </conditionalFormatting>
  <conditionalFormatting sqref="AC14:AD14 AF14">
    <cfRule type="expression" dxfId="34" priority="35" stopIfTrue="1">
      <formula>$AP$14=1</formula>
    </cfRule>
  </conditionalFormatting>
  <conditionalFormatting sqref="AC13:AD13 AF13">
    <cfRule type="expression" dxfId="33" priority="34" stopIfTrue="1">
      <formula>$AP$13=1</formula>
    </cfRule>
  </conditionalFormatting>
  <conditionalFormatting sqref="AC12:AF12 AE13:AE37">
    <cfRule type="expression" dxfId="32" priority="33" stopIfTrue="1">
      <formula>$AP$12=1</formula>
    </cfRule>
  </conditionalFormatting>
  <conditionalFormatting sqref="AC11:AF11">
    <cfRule type="expression" dxfId="31" priority="32" stopIfTrue="1">
      <formula>$AP$11=1</formula>
    </cfRule>
  </conditionalFormatting>
  <conditionalFormatting sqref="A51:B51">
    <cfRule type="expression" dxfId="30" priority="31" stopIfTrue="1">
      <formula>$AP$51=1</formula>
    </cfRule>
  </conditionalFormatting>
  <conditionalFormatting sqref="A50:B50">
    <cfRule type="expression" dxfId="29" priority="30" stopIfTrue="1">
      <formula>$AP$50=1</formula>
    </cfRule>
  </conditionalFormatting>
  <conditionalFormatting sqref="A49:B49">
    <cfRule type="expression" dxfId="28" priority="29" stopIfTrue="1">
      <formula>$AP$49=1</formula>
    </cfRule>
  </conditionalFormatting>
  <conditionalFormatting sqref="A48:B48">
    <cfRule type="expression" dxfId="27" priority="28" stopIfTrue="1">
      <formula>$AP$48=1</formula>
    </cfRule>
  </conditionalFormatting>
  <conditionalFormatting sqref="A47:B47">
    <cfRule type="expression" dxfId="26" priority="27" stopIfTrue="1">
      <formula>$AP$47=1</formula>
    </cfRule>
  </conditionalFormatting>
  <conditionalFormatting sqref="A46:B46">
    <cfRule type="expression" dxfId="25" priority="26" stopIfTrue="1">
      <formula>$AP$46=1</formula>
    </cfRule>
  </conditionalFormatting>
  <conditionalFormatting sqref="A45:B45">
    <cfRule type="expression" dxfId="24" priority="25" stopIfTrue="1">
      <formula>$AP$45=1</formula>
    </cfRule>
  </conditionalFormatting>
  <conditionalFormatting sqref="A30:B44">
    <cfRule type="expression" dxfId="23" priority="24" stopIfTrue="1">
      <formula>$AP$30=1</formula>
    </cfRule>
  </conditionalFormatting>
  <conditionalFormatting sqref="A29:B29">
    <cfRule type="expression" dxfId="22" priority="23" stopIfTrue="1">
      <formula>$AP$29=1</formula>
    </cfRule>
  </conditionalFormatting>
  <conditionalFormatting sqref="A28:B28">
    <cfRule type="expression" dxfId="21" priority="22" stopIfTrue="1">
      <formula>$AP$28=1</formula>
    </cfRule>
  </conditionalFormatting>
  <conditionalFormatting sqref="A27:B27">
    <cfRule type="expression" dxfId="20" priority="21" stopIfTrue="1">
      <formula>$AP$27=1</formula>
    </cfRule>
  </conditionalFormatting>
  <conditionalFormatting sqref="A26:B26">
    <cfRule type="expression" dxfId="19" priority="20" stopIfTrue="1">
      <formula>$AP$26=1</formula>
    </cfRule>
  </conditionalFormatting>
  <conditionalFormatting sqref="A25:B25">
    <cfRule type="expression" dxfId="18" priority="19" stopIfTrue="1">
      <formula>$AP$25=1</formula>
    </cfRule>
  </conditionalFormatting>
  <conditionalFormatting sqref="A24:B24">
    <cfRule type="expression" dxfId="17" priority="18" stopIfTrue="1">
      <formula>$AP$24=1</formula>
    </cfRule>
  </conditionalFormatting>
  <conditionalFormatting sqref="A23:B23">
    <cfRule type="expression" dxfId="16" priority="17" stopIfTrue="1">
      <formula>$AP$23=1</formula>
    </cfRule>
  </conditionalFormatting>
  <conditionalFormatting sqref="A22:B22">
    <cfRule type="expression" dxfId="15" priority="16" stopIfTrue="1">
      <formula>$AP$22=1</formula>
    </cfRule>
  </conditionalFormatting>
  <conditionalFormatting sqref="A21:B21">
    <cfRule type="expression" dxfId="14" priority="15" stopIfTrue="1">
      <formula>$AP$21=1</formula>
    </cfRule>
  </conditionalFormatting>
  <conditionalFormatting sqref="A20:B20">
    <cfRule type="expression" dxfId="13" priority="14" stopIfTrue="1">
      <formula>$AP$20=1</formula>
    </cfRule>
  </conditionalFormatting>
  <conditionalFormatting sqref="A19:B19">
    <cfRule type="expression" dxfId="12" priority="13" stopIfTrue="1">
      <formula>$AP$19=1</formula>
    </cfRule>
  </conditionalFormatting>
  <conditionalFormatting sqref="A18:B18">
    <cfRule type="expression" dxfId="11" priority="12" stopIfTrue="1">
      <formula>$AP$18=1</formula>
    </cfRule>
  </conditionalFormatting>
  <conditionalFormatting sqref="A17:B17">
    <cfRule type="expression" dxfId="10" priority="11" stopIfTrue="1">
      <formula>$AP$17=1</formula>
    </cfRule>
  </conditionalFormatting>
  <conditionalFormatting sqref="A16:B16">
    <cfRule type="expression" dxfId="9" priority="10" stopIfTrue="1">
      <formula>$AP$16=1</formula>
    </cfRule>
  </conditionalFormatting>
  <conditionalFormatting sqref="A15:B15">
    <cfRule type="expression" dxfId="8" priority="9" stopIfTrue="1">
      <formula>$AP$15=1</formula>
    </cfRule>
  </conditionalFormatting>
  <conditionalFormatting sqref="A14:B14">
    <cfRule type="expression" dxfId="7" priority="8" stopIfTrue="1">
      <formula>$AP$14=1</formula>
    </cfRule>
  </conditionalFormatting>
  <conditionalFormatting sqref="A13:B13">
    <cfRule type="expression" dxfId="6" priority="7" stopIfTrue="1">
      <formula>$AP$13=1</formula>
    </cfRule>
  </conditionalFormatting>
  <conditionalFormatting sqref="A12:B12">
    <cfRule type="expression" dxfId="5" priority="6" stopIfTrue="1">
      <formula>$AP$12=1</formula>
    </cfRule>
  </conditionalFormatting>
  <conditionalFormatting sqref="A11:B11">
    <cfRule type="expression" dxfId="4" priority="5" stopIfTrue="1">
      <formula>$AP$11=1</formula>
    </cfRule>
  </conditionalFormatting>
  <conditionalFormatting sqref="A10:B10">
    <cfRule type="expression" dxfId="3" priority="4" stopIfTrue="1">
      <formula>$AP$10=1</formula>
    </cfRule>
  </conditionalFormatting>
  <conditionalFormatting sqref="AD31:AD44">
    <cfRule type="expression" dxfId="2" priority="3" stopIfTrue="1">
      <formula>$AP$30</formula>
    </cfRule>
  </conditionalFormatting>
  <conditionalFormatting sqref="AF39:AF44">
    <cfRule type="expression" dxfId="1" priority="2" stopIfTrue="1">
      <formula>$AP$30</formula>
    </cfRule>
  </conditionalFormatting>
  <conditionalFormatting sqref="AC31:AC40">
    <cfRule type="expression" dxfId="0" priority="1" stopIfTrue="1">
      <formula>$AP$30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37</vt:i4>
      </vt:variant>
    </vt:vector>
  </HeadingPairs>
  <TitlesOfParts>
    <vt:vector size="37" baseType="lpstr">
      <vt:lpstr>Fecha 1995-07-07</vt:lpstr>
      <vt:lpstr>Fecha 1997-03-08</vt:lpstr>
      <vt:lpstr>Fecha 1998-02-03</vt:lpstr>
      <vt:lpstr>Fecha 1998-10-05</vt:lpstr>
      <vt:lpstr>Fecha 1999-10-28</vt:lpstr>
      <vt:lpstr>Fecha 2000-12-18</vt:lpstr>
      <vt:lpstr>Fecha 2003-09-11</vt:lpstr>
      <vt:lpstr>Fecha 2005-04-12</vt:lpstr>
      <vt:lpstr>Fecha 2006-10-19</vt:lpstr>
      <vt:lpstr>FECHA 2007-03-16</vt:lpstr>
      <vt:lpstr>Fecha 2007-10-27</vt:lpstr>
      <vt:lpstr>Fecha 2009-03-20</vt:lpstr>
      <vt:lpstr>Fecha 2009-11-27</vt:lpstr>
      <vt:lpstr>Fecha 2010-03-21</vt:lpstr>
      <vt:lpstr>Fecha 2010-05-19</vt:lpstr>
      <vt:lpstr>Fecha 2010-10-08</vt:lpstr>
      <vt:lpstr>Fecha 2011-03-11</vt:lpstr>
      <vt:lpstr>Fecha 2011-09-03</vt:lpstr>
      <vt:lpstr>Fecha 2011-12-02</vt:lpstr>
      <vt:lpstr>Fecha 2013-06-13</vt:lpstr>
      <vt:lpstr>Fecha 2013-09-25</vt:lpstr>
      <vt:lpstr>Fecha 2014-07-01</vt:lpstr>
      <vt:lpstr>Fecha 2014-11-15</vt:lpstr>
      <vt:lpstr>Fecha 2015-05-06</vt:lpstr>
      <vt:lpstr>Fecha 2015-11-11</vt:lpstr>
      <vt:lpstr>Fecha 2016-05-18</vt:lpstr>
      <vt:lpstr>Fecha 2016-07-19</vt:lpstr>
      <vt:lpstr>PLANTILLA NAOI-NAOD</vt:lpstr>
      <vt:lpstr>2017-3-16</vt:lpstr>
      <vt:lpstr>2017-9-7</vt:lpstr>
      <vt:lpstr>2018-04-02</vt:lpstr>
      <vt:lpstr>2018-10-8</vt:lpstr>
      <vt:lpstr>2019-03-11</vt:lpstr>
      <vt:lpstr>2019-5-21</vt:lpstr>
      <vt:lpstr>2019-07-09</vt:lpstr>
      <vt:lpstr>2020-03-03</vt:lpstr>
      <vt:lpstr>2021-10-11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Paola Andrea Sanchez Farfan</cp:lastModifiedBy>
  <cp:lastPrinted>2011-07-11T16:26:51Z</cp:lastPrinted>
  <dcterms:created xsi:type="dcterms:W3CDTF">1999-11-17T15:55:19Z</dcterms:created>
  <dcterms:modified xsi:type="dcterms:W3CDTF">2022-06-27T10:39:19Z</dcterms:modified>
</cp:coreProperties>
</file>